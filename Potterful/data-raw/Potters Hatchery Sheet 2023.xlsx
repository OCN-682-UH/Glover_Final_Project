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9"/>
  <workbookPr defaultThemeVersion="166925"/>
  <mc:AlternateContent xmlns:mc="http://schemas.openxmlformats.org/markup-compatibility/2006">
    <mc:Choice Requires="x15">
      <x15ac:absPath xmlns:x15ac="http://schemas.microsoft.com/office/spreadsheetml/2010/11/ac" url="/Users/thefishlg/"/>
    </mc:Choice>
  </mc:AlternateContent>
  <xr:revisionPtr revIDLastSave="0" documentId="13_ncr:1_{89AA7A30-4DD7-604C-B406-17337BA9FCB1}" xr6:coauthVersionLast="47" xr6:coauthVersionMax="47" xr10:uidLastSave="{00000000-0000-0000-0000-000000000000}"/>
  <bookViews>
    <workbookView xWindow="0" yWindow="740" windowWidth="29040" windowHeight="15840" tabRatio="703" firstSheet="7" activeTab="11" xr2:uid="{00000000-000D-0000-FFFF-FFFF00000000}"/>
  </bookViews>
  <sheets>
    <sheet name="Potters Master Copy UPDATED" sheetId="14" r:id="rId1"/>
    <sheet name="Potters Master Copy 2" sheetId="2" r:id="rId2"/>
    <sheet name="Potters Master Copy (2)" sheetId="15" r:id="rId3"/>
    <sheet name="Sheet1" sheetId="28" r:id="rId4"/>
    <sheet name="Potters Master 2024 - USE ME" sheetId="21" r:id="rId5"/>
    <sheet name="&lt;-CURRENT TANKS" sheetId="6" r:id="rId6"/>
    <sheet name="T9 Potters (Run 21) ^^" sheetId="32" r:id="rId7"/>
    <sheet name="T12 (Run 18) ^" sheetId="29" r:id="rId8"/>
    <sheet name="T9 Potters (Run 20)" sheetId="31" r:id="rId9"/>
    <sheet name="T8 Potters (Run 15)" sheetId="25" r:id="rId10"/>
    <sheet name="T7 Potters (Run 17)" sheetId="27" r:id="rId11"/>
    <sheet name="T11 Potters (Run 19)" sheetId="30" r:id="rId12"/>
    <sheet name="T9 Potters (Run 14)" sheetId="24" r:id="rId13"/>
    <sheet name="T5 Potters (Run 16)" sheetId="26" r:id="rId14"/>
    <sheet name="T6 Potters (Run10)" sheetId="18" r:id="rId15"/>
    <sheet name="T5 Potters (Run 13)" sheetId="23" r:id="rId16"/>
    <sheet name="T7 Potters (Run12)" sheetId="20" r:id="rId17"/>
    <sheet name="T5 Potters (Run13)" sheetId="22" r:id="rId18"/>
    <sheet name="T9 Potters (Run11)" sheetId="19" r:id="rId19"/>
    <sheet name="T1 Potters (Run8) For Biota" sheetId="16" r:id="rId20"/>
    <sheet name="T7 Potters (Run9) Palau" sheetId="17" r:id="rId21"/>
    <sheet name="T7 Potters (Run7) " sheetId="8" r:id="rId22"/>
    <sheet name="T10 Potters YT Run 6" sheetId="13" r:id="rId23"/>
    <sheet name="T3 Potters FT Run1" sheetId="5" r:id="rId24"/>
    <sheet name="T10 Potters Run5" sheetId="12" r:id="rId25"/>
    <sheet name="T9 Potters RC Run 4" sheetId="10" r:id="rId26"/>
    <sheet name="T10 Potters FT Run 3" sheetId="9" r:id="rId27"/>
    <sheet name="T8 Potters Run 5" sheetId="11" r:id="rId28"/>
    <sheet name="T2 Potters FT Run 2" sheetId="7" r:id="rId29"/>
    <sheet name="T9 (YT272 + Potters)" sheetId="3" r:id="rId30"/>
    <sheet name="200-10 Potters Copes Only" sheetId="4" r:id="rId31"/>
  </sheets>
  <externalReferences>
    <externalReference r:id="rId32"/>
    <externalReference r:id="rId3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3" i="17" l="1"/>
  <c r="B5" i="26"/>
  <c r="B5" i="27"/>
  <c r="B5" i="32" l="1"/>
  <c r="B5" i="29" l="1"/>
  <c r="B3" i="31" l="1"/>
  <c r="B5" i="31" s="1"/>
  <c r="B3" i="30" l="1"/>
  <c r="B5" i="24" l="1"/>
  <c r="B3" i="25" l="1"/>
  <c r="B5" i="25" s="1"/>
  <c r="B1" i="11" l="1"/>
  <c r="D9" i="3" l="1"/>
  <c r="E9" i="3"/>
  <c r="F9" i="3"/>
  <c r="G9" i="3"/>
  <c r="H9" i="3"/>
  <c r="I9" i="3"/>
  <c r="J9" i="3"/>
  <c r="BS74" i="4" l="1"/>
  <c r="BS73" i="4"/>
  <c r="BS72" i="4"/>
  <c r="BS71" i="4"/>
  <c r="BS70" i="4"/>
  <c r="BS69" i="4"/>
  <c r="BS68" i="4"/>
  <c r="BS67" i="4"/>
  <c r="BS66" i="4"/>
  <c r="BS65" i="4"/>
  <c r="BS64" i="4"/>
  <c r="BS63" i="4"/>
  <c r="BS62" i="4"/>
  <c r="BS61" i="4"/>
  <c r="BS60" i="4"/>
  <c r="BS59" i="4"/>
  <c r="BS58" i="4"/>
  <c r="BS57" i="4"/>
  <c r="BS56" i="4"/>
  <c r="BS55" i="4"/>
  <c r="BS54" i="4"/>
  <c r="BS53" i="4"/>
  <c r="BS52" i="4"/>
  <c r="BS51" i="4"/>
  <c r="BS50" i="4"/>
  <c r="BS49" i="4"/>
  <c r="BS48" i="4"/>
  <c r="BS47" i="4"/>
  <c r="BS46" i="4"/>
  <c r="BS45" i="4"/>
  <c r="BS44" i="4"/>
  <c r="BS43" i="4"/>
  <c r="BS42" i="4"/>
  <c r="BS41" i="4"/>
  <c r="BS40" i="4"/>
  <c r="BS39" i="4"/>
  <c r="BS38" i="4"/>
  <c r="C9" i="4"/>
  <c r="BS74" i="3"/>
  <c r="BS73" i="3"/>
  <c r="BS72" i="3"/>
  <c r="BS71" i="3"/>
  <c r="BS70" i="3"/>
  <c r="BS69" i="3"/>
  <c r="BS68" i="3"/>
  <c r="BS67" i="3"/>
  <c r="BS66" i="3"/>
  <c r="BS65" i="3"/>
  <c r="BS64" i="3"/>
  <c r="BS63" i="3"/>
  <c r="BS62" i="3"/>
  <c r="BS61" i="3"/>
  <c r="BS60" i="3"/>
  <c r="BS59" i="3"/>
  <c r="BS58" i="3"/>
  <c r="BS57" i="3"/>
  <c r="BS56" i="3"/>
  <c r="BS55" i="3"/>
  <c r="BS54" i="3"/>
  <c r="BS53" i="3"/>
  <c r="BS52" i="3"/>
  <c r="BS51" i="3"/>
  <c r="BS50" i="3"/>
  <c r="BS49" i="3"/>
  <c r="BS48" i="3"/>
  <c r="BS47" i="3"/>
  <c r="BS46" i="3"/>
  <c r="BS45" i="3"/>
  <c r="BS44" i="3"/>
  <c r="BS43" i="3"/>
  <c r="BS42" i="3"/>
  <c r="BS41" i="3"/>
  <c r="BS40" i="3"/>
  <c r="BS39" i="3"/>
  <c r="BS38" i="3"/>
  <c r="C9" i="3"/>
</calcChain>
</file>

<file path=xl/sharedStrings.xml><?xml version="1.0" encoding="utf-8"?>
<sst xmlns="http://schemas.openxmlformats.org/spreadsheetml/2006/main" count="17922" uniqueCount="682">
  <si>
    <t>General</t>
  </si>
  <si>
    <t xml:space="preserve">Physical Parameters </t>
  </si>
  <si>
    <t>Microalgae</t>
  </si>
  <si>
    <t xml:space="preserve">Zooplankton - Copepods </t>
  </si>
  <si>
    <t>Rotifers</t>
  </si>
  <si>
    <t>Artemia</t>
  </si>
  <si>
    <t>Dry Feed</t>
  </si>
  <si>
    <t>Frozen Feed</t>
  </si>
  <si>
    <t>Siphoning</t>
  </si>
  <si>
    <t>Newly Hatched</t>
  </si>
  <si>
    <t>Enriched</t>
  </si>
  <si>
    <t>Culture Age (days)</t>
  </si>
  <si>
    <t>Date             (m/d/y)</t>
  </si>
  <si>
    <t>Name on duty</t>
  </si>
  <si>
    <r>
      <t>Temp (</t>
    </r>
    <r>
      <rPr>
        <b/>
        <sz val="10"/>
        <rFont val="Calibri"/>
        <family val="2"/>
      </rPr>
      <t>°</t>
    </r>
    <r>
      <rPr>
        <b/>
        <sz val="9"/>
        <rFont val="Verdana"/>
        <family val="2"/>
      </rPr>
      <t>C)</t>
    </r>
  </si>
  <si>
    <t>Salinity (ppt)</t>
  </si>
  <si>
    <t>pH</t>
  </si>
  <si>
    <t>Water flow rate (lpm)</t>
  </si>
  <si>
    <t>Photo-period (L:D)</t>
  </si>
  <si>
    <t>Protocol</t>
  </si>
  <si>
    <t>Comments / Adjustments to protocol</t>
  </si>
  <si>
    <t>Density Added</t>
  </si>
  <si>
    <t>Species</t>
  </si>
  <si>
    <t>Background  (#/mL)</t>
  </si>
  <si>
    <t>Density added (#/mL)</t>
  </si>
  <si>
    <t>BGs #/mL</t>
  </si>
  <si>
    <t>BGs /mL PM</t>
  </si>
  <si>
    <t>BGs /mL Noon</t>
  </si>
  <si>
    <t>Type/Size (µm)</t>
  </si>
  <si>
    <t>Amount/ Times per Day</t>
  </si>
  <si>
    <t>Type</t>
  </si>
  <si>
    <t># Dead removed</t>
  </si>
  <si>
    <t>AM</t>
  </si>
  <si>
    <t>PM</t>
  </si>
  <si>
    <t>Noon</t>
  </si>
  <si>
    <t>12:12</t>
  </si>
  <si>
    <t>Flow at 0.8 (200L)</t>
  </si>
  <si>
    <t>P. crass</t>
  </si>
  <si>
    <t>Flow OFF during day; Flow ON at 1</t>
  </si>
  <si>
    <t>Flow on at 1</t>
  </si>
  <si>
    <t>300k</t>
  </si>
  <si>
    <t>Tiso (AM only)</t>
  </si>
  <si>
    <t>1M</t>
  </si>
  <si>
    <r>
      <t xml:space="preserve">Copes @ </t>
    </r>
    <r>
      <rPr>
        <sz val="11"/>
        <color theme="1"/>
        <rFont val="Calibri"/>
        <family val="2"/>
      </rPr>
      <t>≥5</t>
    </r>
    <r>
      <rPr>
        <sz val="11"/>
        <color theme="1"/>
        <rFont val="Calibri"/>
        <family val="2"/>
        <scheme val="minor"/>
      </rPr>
      <t>/mL (At least 2x)</t>
    </r>
  </si>
  <si>
    <t>(1 million copes in 200L)</t>
  </si>
  <si>
    <t xml:space="preserve">Start Rotifers </t>
  </si>
  <si>
    <t>PM if needed</t>
  </si>
  <si>
    <t>Critical Cope Period</t>
  </si>
  <si>
    <t>.5M</t>
  </si>
  <si>
    <t>Copes ≥1/mL (At least 2x)</t>
  </si>
  <si>
    <t>500k</t>
  </si>
  <si>
    <t>A1</t>
  </si>
  <si>
    <t>5x</t>
  </si>
  <si>
    <t>Begin A1 dry feed (5x/day)</t>
  </si>
  <si>
    <t>200k</t>
  </si>
  <si>
    <t>200K</t>
  </si>
  <si>
    <t>500K</t>
  </si>
  <si>
    <t>A1 + A2</t>
  </si>
  <si>
    <t>Begin A2 dry feed (5x/day)</t>
  </si>
  <si>
    <t>switch to 350 um micronscreen</t>
  </si>
  <si>
    <t>last day for naups and eggs</t>
  </si>
  <si>
    <t>extend if needed</t>
  </si>
  <si>
    <t>ENDED COPES</t>
  </si>
  <si>
    <t>.025?</t>
  </si>
  <si>
    <t>2X</t>
  </si>
  <si>
    <t xml:space="preserve">Start to introduce artemia </t>
  </si>
  <si>
    <r>
      <t>***</t>
    </r>
    <r>
      <rPr>
        <sz val="11"/>
        <color rgb="FFFF0000"/>
        <rFont val="Calibri"/>
        <family val="2"/>
        <scheme val="minor"/>
      </rPr>
      <t>Die Off Period</t>
    </r>
    <r>
      <rPr>
        <sz val="11"/>
        <color theme="1"/>
        <rFont val="Calibri"/>
        <family val="2"/>
        <scheme val="minor"/>
      </rPr>
      <t>***</t>
    </r>
  </si>
  <si>
    <t>extend Algae if available</t>
  </si>
  <si>
    <t>Start Tomorrow</t>
  </si>
  <si>
    <t>extending algae</t>
  </si>
  <si>
    <t>Last Day of A1 dry feed</t>
  </si>
  <si>
    <t>switch to 400 um screen</t>
  </si>
  <si>
    <t>A2 + B1</t>
  </si>
  <si>
    <t>Begin B1 dry feed (5x)</t>
  </si>
  <si>
    <t>20mL 2x (1ton) or 80mL 2x (4ton)</t>
  </si>
  <si>
    <t>3X</t>
  </si>
  <si>
    <t>paste</t>
  </si>
  <si>
    <t>Last Day A2</t>
  </si>
  <si>
    <t>B1</t>
  </si>
  <si>
    <t>B1+B2</t>
  </si>
  <si>
    <t>Begin B2 dry feed (5x)</t>
  </si>
  <si>
    <t>Last day B1</t>
  </si>
  <si>
    <t>B2</t>
  </si>
  <si>
    <t>Add Coral Rubble</t>
  </si>
  <si>
    <t>Off paste</t>
  </si>
  <si>
    <t>extend Pasteif needed</t>
  </si>
  <si>
    <t>B2+C1+FK</t>
  </si>
  <si>
    <t>5x/2x</t>
  </si>
  <si>
    <t>Begin C1 +Flakes (2x)</t>
  </si>
  <si>
    <t>Increase flow rate to 10 LPM (1ton) or 40LPM (4ton)</t>
  </si>
  <si>
    <t>calaf</t>
  </si>
  <si>
    <t>2x</t>
  </si>
  <si>
    <t>Begin Calafin (2x)</t>
  </si>
  <si>
    <t>End ENR (if doing well on other feeds)</t>
  </si>
  <si>
    <t>Increase Calafin to 4x/day</t>
  </si>
  <si>
    <t xml:space="preserve">4x </t>
  </si>
  <si>
    <t>C1+FK</t>
  </si>
  <si>
    <t>Last day B2 dry feed</t>
  </si>
  <si>
    <t>YT-</t>
  </si>
  <si>
    <t>Treatment:</t>
  </si>
  <si>
    <t>Egg % Viability:</t>
  </si>
  <si>
    <t>Total Eggs Stocked:</t>
  </si>
  <si>
    <t># Fish Produced:</t>
  </si>
  <si>
    <t>Suvival %:</t>
  </si>
  <si>
    <t>Stocking Period:</t>
  </si>
  <si>
    <t xml:space="preserve">2 days </t>
  </si>
  <si>
    <t>Egg Source:</t>
  </si>
  <si>
    <t>4k YT + 3k potters, 16.5YT + 1.7k potters, 500 Yt + 2.5k potters</t>
  </si>
  <si>
    <t xml:space="preserve">Tank #: </t>
  </si>
  <si>
    <t>Vol (L):</t>
  </si>
  <si>
    <t>SH</t>
  </si>
  <si>
    <t>Flow at 4 LPM (1ton) or 6 LPM (4ton)</t>
  </si>
  <si>
    <t>KH</t>
  </si>
  <si>
    <t>Alex/Mikayla</t>
  </si>
  <si>
    <t>Flow OFF during day; Flow ON at 6LPM overnight (1ton) or 24 LPM (4ton)</t>
  </si>
  <si>
    <t xml:space="preserve">*aim for 150-200k cells/mL </t>
  </si>
  <si>
    <t>Alex</t>
  </si>
  <si>
    <t>RR</t>
  </si>
  <si>
    <t>Rotifers (2x)  ADD SKIMMER</t>
  </si>
  <si>
    <t>Feed 15 M in AM</t>
  </si>
  <si>
    <t>Stand Pipe to 500 micron</t>
  </si>
  <si>
    <t>*Change Standpipe to 500 micron*</t>
  </si>
  <si>
    <t>SH/Alex</t>
  </si>
  <si>
    <t>Previous Average Mortalities</t>
  </si>
  <si>
    <t>Check if larvae are big enough to start NH Artemia</t>
  </si>
  <si>
    <t>Stand Pipe to 1000 micron</t>
  </si>
  <si>
    <t>Large Dieoff of potters, nothing out of the ordinary in the tanks.</t>
  </si>
  <si>
    <t>NH @ 0.05/mL</t>
  </si>
  <si>
    <t>*Change Standpipe to 1000 micron*</t>
  </si>
  <si>
    <t>increase up to 0.2/mL as needed</t>
  </si>
  <si>
    <t xml:space="preserve">*1tons = LED light intensity down to 75% </t>
  </si>
  <si>
    <t xml:space="preserve">*4tons = turn off flurorescents and LED </t>
  </si>
  <si>
    <t>light intensity up to max</t>
  </si>
  <si>
    <t>When NH starts: flow @ 3LPM (AM) and 6LPM (PM)</t>
  </si>
  <si>
    <t>Last day rotifers</t>
  </si>
  <si>
    <t>Check if larvae are big enough to start ENR Artemia</t>
  </si>
  <si>
    <t>NH down to 0.1/mL and ENR @ 0.1/mL</t>
  </si>
  <si>
    <t>End NH. ENR @ 0.2 or 0.3/mL (depending on how good the tank looks)</t>
  </si>
  <si>
    <t>extend NH if needed</t>
  </si>
  <si>
    <t>MOVED 20 TO 200L FOR ADULT COPE TRIAL</t>
  </si>
  <si>
    <t>rr</t>
  </si>
  <si>
    <t>.0.5</t>
  </si>
  <si>
    <t>Some have color, very large!</t>
  </si>
  <si>
    <t>20 larvae</t>
  </si>
  <si>
    <t>Adult Copes</t>
  </si>
  <si>
    <t>20 T9 Potters moved to 200-10 to try growing on only adult copes/dry food.</t>
  </si>
  <si>
    <t>.1/ml</t>
  </si>
  <si>
    <t>.1/ML</t>
  </si>
  <si>
    <t>5X</t>
  </si>
  <si>
    <t>6X</t>
  </si>
  <si>
    <t>.1/ML X5</t>
  </si>
  <si>
    <t>Doing very well.  No fluttering, using structure.</t>
  </si>
  <si>
    <t>100k</t>
  </si>
  <si>
    <t>100K</t>
  </si>
  <si>
    <t>50k adults x2</t>
  </si>
  <si>
    <t>Adult Copes 50K x 2</t>
  </si>
  <si>
    <t>30 FISH SHIPPED</t>
  </si>
  <si>
    <t>7 FISH SHIPPED</t>
  </si>
  <si>
    <t>5M</t>
  </si>
  <si>
    <t>200K adults</t>
  </si>
  <si>
    <t>Flow at 4</t>
  </si>
  <si>
    <t>Flow on at 0/6, 300k algae, 5M copes, 5M Rotifers</t>
  </si>
  <si>
    <t>10M Rotifers</t>
  </si>
  <si>
    <t>10M</t>
  </si>
  <si>
    <t>1M Copes, 15M Rotifers</t>
  </si>
  <si>
    <t>15M</t>
  </si>
  <si>
    <t>350um screen, end Copes if ready.</t>
  </si>
  <si>
    <t>Start NH.</t>
  </si>
  <si>
    <t>Start Siphoning</t>
  </si>
  <si>
    <t>Last Day Rotifers, 400um Screen</t>
  </si>
  <si>
    <t>Start A2, B1</t>
  </si>
  <si>
    <t>Start ENR</t>
  </si>
  <si>
    <t>Last day A2</t>
  </si>
  <si>
    <t>Start B2</t>
  </si>
  <si>
    <t>Start C1, Off algae if ready.</t>
  </si>
  <si>
    <t>Start Calafin</t>
  </si>
  <si>
    <t>COMBINED, WRASSE SETTLED</t>
  </si>
  <si>
    <t>Flow at 4LPM (1000L)</t>
  </si>
  <si>
    <t>Flow 0/6</t>
  </si>
  <si>
    <t>200K ADULTS</t>
  </si>
  <si>
    <t>I SEE ONE WRASSE LARVAE</t>
  </si>
  <si>
    <t>T7 FISH ADDED</t>
  </si>
  <si>
    <t>EGGS STOCKED</t>
  </si>
  <si>
    <t>STOCKED OVER 3 DAYS</t>
  </si>
  <si>
    <t>Moved 6 hawaiian cleaner wrasse, 3 bluestreak cleaner wrasse.</t>
  </si>
  <si>
    <t>COMBINED TO T9</t>
  </si>
  <si>
    <t>A T-R</t>
  </si>
  <si>
    <t>C1/FK</t>
  </si>
  <si>
    <t>.0.25</t>
  </si>
  <si>
    <t>5 POTTERS, 5 FLAMES TO GEORGIA</t>
  </si>
  <si>
    <t>MOVED 8 BLUESTREAK CLEANER WRASSE</t>
  </si>
  <si>
    <t>MOVED 1 BLURESTREAK WRASSE</t>
  </si>
  <si>
    <t>MOVED 15 FISH TO 200L</t>
  </si>
  <si>
    <t>Moved 20 wrasse and 6 potters to 200l</t>
  </si>
  <si>
    <t>5 POTTERS, 5 FLAMES, 50 CW  TO GEORGIA</t>
  </si>
  <si>
    <t>DROPPED</t>
  </si>
  <si>
    <t>43 FISH PRODUCED! Best potters tank yet.  0.43% Survival</t>
  </si>
  <si>
    <t>RR/JB</t>
  </si>
  <si>
    <t xml:space="preserve">                                                       </t>
  </si>
  <si>
    <t>0. 025</t>
  </si>
  <si>
    <t>JB</t>
  </si>
  <si>
    <t>0. 026</t>
  </si>
  <si>
    <t>0. 027</t>
  </si>
  <si>
    <t>0. 028</t>
  </si>
  <si>
    <t>0. 029</t>
  </si>
  <si>
    <t>0. 030</t>
  </si>
  <si>
    <t>0. 031</t>
  </si>
  <si>
    <t>ARPODS</t>
  </si>
  <si>
    <t>0/6</t>
  </si>
  <si>
    <t>no 350, switched to 400um</t>
  </si>
  <si>
    <t>3/6</t>
  </si>
  <si>
    <t xml:space="preserve">start 0.025 NH 2X </t>
  </si>
  <si>
    <t>END 0.025 NH, START 0.025 ENR 3X</t>
  </si>
  <si>
    <t>ENR to 0.2 3X</t>
  </si>
  <si>
    <t>last day of copes</t>
  </si>
  <si>
    <t>NH artemia started 2 days early</t>
  </si>
  <si>
    <t>KH/JB</t>
  </si>
  <si>
    <t>300k x2</t>
  </si>
  <si>
    <t>supposed to be on paste, board not updated. Have been getting 300kx2 for a few weeks</t>
  </si>
  <si>
    <t>note for future: don't put on paste yet, slow die offs ever since we switched to paste</t>
  </si>
  <si>
    <t>not liking paste</t>
  </si>
  <si>
    <t>Harvested 1 potters. Moved to Aulania T1 (Run 26)</t>
  </si>
  <si>
    <t>extend Paste if needed</t>
  </si>
  <si>
    <t xml:space="preserve">Don't switch to paste till much later if at all. </t>
  </si>
  <si>
    <t>END COPES</t>
  </si>
  <si>
    <t>OI/Kent Method</t>
  </si>
  <si>
    <t>KH/AP</t>
  </si>
  <si>
    <t>AP/JB</t>
  </si>
  <si>
    <t>additonal 2.5 k stocked, HCW larvae added</t>
  </si>
  <si>
    <t>additonal 3k stocked</t>
  </si>
  <si>
    <t>2M</t>
  </si>
  <si>
    <t>3M</t>
  </si>
  <si>
    <t>AP</t>
  </si>
  <si>
    <t>3.8k + 2.5k + 3k = 9.3k</t>
  </si>
  <si>
    <t>3 days</t>
  </si>
  <si>
    <t xml:space="preserve">Large drop last night. </t>
  </si>
  <si>
    <t>Palau Mesocosm Method</t>
  </si>
  <si>
    <t>7 days</t>
  </si>
  <si>
    <t>Flow at 4lpm</t>
  </si>
  <si>
    <t>Flow OFF only turn on when flush is needed (rotifers overtaking more than 10/ml)</t>
  </si>
  <si>
    <t>150k</t>
  </si>
  <si>
    <t>Add when you can see bottom of tank</t>
  </si>
  <si>
    <t xml:space="preserve"> START 0.025 ENR 3X</t>
  </si>
  <si>
    <t>End NH if doing well on ENR</t>
  </si>
  <si>
    <t>see if ready for ENR</t>
  </si>
  <si>
    <t>Start Siphoning, start water trickling</t>
  </si>
  <si>
    <t>switch to 500 um screen?</t>
  </si>
  <si>
    <t>Last day of stocking! (7 days)</t>
  </si>
  <si>
    <t>End Rotifers</t>
  </si>
  <si>
    <t>2k + 2.2k+ 2.3k+2.2k</t>
  </si>
  <si>
    <t>14+</t>
  </si>
  <si>
    <t>" "</t>
  </si>
  <si>
    <t xml:space="preserve">flushed tank this am, tons of rotifers. </t>
  </si>
  <si>
    <t>not fed pm due to densities</t>
  </si>
  <si>
    <t>not fed due to densities</t>
  </si>
  <si>
    <t xml:space="preserve">not fed due to densities </t>
  </si>
  <si>
    <t>not fed am due to densities</t>
  </si>
  <si>
    <t>flow on 3 lpm in am</t>
  </si>
  <si>
    <t>board not updated</t>
  </si>
  <si>
    <t>not added due to desities</t>
  </si>
  <si>
    <t xml:space="preserve">not fed </t>
  </si>
  <si>
    <t>4.22+</t>
  </si>
  <si>
    <t>5.6+</t>
  </si>
  <si>
    <t xml:space="preserve">" " </t>
  </si>
  <si>
    <t xml:space="preserve">Using Palau Biota's Coral Beauty mesocosm method. Flow off most of time, only on for flushing. Lots of wind, temps down to 24.4C, back up to 26.5C when flow was on. Larvae mostly all gone by 10-13 DPH. </t>
  </si>
  <si>
    <t xml:space="preserve">tank is looking light, but some HCW larvae too. </t>
  </si>
  <si>
    <t>not fed</t>
  </si>
  <si>
    <t>A whole bunch of nothing. Dumping</t>
  </si>
  <si>
    <t>Dumped :(</t>
  </si>
  <si>
    <t>board not updated, starting tomorrow</t>
  </si>
  <si>
    <t>Starting rots</t>
  </si>
  <si>
    <t xml:space="preserve">found ENR artemia in this tank :( </t>
  </si>
  <si>
    <t>150k x2</t>
  </si>
  <si>
    <t>50k</t>
  </si>
  <si>
    <t>300k / 150k</t>
  </si>
  <si>
    <t>flow turned down to 2 lpm to conserve algae</t>
  </si>
  <si>
    <t xml:space="preserve">last two days small pile of fish on bottom of tank in am (still alive). Tank looks very good. </t>
  </si>
  <si>
    <t>staying with 0.1; not many fish -&gt; not clearing every feed</t>
  </si>
  <si>
    <t>dropping algae to support more tanks</t>
  </si>
  <si>
    <t>copes removed on board?</t>
  </si>
  <si>
    <t>board not updated; network down yesterday</t>
  </si>
  <si>
    <t>missed updating board</t>
  </si>
  <si>
    <t>stocked 5.8k</t>
  </si>
  <si>
    <t>stocked 3.3k</t>
  </si>
  <si>
    <t>stocked 3k</t>
  </si>
  <si>
    <t>Continue with .1</t>
  </si>
  <si>
    <t>Not seeing much at all. Would support dumping.</t>
  </si>
  <si>
    <t>Flow OFF during day; Flow ON at 6</t>
  </si>
  <si>
    <t>switch to 400 um micronscreen</t>
  </si>
  <si>
    <t>switch to 500 um screen</t>
  </si>
  <si>
    <t>Last Day Rotifers</t>
  </si>
  <si>
    <t>Tomorrow artemia 3x/day</t>
  </si>
  <si>
    <t>Start ENR artemia tomorrow 0.025 2x</t>
  </si>
  <si>
    <t>3X/2x</t>
  </si>
  <si>
    <t xml:space="preserve">Off NH, ENR 3x/day </t>
  </si>
  <si>
    <t>Begin A2 + B1 dry feed (5x)</t>
  </si>
  <si>
    <t xml:space="preserve">Start Rotifers 5/ml </t>
  </si>
  <si>
    <t>Rotifers 10/ml</t>
  </si>
  <si>
    <t>Increase to 15/ml</t>
  </si>
  <si>
    <t>Start to introduce NH artemia 0.025 2x/day</t>
  </si>
  <si>
    <t>Increase NH to 3x/day</t>
  </si>
  <si>
    <t>Start to introduce ENR artemia 0.025 2x/day</t>
  </si>
  <si>
    <t>End NH, increase ENR to 3x/day</t>
  </si>
  <si>
    <t>3x</t>
  </si>
  <si>
    <t>Switch to 500um screen</t>
  </si>
  <si>
    <t>Protocol: 150k algae, adult copes</t>
  </si>
  <si>
    <t>Flow at 4 LPM 250 um screen</t>
  </si>
  <si>
    <t>lots of adult copes in background. Changing standpipe to 500um early. Still decent amount of larvae</t>
  </si>
  <si>
    <t>3 potters and 8 wrasse moved to T3 (aulani tank)</t>
  </si>
  <si>
    <t>Protocol: T5 Delayed NH &amp; Dry Feed w/300k algae</t>
  </si>
  <si>
    <t>&lt;- extend!!</t>
  </si>
  <si>
    <t>3.4k added +11 HCW</t>
  </si>
  <si>
    <t>3.4k + 4 HCW</t>
  </si>
  <si>
    <t>* Watch surface closely for too much film</t>
  </si>
  <si>
    <t>JB/AP</t>
  </si>
  <si>
    <t>3.4k + 16 HCW</t>
  </si>
  <si>
    <t xml:space="preserve">kh- this tank is looking lighter today. </t>
  </si>
  <si>
    <r>
      <t>Add a fan with timer 7am-7pm /</t>
    </r>
    <r>
      <rPr>
        <sz val="11"/>
        <rFont val="Calibri"/>
        <family val="2"/>
        <scheme val="minor"/>
      </rPr>
      <t xml:space="preserve"> 4.4k potter's added D4</t>
    </r>
  </si>
  <si>
    <t>Total eggs stocked =14600</t>
  </si>
  <si>
    <t>Protocol: T5 Delayed NH &amp; Dry Feed w/150k algae 4 Days stocking</t>
  </si>
  <si>
    <t xml:space="preserve"> </t>
  </si>
  <si>
    <t xml:space="preserve">tank looks very good so far, a few surface morts. </t>
  </si>
  <si>
    <t xml:space="preserve">density still good, at least about 40 fish counted </t>
  </si>
  <si>
    <t xml:space="preserve">artemia not flushed completely </t>
  </si>
  <si>
    <t>consider AR pods</t>
  </si>
  <si>
    <t>AR pods</t>
  </si>
  <si>
    <t>started AR pods (2 - 3x)</t>
  </si>
  <si>
    <t>artemia not flushed completely; standpipe changed to 400 um</t>
  </si>
  <si>
    <t>100k in pm</t>
  </si>
  <si>
    <t>flows accidentally left on through am; 1/3 algae added in pm</t>
  </si>
  <si>
    <t xml:space="preserve">large drop today. </t>
  </si>
  <si>
    <t xml:space="preserve">lights stayed on overnight, no large drops. </t>
  </si>
  <si>
    <t>Leftover artemia from previous day</t>
  </si>
  <si>
    <t>Morts seen at morning check. Spot siphoned in PM.</t>
  </si>
  <si>
    <t>switched to 1000 micron screen</t>
  </si>
  <si>
    <t>Many left over artemia. Switching to 500um</t>
  </si>
  <si>
    <t>Left over artemia, switching to 500 um</t>
  </si>
  <si>
    <t>artemia not flushed completely</t>
  </si>
  <si>
    <t>300k, 150k</t>
  </si>
  <si>
    <t>30-40</t>
  </si>
  <si>
    <t>spot siphoned, some accidently not caught in screen</t>
  </si>
  <si>
    <t>AR pod/calaf</t>
  </si>
  <si>
    <t>Start Rotifers 5/ml</t>
  </si>
  <si>
    <t>Increase Rotifers 10/ml</t>
  </si>
  <si>
    <t>Increase Rotifers 15/ml</t>
  </si>
  <si>
    <t>12:13</t>
  </si>
  <si>
    <t>12:14</t>
  </si>
  <si>
    <t>12:15</t>
  </si>
  <si>
    <t>Increase flow rate to 8-10 LPM (1ton) or 40LPM (4ton)</t>
  </si>
  <si>
    <t>Off Algae</t>
  </si>
  <si>
    <t>0.025 2x/day</t>
  </si>
  <si>
    <t>Tomorrow NH artemia 3x/day</t>
  </si>
  <si>
    <t>3X NH/2x ENR</t>
  </si>
  <si>
    <t>Add a fan with timer 7am-7pm</t>
  </si>
  <si>
    <t>This tank was accidentally given A1+A2. Today taken off board. Started seeing morts in last few days, pink bacteria, tank now being siphoned. -kh</t>
  </si>
  <si>
    <t xml:space="preserve">Starting siphoning. </t>
  </si>
  <si>
    <t xml:space="preserve">Artemia not flushed. Could switch to 1000um </t>
  </si>
  <si>
    <t>dropping down to 150k am</t>
  </si>
  <si>
    <t>switched to 1000um screen</t>
  </si>
  <si>
    <t>Few but mighty</t>
  </si>
  <si>
    <t>A lot of left over artemia. 250um was installed, switched back to 500</t>
  </si>
  <si>
    <t>Just a few left over artemia</t>
  </si>
  <si>
    <t>Jb</t>
  </si>
  <si>
    <t>Moved two fish to T7 Run12. Dropping tank</t>
  </si>
  <si>
    <t>Here we go again</t>
  </si>
  <si>
    <t xml:space="preserve">6.3k + 3.9k + </t>
  </si>
  <si>
    <t xml:space="preserve">Decide if this tank can be taken off algae totally. If not, T4 needs to get 150k x2. This tank needs to be weaned off by Sunday if possible. </t>
  </si>
  <si>
    <t>75k x2</t>
  </si>
  <si>
    <t>a little fluttering today. A day or two more of 75k algae</t>
  </si>
  <si>
    <t xml:space="preserve">at least just one more day algae </t>
  </si>
  <si>
    <t>AR</t>
  </si>
  <si>
    <t>off algae today</t>
  </si>
  <si>
    <t>unable to find calaf</t>
  </si>
  <si>
    <t>network down since 3/27; backlogged today</t>
  </si>
  <si>
    <t>were not eating C1 well</t>
  </si>
  <si>
    <t>has been looking very empty last few days, dropped</t>
  </si>
  <si>
    <t>stocked 2k</t>
  </si>
  <si>
    <t>keeping b2 for a while longer</t>
  </si>
  <si>
    <t>stocked 3.8k</t>
  </si>
  <si>
    <t>Stocked 1.6k</t>
  </si>
  <si>
    <t>board changed to B1 only?</t>
  </si>
  <si>
    <t>added 4.6k eggs</t>
  </si>
  <si>
    <t>Total eggs stocked: 7.4k</t>
  </si>
  <si>
    <t>restarting B2</t>
  </si>
  <si>
    <t>off copes today</t>
  </si>
  <si>
    <t>off algae today, want to move soon</t>
  </si>
  <si>
    <t>B2 + C1</t>
  </si>
  <si>
    <t>10 wrasse moved to 200-2</t>
  </si>
  <si>
    <t>.</t>
  </si>
  <si>
    <t>added 4.5k eggs</t>
  </si>
  <si>
    <t>added 3.2k eggs</t>
  </si>
  <si>
    <t>added 5.5k eggs</t>
  </si>
  <si>
    <t>pretty big drop today, spot siphoned before algae</t>
  </si>
  <si>
    <t>135+</t>
  </si>
  <si>
    <t>some too small, went through mesh (500 um)</t>
  </si>
  <si>
    <t>kh - tank has loads of larvae looks amazing!</t>
  </si>
  <si>
    <t>small drop</t>
  </si>
  <si>
    <t>kh - saw a few morts on bottom today, still looks fantastic</t>
  </si>
  <si>
    <t xml:space="preserve">few morts </t>
  </si>
  <si>
    <t>JB/IC</t>
  </si>
  <si>
    <t>IC/JB</t>
  </si>
  <si>
    <t>Flows restricted sometime over night. Appx half of what was set in pm</t>
  </si>
  <si>
    <t xml:space="preserve">Accidental cope feeding in AM </t>
  </si>
  <si>
    <t>board changed to B2 only?</t>
  </si>
  <si>
    <t>saw some artemia in tank this morning</t>
  </si>
  <si>
    <t xml:space="preserve">yesterday this tank got fed artemia early :( </t>
  </si>
  <si>
    <t>C1</t>
  </si>
  <si>
    <t>a few morts but spread out over tank bottom, not siphoning</t>
  </si>
  <si>
    <t>drop, spot siphoned</t>
  </si>
  <si>
    <t>drop, spot siphoned before algae</t>
  </si>
  <si>
    <t xml:space="preserve">low on ENR, fed half NH + half ENR </t>
  </si>
  <si>
    <t>good amount of leftover artem, look pretty big. Might've accidentally been fed ENR?</t>
  </si>
  <si>
    <t xml:space="preserve">accidentally fed dry? Not on board, but lots of brown debris spread out on bottom of tank </t>
  </si>
  <si>
    <t>10 + 3</t>
  </si>
  <si>
    <t>10 potter morts, also 3 morts on screen that looked like tang? Could have been left on screen or in siphon from other tank(s)</t>
  </si>
  <si>
    <t>150k algae, adult copes</t>
  </si>
  <si>
    <t>Tank #:</t>
  </si>
  <si>
    <t>Volume (L):</t>
  </si>
  <si>
    <t>4 days</t>
  </si>
  <si>
    <t>BIOTA 'Research' Tank</t>
  </si>
  <si>
    <t>some leftover artem</t>
  </si>
  <si>
    <t>AP+JB</t>
  </si>
  <si>
    <t xml:space="preserve">Still one fish not settled </t>
  </si>
  <si>
    <t>Small jellies</t>
  </si>
  <si>
    <t>Wrasse! But some drops.</t>
  </si>
  <si>
    <t>jellyfish :(</t>
  </si>
  <si>
    <t>Off NH, ENR 3x/day</t>
  </si>
  <si>
    <t>1 mort, eyes bugged out</t>
  </si>
  <si>
    <t>pulled one out and moved to 200-10, acting weird (staying still) and white growth on side of head</t>
  </si>
  <si>
    <t>4.4k eggs stocked</t>
  </si>
  <si>
    <t xml:space="preserve">4.1k eggs stocked </t>
  </si>
  <si>
    <t>Two potters moved to 200-9. Tank dumped</t>
  </si>
  <si>
    <t>So many jelly fish</t>
  </si>
  <si>
    <t>Extending NH. Pots look smaller</t>
  </si>
  <si>
    <t>a lot of AM flashing but calmed down as day went on. No Shade cloth yet</t>
  </si>
  <si>
    <t>4.6k eggs stocked</t>
  </si>
  <si>
    <t xml:space="preserve">16 pots to biota. 1 unsettled to T4 aulani </t>
  </si>
  <si>
    <t>left over artemia, switched to 1000um standpipe, AM fluttering, Shadecloth added</t>
  </si>
  <si>
    <t>some fluttering throughout day</t>
  </si>
  <si>
    <t>estimate- siphon tube emptying into bucket rather than filter screen</t>
  </si>
  <si>
    <r>
      <t xml:space="preserve">Added 6.3k eggs. </t>
    </r>
    <r>
      <rPr>
        <sz val="11"/>
        <color rgb="FFFF0000"/>
        <rFont val="Calibri"/>
        <family val="2"/>
        <scheme val="minor"/>
      </rPr>
      <t xml:space="preserve">Note: gill flukes present in some potter's groups, use caution when handling this tank. </t>
    </r>
  </si>
  <si>
    <t>pile of morts seen in am, attempted to spot sihpon in pm</t>
  </si>
  <si>
    <t>Added 5.7k eggs</t>
  </si>
  <si>
    <t>Added 3.9k eggs + 28 HCW</t>
  </si>
  <si>
    <t>o2 sensor moved to t9</t>
  </si>
  <si>
    <t>A2 + B2</t>
  </si>
  <si>
    <t xml:space="preserve">about half shade cloth </t>
  </si>
  <si>
    <t>7.6k eggs stocked</t>
  </si>
  <si>
    <t>7.6k +</t>
  </si>
  <si>
    <t>Add a fan with timer 7am-7pm 4.9k eggs</t>
  </si>
  <si>
    <t>28 HCW</t>
  </si>
  <si>
    <t>2.3k eggs stocked</t>
  </si>
  <si>
    <t>3.6k eggs stocked</t>
  </si>
  <si>
    <t>Big drop, spot siphoned</t>
  </si>
  <si>
    <t>300+</t>
  </si>
  <si>
    <t>some too small, washed through 500 um screen</t>
  </si>
  <si>
    <t>3.4k eggs stocked</t>
  </si>
  <si>
    <t xml:space="preserve">changed to 500 um screen </t>
  </si>
  <si>
    <t>another decent drop</t>
  </si>
  <si>
    <t>but still small to count</t>
  </si>
  <si>
    <t>AM flows may not have been turned off until midmorning. Tank was mostly clear by noticing in PM. 10 liters of algae added in PM approx 3:30</t>
  </si>
  <si>
    <t>Begin taper to 75K x2</t>
  </si>
  <si>
    <t>spot siphoned</t>
  </si>
  <si>
    <t>Drop, spot siphoned; morts had pink bacteria</t>
  </si>
  <si>
    <t>too small, not eating C1 well</t>
  </si>
  <si>
    <t>18+</t>
  </si>
  <si>
    <t>lots of worms? Some red, still alive and moving; others dead and browned, more rigid? # made it difficult to see and count fish morts</t>
  </si>
  <si>
    <t xml:space="preserve">End 3x per day. Begin standard protocol </t>
  </si>
  <si>
    <t>Left over artemia, screen too small, switched to 500</t>
  </si>
  <si>
    <t>x5 feedings</t>
  </si>
  <si>
    <t>keep mixing in small amounts of C1 until they are ready</t>
  </si>
  <si>
    <t xml:space="preserve">2X, increase to .05 if clearing </t>
  </si>
  <si>
    <t>board not updated, no calaf fed</t>
  </si>
  <si>
    <t>AR pods/calaf</t>
  </si>
  <si>
    <t>not fed pm copes, 6m total harvest</t>
  </si>
  <si>
    <t>Leftover artemia</t>
  </si>
  <si>
    <t>worms</t>
  </si>
  <si>
    <t>off adults today- total demand too high</t>
  </si>
  <si>
    <t>Lots of leftover artemia</t>
  </si>
  <si>
    <t>Switching to 1000 um</t>
  </si>
  <si>
    <t>flows left on until around 11:30 AM, given pm algae</t>
  </si>
  <si>
    <t>50k adults x1</t>
  </si>
  <si>
    <t>am feed only, short on adult copes</t>
  </si>
  <si>
    <t>Extending B2</t>
  </si>
  <si>
    <t>1000 um screen</t>
  </si>
  <si>
    <t>looks light</t>
  </si>
  <si>
    <t>B2+C1</t>
  </si>
  <si>
    <t>Switched to ASW recirc at end of day</t>
  </si>
  <si>
    <t>may be slightly less in pm? Was accidetally feeding into wrong tank, caught about 75% way through (tried to estimate amount to add)</t>
  </si>
  <si>
    <t>shorted last feed, low on ENR</t>
  </si>
  <si>
    <t>am only and flows turned off, low on algae</t>
  </si>
  <si>
    <t>am feed only, decided to drop tank</t>
  </si>
  <si>
    <t>leftover artemia</t>
  </si>
  <si>
    <t>Tank dropped</t>
  </si>
  <si>
    <t>88 potters moved to T7 Potters (Run 17)</t>
  </si>
  <si>
    <t>88 potters added from T5 Potters (Run 16)</t>
  </si>
  <si>
    <t>small</t>
  </si>
  <si>
    <t>flows were off in am, but had 0.03 NH3 so turned back on and fed pm algae as well</t>
  </si>
  <si>
    <t>lots of worms and worm casings(?), somewhat difficult to count fish morts</t>
  </si>
  <si>
    <t>some worms, less than yesterday</t>
  </si>
  <si>
    <t>.1.</t>
  </si>
  <si>
    <t>..1</t>
  </si>
  <si>
    <t>25k adults x2</t>
  </si>
  <si>
    <t>low adult copes</t>
  </si>
  <si>
    <t>Fished out some jelly fish</t>
  </si>
  <si>
    <t>fished out jelly fish</t>
  </si>
  <si>
    <t>Switched to recirc water</t>
  </si>
  <si>
    <t>Ar pods/calaf</t>
  </si>
  <si>
    <t>re-added b2, still seem smaller</t>
  </si>
  <si>
    <t>starting 5x a day</t>
  </si>
  <si>
    <t>keeping b1</t>
  </si>
  <si>
    <t xml:space="preserve">pm algae given late, around 2:30 pm </t>
  </si>
  <si>
    <t>seeing some size variations. Might expect to see smaller fish drop soon.</t>
  </si>
  <si>
    <t>AR Pods</t>
  </si>
  <si>
    <t>keeping a2</t>
  </si>
  <si>
    <t>paint film :(</t>
  </si>
  <si>
    <t>some fluttering, one in particular at surface mid-day</t>
  </si>
  <si>
    <t>paint film</t>
  </si>
  <si>
    <t>some fluttering</t>
  </si>
  <si>
    <t>swiched to flowthrough at end of day</t>
  </si>
  <si>
    <t>tried to take off algae. Caused much fluttering. Algae added just before morning meeting</t>
  </si>
  <si>
    <t>switch back to recirc</t>
  </si>
  <si>
    <t>feeding 5x</t>
  </si>
  <si>
    <t>seemed bloated, bubble gut??</t>
  </si>
  <si>
    <t>am only</t>
  </si>
  <si>
    <t>keep B2 and light C1</t>
  </si>
  <si>
    <t>2 clear BT added from T11 run 29</t>
  </si>
  <si>
    <t>trying AM agae only tomorrow</t>
  </si>
  <si>
    <t>AR/JB</t>
  </si>
  <si>
    <t>no flow</t>
  </si>
  <si>
    <t>2200 stocked</t>
  </si>
  <si>
    <t>500 stocked</t>
  </si>
  <si>
    <t>1650 stocked</t>
  </si>
  <si>
    <t>75k</t>
  </si>
  <si>
    <t>added coral</t>
  </si>
  <si>
    <t xml:space="preserve">Note: this tank is way understocked, looks very light from the beginning. Manu requested to run it for a week. </t>
  </si>
  <si>
    <r>
      <t xml:space="preserve">150k algae, adult copes, </t>
    </r>
    <r>
      <rPr>
        <sz val="11"/>
        <color rgb="FFFF0000"/>
        <rFont val="Calibri"/>
        <family val="2"/>
        <scheme val="minor"/>
      </rPr>
      <t>flow off first 3 days, filled with 1um bag</t>
    </r>
    <r>
      <rPr>
        <sz val="11"/>
        <color theme="1"/>
        <rFont val="Calibri"/>
        <family val="2"/>
        <scheme val="minor"/>
      </rPr>
      <t>.</t>
    </r>
  </si>
  <si>
    <t>re-added b2</t>
  </si>
  <si>
    <t>tang</t>
  </si>
  <si>
    <t>Stocked 1.8k eggs</t>
  </si>
  <si>
    <t>Keeping on Algae</t>
  </si>
  <si>
    <t>Stocked 2.8k eggs</t>
  </si>
  <si>
    <t>Stocked 4.3k eggs</t>
  </si>
  <si>
    <t>Jb/AP</t>
  </si>
  <si>
    <t>Harvested 22 Potters, 11 wrasse.</t>
  </si>
  <si>
    <t>11 Pots to Biota. 11 Pots to T8</t>
  </si>
  <si>
    <t>22 pots</t>
  </si>
  <si>
    <t>11 wrasse</t>
  </si>
  <si>
    <t>11 pots added from T9 run 14</t>
  </si>
  <si>
    <t xml:space="preserve">150k algae, adult copes, 4 days stocking. </t>
  </si>
  <si>
    <t>short on algae</t>
  </si>
  <si>
    <t>short on pm copes</t>
  </si>
  <si>
    <t>seem to be dying in the morning/throughout the day</t>
  </si>
  <si>
    <t>double light shade added and hanging pvc structure.</t>
  </si>
  <si>
    <t>B2 + FK</t>
  </si>
  <si>
    <t xml:space="preserve">morning morts continue </t>
  </si>
  <si>
    <t>not nearly big enough for C1</t>
  </si>
  <si>
    <t>lost flow sometime overnight, recirc drained to wrong place</t>
  </si>
  <si>
    <t>shorted throughout day, low on ENR</t>
  </si>
  <si>
    <t>extra to supplement low ENR</t>
  </si>
  <si>
    <t>75k algae, adult copes</t>
  </si>
  <si>
    <t>75kx2</t>
  </si>
  <si>
    <t>OMO potter's</t>
  </si>
  <si>
    <t>2.5k eggs added</t>
  </si>
  <si>
    <t>Flow off</t>
  </si>
  <si>
    <t>3k eggs added</t>
  </si>
  <si>
    <t>slightly shorted + one half feed, low on ENR</t>
  </si>
  <si>
    <t>1.9k eggs added</t>
  </si>
  <si>
    <t>25k adults x1</t>
  </si>
  <si>
    <t>dropped to 25k, adult demand too high; am only, short on adults</t>
  </si>
  <si>
    <t>mix NH in last feed</t>
  </si>
  <si>
    <t>some fish are settling</t>
  </si>
  <si>
    <t>25k</t>
  </si>
  <si>
    <t>keep b2 and light C1</t>
  </si>
  <si>
    <t>a few have yet to settle</t>
  </si>
  <si>
    <t>morning morts again,</t>
  </si>
  <si>
    <t xml:space="preserve">low ENR </t>
  </si>
  <si>
    <t>75k x1</t>
  </si>
  <si>
    <t>just AM algae, flow remained 3/6</t>
  </si>
  <si>
    <t>low ENR</t>
  </si>
  <si>
    <t>but they seemed to like NH</t>
  </si>
  <si>
    <t>2.5k+3k+1.9k+1.5k</t>
  </si>
  <si>
    <t xml:space="preserve">Add a fan with timer 7am-7pm, 1.5k eggs added. </t>
  </si>
  <si>
    <t>one with bad pop-eye, maybe starting to get infected- can't swim very well :( moved to 200-4</t>
  </si>
  <si>
    <t>given a little NH with first feed</t>
  </si>
  <si>
    <t>75k z1</t>
  </si>
  <si>
    <t>AM only</t>
  </si>
  <si>
    <t>FLOWTHROUGH, mass morts in recirc overnight</t>
  </si>
  <si>
    <t>8 potters, 3 wrass added from T7 run 17</t>
  </si>
  <si>
    <t>8 potters, 3 wrasse moved to T8 run 15</t>
  </si>
  <si>
    <t>no algae</t>
  </si>
  <si>
    <t>half NH feeds, low on ENR</t>
  </si>
  <si>
    <t>270 +/-</t>
  </si>
  <si>
    <t>dropped tank :( majority, if not all, dead</t>
  </si>
  <si>
    <t>some drop, not siphoned due to age</t>
  </si>
  <si>
    <t>back to recirc last night</t>
  </si>
  <si>
    <t>12 potters to Biota and about 20-25 smalls left</t>
  </si>
  <si>
    <t xml:space="preserve">B2 + C1 </t>
  </si>
  <si>
    <t>keeping B2</t>
  </si>
  <si>
    <t>cant clear ENR yet, only x2</t>
  </si>
  <si>
    <t>low on n&amp;e</t>
  </si>
  <si>
    <t>short on adults</t>
  </si>
  <si>
    <t>no NH; air went out sometime overnight</t>
  </si>
  <si>
    <t>low on adults</t>
  </si>
  <si>
    <t>slightly shorted throughout day, low on ENR</t>
  </si>
  <si>
    <t>very small</t>
  </si>
  <si>
    <t>low on rotifers</t>
  </si>
  <si>
    <t>moved out 1 fish</t>
  </si>
  <si>
    <t>network not working, backlogged 8/13</t>
  </si>
  <si>
    <t>board not updated, network down</t>
  </si>
  <si>
    <t>taken off board early</t>
  </si>
  <si>
    <t>B2+C2</t>
  </si>
  <si>
    <t>fed day 1 ENR, NH in last feed</t>
  </si>
  <si>
    <t>keep B1 for a while longer</t>
  </si>
  <si>
    <t>B1 + B2</t>
  </si>
  <si>
    <t>24 potters, 3 cleaner wrasse to Biota</t>
  </si>
  <si>
    <t>75 x2</t>
  </si>
  <si>
    <t>not big enough for C1</t>
  </si>
  <si>
    <t>off adult copes. High hatchery cope demand</t>
  </si>
  <si>
    <t>75x1 AM only</t>
  </si>
  <si>
    <t>Keep A2 in diet until  day 40 (today)</t>
  </si>
  <si>
    <t>75kx1 AM only</t>
  </si>
  <si>
    <t>75k x1 AM only</t>
  </si>
  <si>
    <t>still some fluttering, added a shade cloth seemed to help a little</t>
  </si>
  <si>
    <t>*feed timings were off today</t>
  </si>
  <si>
    <t>off algae</t>
  </si>
  <si>
    <t>4 not looking good at end of day</t>
  </si>
  <si>
    <t>not given pm algae due to flows being high</t>
  </si>
  <si>
    <t>1 not looking well at end of day</t>
  </si>
  <si>
    <t>small amounts of B1 for fish from T9</t>
  </si>
  <si>
    <t>1 small, likely from T9</t>
  </si>
  <si>
    <t>15 small potters added from T9 Potters (Run 20)</t>
  </si>
  <si>
    <t>15 small potters moved to T12 Potters (Run 18)</t>
  </si>
  <si>
    <t>short on adults, added for fish from T9</t>
  </si>
  <si>
    <t>flutter</t>
  </si>
  <si>
    <t>late afternoon, small</t>
  </si>
  <si>
    <t>Stocked 1.3k eggs</t>
  </si>
  <si>
    <t>Stocked 0.4k eggs</t>
  </si>
  <si>
    <t>Stocked 0.3k eggs</t>
  </si>
  <si>
    <t>fed ENR at all feedings</t>
  </si>
  <si>
    <t>1 small one fluttering</t>
  </si>
  <si>
    <t>tank actually looks pretty good. Slow and steady</t>
  </si>
  <si>
    <t>off</t>
  </si>
  <si>
    <t>Arpods/ calaf</t>
  </si>
  <si>
    <t>still looks good</t>
  </si>
  <si>
    <t>AR pods/ Calaf</t>
  </si>
  <si>
    <t>this could be a really good tank</t>
  </si>
  <si>
    <t>small drop, started siphoning early</t>
  </si>
  <si>
    <t>settled</t>
  </si>
  <si>
    <t>flows accidentally left high, behaviors seemed normal throughout day though</t>
  </si>
  <si>
    <t>AP/KH</t>
  </si>
  <si>
    <t>x5</t>
  </si>
  <si>
    <t>dropped out during day? Not all these were there in am -kh</t>
  </si>
  <si>
    <t>partial harvest: 6 to Biota</t>
  </si>
  <si>
    <t xml:space="preserve">KH harvested rest of tank 35 potter's, 41 total from this tank. </t>
  </si>
  <si>
    <t>LH</t>
  </si>
  <si>
    <t>a smaller fish seen fluttering on surface and water column</t>
  </si>
  <si>
    <t>lights were on, likely overnight- don't seem too affected</t>
  </si>
  <si>
    <t>keeping B1</t>
  </si>
  <si>
    <t>75k AM</t>
  </si>
  <si>
    <t>no C1</t>
  </si>
  <si>
    <t>extend AM                    algae a few more days</t>
  </si>
  <si>
    <t>lots of fluttering today, extending algae a bit</t>
  </si>
  <si>
    <t>some skittitsh-ness, added 37.5k in PM</t>
  </si>
  <si>
    <t>one pulled out last night, cloudy eye</t>
  </si>
  <si>
    <t>really starting to settle now!</t>
  </si>
  <si>
    <t>fed ENR 4x</t>
  </si>
  <si>
    <t>AR./calaf</t>
  </si>
  <si>
    <t>AR/ calaf</t>
  </si>
  <si>
    <t>OMO white tanks (last spawns of the wild potter's Tom collected)</t>
  </si>
  <si>
    <t>AR/calaf</t>
  </si>
  <si>
    <t>mostly B2</t>
  </si>
  <si>
    <t>AR/Calaf</t>
  </si>
  <si>
    <t>hanging structure added</t>
  </si>
  <si>
    <t>smaller</t>
  </si>
  <si>
    <t>ending NH</t>
  </si>
  <si>
    <t>ending B1</t>
  </si>
  <si>
    <t>these should end, fish are settled.</t>
  </si>
  <si>
    <t>very very small potter</t>
  </si>
  <si>
    <t>Partial harvest: 24 potters to biota</t>
  </si>
  <si>
    <t>57 harvested. 1 unsettled to T5 aulani tank</t>
  </si>
  <si>
    <t>BEST 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</si>
</sst>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d/yy;@"/>
    <numFmt numFmtId="166" formatCode="m/d;@"/>
  </numFmts>
  <fonts count="20" x14ac:knownFonts="1">
    <font>
      <sz val="11"/>
      <color theme="1"/>
      <name val="Calibri"/>
      <family val="2"/>
      <scheme val="minor"/>
    </font>
    <font>
      <sz val="11"/>
      <color theme="1"/>
      <name val="Calibri"/>
      <family val="2"/>
      <scheme val="minor"/>
    </font>
    <font>
      <sz val="11"/>
      <color rgb="FF00610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Verdana"/>
      <family val="2"/>
    </font>
    <font>
      <b/>
      <sz val="16"/>
      <name val="Verdana"/>
      <family val="2"/>
    </font>
    <font>
      <b/>
      <sz val="18"/>
      <name val="Verdana"/>
      <family val="2"/>
    </font>
    <font>
      <b/>
      <sz val="14"/>
      <name val="Verdana"/>
      <family val="2"/>
    </font>
    <font>
      <b/>
      <sz val="10"/>
      <name val="Verdana"/>
      <family val="2"/>
    </font>
    <font>
      <b/>
      <sz val="10"/>
      <name val="Calibri"/>
      <family val="2"/>
    </font>
    <font>
      <b/>
      <sz val="9"/>
      <name val="Verdana"/>
      <family val="2"/>
    </font>
    <font>
      <sz val="11"/>
      <color theme="1"/>
      <name val="Calibri"/>
      <family val="2"/>
    </font>
    <font>
      <b/>
      <sz val="36"/>
      <name val="Verdana"/>
      <family val="2"/>
    </font>
    <font>
      <b/>
      <sz val="18"/>
      <color theme="1"/>
      <name val="Calibri"/>
      <family val="2"/>
      <scheme val="minor"/>
    </font>
    <font>
      <sz val="16"/>
      <color theme="1"/>
      <name val="Calibri"/>
      <family val="2"/>
      <scheme val="minor"/>
    </font>
    <font>
      <sz val="11"/>
      <color rgb="FF9C0006"/>
      <name val="Calibri"/>
      <family val="2"/>
      <scheme val="minor"/>
    </font>
    <font>
      <sz val="11"/>
      <name val="Calibri"/>
      <family val="2"/>
      <scheme val="minor"/>
    </font>
    <font>
      <b/>
      <sz val="11"/>
      <color rgb="FFFF0000"/>
      <name val="Calibri"/>
      <family val="2"/>
      <scheme val="minor"/>
    </font>
  </fonts>
  <fills count="28">
    <fill>
      <patternFill patternType="none"/>
    </fill>
    <fill>
      <patternFill patternType="gray125"/>
    </fill>
    <fill>
      <patternFill patternType="solid">
        <fgColor rgb="FFC6EFCE"/>
      </patternFill>
    </fill>
    <fill>
      <patternFill patternType="solid">
        <fgColor theme="0" tint="-0.14999847407452621"/>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4F71FF"/>
        <bgColor indexed="64"/>
      </patternFill>
    </fill>
    <fill>
      <patternFill patternType="solid">
        <fgColor rgb="FFFA7A7A"/>
        <bgColor indexed="64"/>
      </patternFill>
    </fill>
    <fill>
      <patternFill patternType="solid">
        <fgColor rgb="FFFF8811"/>
        <bgColor indexed="64"/>
      </patternFill>
    </fill>
    <fill>
      <patternFill patternType="solid">
        <fgColor rgb="FFBCA372"/>
        <bgColor indexed="64"/>
      </patternFill>
    </fill>
    <fill>
      <patternFill patternType="solid">
        <fgColor rgb="FFC198E0"/>
        <bgColor indexed="64"/>
      </patternFill>
    </fill>
    <fill>
      <patternFill patternType="solid">
        <fgColor theme="7" tint="0.39997558519241921"/>
        <bgColor indexed="64"/>
      </patternFill>
    </fill>
    <fill>
      <patternFill patternType="solid">
        <fgColor rgb="FFC6E0B4"/>
        <bgColor indexed="64"/>
      </patternFill>
    </fill>
    <fill>
      <patternFill patternType="solid">
        <fgColor rgb="FF00B0F0"/>
        <bgColor indexed="64"/>
      </patternFill>
    </fill>
    <fill>
      <patternFill patternType="solid">
        <fgColor rgb="FFF56851"/>
        <bgColor indexed="64"/>
      </patternFill>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4"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8" tint="0.39997558519241921"/>
        <bgColor indexed="64"/>
      </patternFill>
    </fill>
    <fill>
      <patternFill patternType="solid">
        <fgColor theme="5" tint="0.39997558519241921"/>
        <bgColor indexed="64"/>
      </patternFill>
    </fill>
    <fill>
      <patternFill patternType="solid">
        <fgColor theme="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1"/>
        <bgColor indexed="64"/>
      </patternFill>
    </fill>
  </fills>
  <borders count="8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style="medium">
        <color indexed="64"/>
      </right>
      <top style="medium">
        <color indexed="64"/>
      </top>
      <bottom/>
      <diagonal/>
    </border>
    <border>
      <left style="medium">
        <color auto="1"/>
      </left>
      <right/>
      <top/>
      <bottom/>
      <diagonal/>
    </border>
    <border>
      <left/>
      <right style="medium">
        <color auto="1"/>
      </right>
      <top/>
      <bottom/>
      <diagonal/>
    </border>
    <border>
      <left style="medium">
        <color indexed="64"/>
      </left>
      <right style="medium">
        <color indexed="64"/>
      </right>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dashDotDot">
        <color auto="1"/>
      </right>
      <top/>
      <bottom style="thin">
        <color auto="1"/>
      </bottom>
      <diagonal/>
    </border>
    <border>
      <left style="medium">
        <color indexed="64"/>
      </left>
      <right style="medium">
        <color indexed="64"/>
      </right>
      <top/>
      <bottom style="thin">
        <color auto="1"/>
      </bottom>
      <diagonal/>
    </border>
    <border>
      <left style="medium">
        <color auto="1"/>
      </left>
      <right/>
      <top style="thin">
        <color auto="1"/>
      </top>
      <bottom/>
      <diagonal/>
    </border>
    <border>
      <left/>
      <right/>
      <top style="thin">
        <color auto="1"/>
      </top>
      <bottom/>
      <diagonal/>
    </border>
    <border>
      <left/>
      <right style="dashDot">
        <color auto="1"/>
      </right>
      <top style="thin">
        <color auto="1"/>
      </top>
      <bottom/>
      <diagonal/>
    </border>
    <border>
      <left style="dashDot">
        <color auto="1"/>
      </left>
      <right/>
      <top style="thin">
        <color auto="1"/>
      </top>
      <bottom/>
      <diagonal/>
    </border>
    <border>
      <left/>
      <right style="medium">
        <color auto="1"/>
      </right>
      <top style="thin">
        <color auto="1"/>
      </top>
      <bottom/>
      <diagonal/>
    </border>
    <border>
      <left/>
      <right style="dashDot">
        <color auto="1"/>
      </right>
      <top style="medium">
        <color auto="1"/>
      </top>
      <bottom/>
      <diagonal/>
    </border>
    <border>
      <left style="dashDot">
        <color auto="1"/>
      </left>
      <right style="dashDot">
        <color auto="1"/>
      </right>
      <top style="medium">
        <color auto="1"/>
      </top>
      <bottom/>
      <diagonal/>
    </border>
    <border>
      <left style="medium">
        <color auto="1"/>
      </left>
      <right style="dashDot">
        <color auto="1"/>
      </right>
      <top style="medium">
        <color auto="1"/>
      </top>
      <bottom/>
      <diagonal/>
    </border>
    <border>
      <left style="dashDot">
        <color auto="1"/>
      </left>
      <right style="medium">
        <color auto="1"/>
      </right>
      <top style="medium">
        <color auto="1"/>
      </top>
      <bottom/>
      <diagonal/>
    </border>
    <border>
      <left style="medium">
        <color auto="1"/>
      </left>
      <right style="thin">
        <color indexed="64"/>
      </right>
      <top style="thin">
        <color auto="1"/>
      </top>
      <bottom/>
      <diagonal/>
    </border>
    <border>
      <left style="thin">
        <color indexed="64"/>
      </left>
      <right style="thin">
        <color indexed="64"/>
      </right>
      <top style="thin">
        <color auto="1"/>
      </top>
      <bottom/>
      <diagonal/>
    </border>
    <border>
      <left/>
      <right style="thin">
        <color indexed="64"/>
      </right>
      <top style="thin">
        <color auto="1"/>
      </top>
      <bottom/>
      <diagonal/>
    </border>
    <border>
      <left style="medium">
        <color indexed="64"/>
      </left>
      <right style="dashDotDot">
        <color indexed="64"/>
      </right>
      <top style="thin">
        <color auto="1"/>
      </top>
      <bottom/>
      <diagonal/>
    </border>
    <border>
      <left/>
      <right style="dashDot">
        <color auto="1"/>
      </right>
      <top/>
      <bottom/>
      <diagonal/>
    </border>
    <border>
      <left style="dashDot">
        <color auto="1"/>
      </left>
      <right/>
      <top/>
      <bottom/>
      <diagonal/>
    </border>
    <border>
      <left style="dashDot">
        <color auto="1"/>
      </left>
      <right style="dashDot">
        <color auto="1"/>
      </right>
      <top/>
      <bottom/>
      <diagonal/>
    </border>
    <border>
      <left style="medium">
        <color auto="1"/>
      </left>
      <right style="dashDot">
        <color auto="1"/>
      </right>
      <top/>
      <bottom/>
      <diagonal/>
    </border>
    <border>
      <left style="dashDot">
        <color auto="1"/>
      </left>
      <right style="medium">
        <color auto="1"/>
      </right>
      <top/>
      <bottom/>
      <diagonal/>
    </border>
    <border>
      <left style="medium">
        <color auto="1"/>
      </left>
      <right style="thin">
        <color indexed="64"/>
      </right>
      <top/>
      <bottom/>
      <diagonal/>
    </border>
    <border>
      <left style="thin">
        <color indexed="64"/>
      </left>
      <right style="thin">
        <color indexed="64"/>
      </right>
      <top/>
      <bottom/>
      <diagonal/>
    </border>
    <border>
      <left/>
      <right style="thin">
        <color indexed="64"/>
      </right>
      <top/>
      <bottom/>
      <diagonal/>
    </border>
    <border>
      <left style="medium">
        <color indexed="64"/>
      </left>
      <right style="dashDotDot">
        <color indexed="64"/>
      </right>
      <top/>
      <bottom/>
      <diagonal/>
    </border>
    <border>
      <left style="medium">
        <color auto="1"/>
      </left>
      <right/>
      <top/>
      <bottom style="medium">
        <color auto="1"/>
      </bottom>
      <diagonal/>
    </border>
    <border>
      <left/>
      <right/>
      <top/>
      <bottom style="medium">
        <color auto="1"/>
      </bottom>
      <diagonal/>
    </border>
    <border>
      <left/>
      <right style="dashDot">
        <color auto="1"/>
      </right>
      <top/>
      <bottom style="medium">
        <color auto="1"/>
      </bottom>
      <diagonal/>
    </border>
    <border>
      <left style="dashDot">
        <color auto="1"/>
      </left>
      <right/>
      <top/>
      <bottom style="medium">
        <color auto="1"/>
      </bottom>
      <diagonal/>
    </border>
    <border>
      <left/>
      <right style="medium">
        <color auto="1"/>
      </right>
      <top/>
      <bottom style="medium">
        <color auto="1"/>
      </bottom>
      <diagonal/>
    </border>
    <border>
      <left style="dashDot">
        <color auto="1"/>
      </left>
      <right style="dashDot">
        <color auto="1"/>
      </right>
      <top/>
      <bottom style="medium">
        <color auto="1"/>
      </bottom>
      <diagonal/>
    </border>
    <border>
      <left style="medium">
        <color auto="1"/>
      </left>
      <right style="dashDot">
        <color auto="1"/>
      </right>
      <top/>
      <bottom style="medium">
        <color auto="1"/>
      </bottom>
      <diagonal/>
    </border>
    <border>
      <left style="dashDot">
        <color auto="1"/>
      </left>
      <right style="medium">
        <color auto="1"/>
      </right>
      <top/>
      <bottom style="medium">
        <color auto="1"/>
      </bottom>
      <diagonal/>
    </border>
    <border>
      <left style="thin">
        <color indexed="64"/>
      </left>
      <right style="thin">
        <color indexed="64"/>
      </right>
      <top/>
      <bottom style="medium">
        <color auto="1"/>
      </bottom>
      <diagonal/>
    </border>
    <border>
      <left/>
      <right style="thin">
        <color indexed="64"/>
      </right>
      <top/>
      <bottom style="medium">
        <color auto="1"/>
      </bottom>
      <diagonal/>
    </border>
    <border>
      <left style="medium">
        <color indexed="64"/>
      </left>
      <right style="dashDotDot">
        <color indexed="64"/>
      </right>
      <top/>
      <bottom style="medium">
        <color auto="1"/>
      </bottom>
      <diagonal/>
    </border>
    <border>
      <left style="medium">
        <color indexed="64"/>
      </left>
      <right style="medium">
        <color indexed="64"/>
      </right>
      <top/>
      <bottom style="medium">
        <color auto="1"/>
      </bottom>
      <diagonal/>
    </border>
    <border>
      <left/>
      <right style="dashDotDot">
        <color auto="1"/>
      </right>
      <top style="medium">
        <color theme="4" tint="0.39997558519241921"/>
      </top>
      <bottom style="medium">
        <color theme="4" tint="0.39997558519241921"/>
      </bottom>
      <diagonal/>
    </border>
    <border>
      <left/>
      <right style="thin">
        <color indexed="64"/>
      </right>
      <top style="medium">
        <color auto="1"/>
      </top>
      <bottom/>
      <diagonal/>
    </border>
    <border>
      <left/>
      <right style="dashDotDot">
        <color auto="1"/>
      </right>
      <top/>
      <bottom/>
      <diagonal/>
    </border>
    <border>
      <left style="medium">
        <color auto="1"/>
      </left>
      <right/>
      <top/>
      <bottom style="medium">
        <color theme="5" tint="0.39997558519241921"/>
      </bottom>
      <diagonal/>
    </border>
    <border>
      <left/>
      <right/>
      <top/>
      <bottom style="medium">
        <color theme="9" tint="0.39997558519241921"/>
      </bottom>
      <diagonal/>
    </border>
    <border>
      <left style="medium">
        <color auto="1"/>
      </left>
      <right/>
      <top style="medium">
        <color rgb="FF4F71FF"/>
      </top>
      <bottom style="medium">
        <color rgb="FF4F71FF"/>
      </bottom>
      <diagonal/>
    </border>
    <border>
      <left/>
      <right/>
      <top style="medium">
        <color theme="9" tint="0.39997558519241921"/>
      </top>
      <bottom style="medium">
        <color theme="9" tint="0.39997558519241921"/>
      </bottom>
      <diagonal/>
    </border>
    <border>
      <left style="dashDot">
        <color auto="1"/>
      </left>
      <right style="dashDot">
        <color auto="1"/>
      </right>
      <top style="medium">
        <color rgb="FF4F71FF"/>
      </top>
      <bottom style="medium">
        <color rgb="FF4F71FF"/>
      </bottom>
      <diagonal/>
    </border>
    <border>
      <left style="dashDot">
        <color auto="1"/>
      </left>
      <right style="dashDot">
        <color auto="1"/>
      </right>
      <top style="medium">
        <color rgb="FF4F71FF"/>
      </top>
      <bottom/>
      <diagonal/>
    </border>
    <border>
      <left/>
      <right/>
      <top style="thin">
        <color theme="6"/>
      </top>
      <bottom style="thin">
        <color theme="6"/>
      </bottom>
      <diagonal/>
    </border>
    <border>
      <left style="dashDot">
        <color auto="1"/>
      </left>
      <right style="dashDot">
        <color auto="1"/>
      </right>
      <top style="medium">
        <color rgb="FFFA7A7A"/>
      </top>
      <bottom style="medium">
        <color rgb="FFFA7A7A"/>
      </bottom>
      <diagonal/>
    </border>
    <border>
      <left style="dashDot">
        <color auto="1"/>
      </left>
      <right style="dashDot">
        <color auto="1"/>
      </right>
      <top/>
      <bottom style="medium">
        <color rgb="FF4F71FF"/>
      </bottom>
      <diagonal/>
    </border>
    <border>
      <left style="medium">
        <color auto="1"/>
      </left>
      <right/>
      <top/>
      <bottom style="medium">
        <color rgb="FFFA7A7A"/>
      </bottom>
      <diagonal/>
    </border>
    <border>
      <left/>
      <right/>
      <top/>
      <bottom style="medium">
        <color rgb="FFFA7A7A"/>
      </bottom>
      <diagonal/>
    </border>
    <border>
      <left/>
      <right style="dashDot">
        <color auto="1"/>
      </right>
      <top/>
      <bottom style="medium">
        <color rgb="FFFA7A7A"/>
      </bottom>
      <diagonal/>
    </border>
    <border>
      <left/>
      <right/>
      <top style="medium">
        <color rgb="FFBCA372"/>
      </top>
      <bottom style="medium">
        <color rgb="FFBCA372"/>
      </bottom>
      <diagonal/>
    </border>
    <border>
      <left style="medium">
        <color auto="1"/>
      </left>
      <right/>
      <top style="medium">
        <color rgb="FFFA7A7A"/>
      </top>
      <bottom style="medium">
        <color rgb="FFFA7A7A"/>
      </bottom>
      <diagonal/>
    </border>
    <border>
      <left/>
      <right/>
      <top style="medium">
        <color rgb="FFFA7A7A"/>
      </top>
      <bottom style="medium">
        <color rgb="FFFA7A7A"/>
      </bottom>
      <diagonal/>
    </border>
    <border>
      <left/>
      <right style="dashDot">
        <color auto="1"/>
      </right>
      <top style="medium">
        <color rgb="FFFA7A7A"/>
      </top>
      <bottom style="medium">
        <color rgb="FFFA7A7A"/>
      </bottom>
      <diagonal/>
    </border>
    <border>
      <left style="dashDot">
        <color auto="1"/>
      </left>
      <right/>
      <top style="medium">
        <color rgb="FF4F71FF"/>
      </top>
      <bottom style="medium">
        <color rgb="FF4F71FF"/>
      </bottom>
      <diagonal/>
    </border>
    <border>
      <left/>
      <right/>
      <top style="medium">
        <color rgb="FFFF8811"/>
      </top>
      <bottom style="medium">
        <color rgb="FFFF8811"/>
      </bottom>
      <diagonal/>
    </border>
    <border>
      <left/>
      <right style="dashDotDot">
        <color auto="1"/>
      </right>
      <top style="medium">
        <color rgb="FFFF8811"/>
      </top>
      <bottom style="medium">
        <color rgb="FFFF8811"/>
      </bottom>
      <diagonal/>
    </border>
    <border>
      <left style="medium">
        <color auto="1"/>
      </left>
      <right style="medium">
        <color auto="1"/>
      </right>
      <top style="medium">
        <color auto="1"/>
      </top>
      <bottom style="medium">
        <color auto="1"/>
      </bottom>
      <diagonal/>
    </border>
    <border>
      <left style="dashDot">
        <color auto="1"/>
      </left>
      <right style="dashDot">
        <color indexed="64"/>
      </right>
      <top style="medium">
        <color theme="4" tint="0.39997558519241921"/>
      </top>
      <bottom style="medium">
        <color theme="4" tint="0.39997558519241921"/>
      </bottom>
      <diagonal/>
    </border>
    <border>
      <left/>
      <right/>
      <top style="medium">
        <color rgb="FFC198E0"/>
      </top>
      <bottom style="medium">
        <color rgb="FFC198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FF8811"/>
      </top>
      <bottom/>
      <diagonal/>
    </border>
    <border>
      <left/>
      <right style="dashDotDot">
        <color auto="1"/>
      </right>
      <top/>
      <bottom style="medium">
        <color auto="1"/>
      </bottom>
      <diagonal/>
    </border>
    <border>
      <left style="medium">
        <color auto="1"/>
      </left>
      <right style="thin">
        <color indexed="64"/>
      </right>
      <top/>
      <bottom style="medium">
        <color auto="1"/>
      </bottom>
      <diagonal/>
    </border>
    <border>
      <left style="dashDot">
        <color auto="1"/>
      </left>
      <right/>
      <top style="medium">
        <color auto="1"/>
      </top>
      <bottom/>
      <diagonal/>
    </border>
    <border>
      <left style="thin">
        <color indexed="64"/>
      </left>
      <right/>
      <top style="thin">
        <color auto="1"/>
      </top>
      <bottom/>
      <diagonal/>
    </border>
    <border>
      <left style="thin">
        <color indexed="64"/>
      </left>
      <right/>
      <top/>
      <bottom/>
      <diagonal/>
    </border>
    <border>
      <left style="dashDotDot">
        <color indexed="64"/>
      </left>
      <right style="medium">
        <color auto="1"/>
      </right>
      <top style="thin">
        <color auto="1"/>
      </top>
      <bottom/>
      <diagonal/>
    </border>
    <border>
      <left style="dashDotDot">
        <color indexed="64"/>
      </left>
      <right style="medium">
        <color auto="1"/>
      </right>
      <top/>
      <bottom/>
      <diagonal/>
    </border>
    <border>
      <left style="dashDotDot">
        <color indexed="64"/>
      </left>
      <right style="medium">
        <color auto="1"/>
      </right>
      <top/>
      <bottom style="medium">
        <color auto="1"/>
      </bottom>
      <diagonal/>
    </border>
    <border>
      <left style="medium">
        <color indexed="64"/>
      </left>
      <right style="medium">
        <color indexed="64"/>
      </right>
      <top style="thin">
        <color auto="1"/>
      </top>
      <bottom/>
      <diagonal/>
    </border>
  </borders>
  <cellStyleXfs count="4">
    <xf numFmtId="0" fontId="0" fillId="0" borderId="0"/>
    <xf numFmtId="0" fontId="2" fillId="2" borderId="0" applyNumberFormat="0" applyBorder="0" applyAlignment="0" applyProtection="0"/>
    <xf numFmtId="0" fontId="6" fillId="0" borderId="0"/>
    <xf numFmtId="0" fontId="17" fillId="21" borderId="0" applyNumberFormat="0" applyBorder="0" applyAlignment="0" applyProtection="0"/>
  </cellStyleXfs>
  <cellXfs count="410">
    <xf numFmtId="0" fontId="0" fillId="0" borderId="0" xfId="0"/>
    <xf numFmtId="0" fontId="8" fillId="8" borderId="2" xfId="2" applyFont="1" applyFill="1" applyBorder="1" applyAlignment="1">
      <alignment horizontal="center" vertical="center"/>
    </xf>
    <xf numFmtId="0" fontId="8" fillId="8" borderId="3" xfId="2" applyFont="1" applyFill="1" applyBorder="1" applyAlignment="1">
      <alignment vertical="center"/>
    </xf>
    <xf numFmtId="0" fontId="8" fillId="8" borderId="0" xfId="2" applyFont="1" applyFill="1" applyAlignment="1">
      <alignment horizontal="center" vertical="center"/>
    </xf>
    <xf numFmtId="0" fontId="8" fillId="8" borderId="6" xfId="2" applyFont="1" applyFill="1" applyBorder="1" applyAlignment="1">
      <alignment vertical="center"/>
    </xf>
    <xf numFmtId="0" fontId="9" fillId="8" borderId="9" xfId="2" applyFont="1" applyFill="1" applyBorder="1" applyAlignment="1">
      <alignment horizontal="center" vertical="center"/>
    </xf>
    <xf numFmtId="0" fontId="9" fillId="8" borderId="11" xfId="2" applyFont="1" applyFill="1" applyBorder="1" applyAlignment="1">
      <alignment horizontal="center" vertical="center"/>
    </xf>
    <xf numFmtId="0" fontId="7" fillId="8" borderId="10" xfId="2" applyFont="1" applyFill="1" applyBorder="1" applyAlignment="1">
      <alignment vertical="center"/>
    </xf>
    <xf numFmtId="9" fontId="10" fillId="4" borderId="35" xfId="2" applyNumberFormat="1" applyFont="1" applyFill="1" applyBorder="1" applyAlignment="1">
      <alignment horizontal="center" vertical="center" wrapText="1"/>
    </xf>
    <xf numFmtId="9" fontId="10" fillId="4" borderId="37" xfId="2" applyNumberFormat="1" applyFont="1" applyFill="1" applyBorder="1" applyAlignment="1">
      <alignment horizontal="center" vertical="center" wrapText="1"/>
    </xf>
    <xf numFmtId="9" fontId="10" fillId="4" borderId="36" xfId="2" applyNumberFormat="1" applyFont="1" applyFill="1" applyBorder="1" applyAlignment="1">
      <alignment horizontal="center" vertical="center" wrapText="1"/>
    </xf>
    <xf numFmtId="0" fontId="10" fillId="4" borderId="36" xfId="2" applyFont="1" applyFill="1" applyBorder="1" applyAlignment="1">
      <alignment horizontal="center" vertical="center" wrapText="1"/>
    </xf>
    <xf numFmtId="0" fontId="10" fillId="4" borderId="37" xfId="2" applyFont="1" applyFill="1" applyBorder="1" applyAlignment="1">
      <alignment horizontal="center" vertical="center" wrapText="1"/>
    </xf>
    <xf numFmtId="164" fontId="10" fillId="6" borderId="36" xfId="2" applyNumberFormat="1" applyFont="1" applyFill="1" applyBorder="1" applyAlignment="1">
      <alignment horizontal="center" vertical="center" wrapText="1"/>
    </xf>
    <xf numFmtId="164" fontId="10" fillId="6" borderId="37" xfId="2" applyNumberFormat="1" applyFont="1" applyFill="1" applyBorder="1" applyAlignment="1">
      <alignment horizontal="center" vertical="center" wrapText="1"/>
    </xf>
    <xf numFmtId="0" fontId="10" fillId="6" borderId="36" xfId="2" applyFont="1" applyFill="1" applyBorder="1" applyAlignment="1">
      <alignment horizontal="center" vertical="center" wrapText="1"/>
    </xf>
    <xf numFmtId="0" fontId="10" fillId="6" borderId="37" xfId="2" applyFont="1" applyFill="1" applyBorder="1" applyAlignment="1">
      <alignment horizontal="center" vertical="center" wrapText="1"/>
    </xf>
    <xf numFmtId="164" fontId="10" fillId="7" borderId="41" xfId="2" applyNumberFormat="1" applyFont="1" applyFill="1" applyBorder="1" applyAlignment="1">
      <alignment horizontal="center" vertical="center" wrapText="1"/>
    </xf>
    <xf numFmtId="164" fontId="10" fillId="7" borderId="37" xfId="2" applyNumberFormat="1" applyFont="1" applyFill="1" applyBorder="1" applyAlignment="1">
      <alignment horizontal="center" vertical="center" wrapText="1"/>
    </xf>
    <xf numFmtId="164" fontId="10" fillId="7" borderId="40" xfId="2" applyNumberFormat="1" applyFont="1" applyFill="1" applyBorder="1" applyAlignment="1">
      <alignment horizontal="center" vertical="center" wrapText="1"/>
    </xf>
    <xf numFmtId="0" fontId="10" fillId="7" borderId="40" xfId="2" applyFont="1" applyFill="1" applyBorder="1" applyAlignment="1">
      <alignment horizontal="center" vertical="center" wrapText="1"/>
    </xf>
    <xf numFmtId="164" fontId="10" fillId="8" borderId="31" xfId="2" applyNumberFormat="1" applyFont="1" applyFill="1" applyBorder="1" applyAlignment="1">
      <alignment horizontal="center" vertical="center" wrapText="1"/>
    </xf>
    <xf numFmtId="0" fontId="10" fillId="8" borderId="36" xfId="2" applyFont="1" applyFill="1" applyBorder="1" applyAlignment="1">
      <alignment horizontal="center" vertical="center" wrapText="1"/>
    </xf>
    <xf numFmtId="164" fontId="10" fillId="8" borderId="44" xfId="2" applyNumberFormat="1" applyFont="1" applyFill="1" applyBorder="1" applyAlignment="1">
      <alignment horizontal="center" vertical="center" wrapText="1"/>
    </xf>
    <xf numFmtId="0" fontId="10" fillId="8" borderId="39" xfId="2" applyFont="1" applyFill="1" applyBorder="1" applyAlignment="1">
      <alignment horizontal="center" vertical="center" wrapText="1"/>
    </xf>
    <xf numFmtId="0" fontId="0" fillId="0" borderId="5" xfId="0" applyBorder="1" applyAlignment="1">
      <alignment horizontal="center"/>
    </xf>
    <xf numFmtId="165" fontId="0" fillId="0" borderId="0" xfId="0" applyNumberFormat="1" applyAlignment="1">
      <alignment horizontal="center"/>
    </xf>
    <xf numFmtId="0" fontId="0" fillId="0" borderId="0" xfId="0" applyAlignment="1">
      <alignment horizontal="center"/>
    </xf>
    <xf numFmtId="0" fontId="0" fillId="0" borderId="26" xfId="0" applyBorder="1" applyAlignment="1">
      <alignment horizontal="center"/>
    </xf>
    <xf numFmtId="49" fontId="0" fillId="0" borderId="26" xfId="0" applyNumberFormat="1" applyBorder="1" applyAlignment="1">
      <alignment horizontal="center"/>
    </xf>
    <xf numFmtId="0" fontId="0" fillId="4" borderId="47" xfId="0" applyFill="1" applyBorder="1" applyAlignment="1">
      <alignment horizontal="left"/>
    </xf>
    <xf numFmtId="0" fontId="0" fillId="0" borderId="6" xfId="0" applyBorder="1" applyAlignment="1">
      <alignment horizontal="left"/>
    </xf>
    <xf numFmtId="0" fontId="0" fillId="0" borderId="6" xfId="0" applyBorder="1"/>
    <xf numFmtId="0" fontId="0" fillId="0" borderId="28" xfId="0" applyBorder="1" applyAlignment="1">
      <alignment horizontal="center"/>
    </xf>
    <xf numFmtId="0" fontId="0" fillId="0" borderId="33" xfId="0" applyBorder="1" applyAlignment="1">
      <alignment horizontal="center"/>
    </xf>
    <xf numFmtId="0" fontId="0" fillId="0" borderId="48" xfId="0" applyBorder="1" applyAlignment="1">
      <alignment horizontal="center"/>
    </xf>
    <xf numFmtId="0" fontId="0" fillId="0" borderId="6" xfId="0" applyBorder="1" applyAlignment="1">
      <alignment horizontal="center"/>
    </xf>
    <xf numFmtId="0" fontId="0" fillId="0" borderId="49" xfId="0" applyBorder="1" applyAlignment="1">
      <alignment horizontal="center"/>
    </xf>
    <xf numFmtId="0" fontId="0" fillId="0" borderId="4" xfId="0" applyBorder="1" applyAlignment="1">
      <alignment horizontal="center"/>
    </xf>
    <xf numFmtId="0" fontId="0" fillId="0" borderId="49" xfId="0" applyBorder="1" applyAlignment="1">
      <alignment horizontal="left"/>
    </xf>
    <xf numFmtId="0" fontId="0" fillId="0" borderId="50" xfId="0" applyBorder="1" applyAlignment="1">
      <alignment horizontal="center"/>
    </xf>
    <xf numFmtId="0" fontId="0" fillId="0" borderId="7" xfId="0" applyBorder="1" applyAlignment="1">
      <alignment horizontal="center"/>
    </xf>
    <xf numFmtId="0" fontId="0" fillId="0" borderId="51" xfId="0" applyBorder="1"/>
    <xf numFmtId="0" fontId="0" fillId="0" borderId="52" xfId="0" applyBorder="1" applyAlignment="1">
      <alignment horizontal="center"/>
    </xf>
    <xf numFmtId="0" fontId="0" fillId="4" borderId="49" xfId="0" applyFill="1" applyBorder="1" applyAlignment="1">
      <alignment horizontal="left"/>
    </xf>
    <xf numFmtId="0" fontId="0" fillId="12" borderId="53" xfId="0" applyFill="1" applyBorder="1"/>
    <xf numFmtId="0" fontId="0" fillId="13" borderId="6" xfId="0" applyFill="1" applyBorder="1"/>
    <xf numFmtId="0" fontId="0" fillId="6" borderId="54" xfId="0" applyFill="1" applyBorder="1"/>
    <xf numFmtId="0" fontId="0" fillId="14" borderId="28" xfId="0" applyFill="1" applyBorder="1" applyAlignment="1">
      <alignment horizontal="center"/>
    </xf>
    <xf numFmtId="0" fontId="0" fillId="15" borderId="56" xfId="0" applyFill="1" applyBorder="1"/>
    <xf numFmtId="0" fontId="0" fillId="7" borderId="57" xfId="0" applyFill="1" applyBorder="1"/>
    <xf numFmtId="0" fontId="0" fillId="13" borderId="0" xfId="0" applyFill="1"/>
    <xf numFmtId="0" fontId="0" fillId="0" borderId="28" xfId="0" applyBorder="1"/>
    <xf numFmtId="0" fontId="0" fillId="0" borderId="28" xfId="0" applyBorder="1" applyAlignment="1">
      <alignment horizontal="left"/>
    </xf>
    <xf numFmtId="0" fontId="0" fillId="6" borderId="54" xfId="0" applyFill="1" applyBorder="1" applyAlignment="1">
      <alignment horizontal="left"/>
    </xf>
    <xf numFmtId="0" fontId="0" fillId="0" borderId="59" xfId="0" applyBorder="1" applyAlignment="1">
      <alignment horizontal="center"/>
    </xf>
    <xf numFmtId="0" fontId="0" fillId="0" borderId="60" xfId="0" applyBorder="1" applyAlignment="1">
      <alignment horizontal="center"/>
    </xf>
    <xf numFmtId="0" fontId="0" fillId="0" borderId="61" xfId="0" applyBorder="1" applyAlignment="1">
      <alignment horizontal="center"/>
    </xf>
    <xf numFmtId="0" fontId="0" fillId="9" borderId="62" xfId="0" applyFill="1" applyBorder="1"/>
    <xf numFmtId="0" fontId="0" fillId="0" borderId="63" xfId="0" applyBorder="1" applyAlignment="1">
      <alignment horizontal="center"/>
    </xf>
    <xf numFmtId="0" fontId="0" fillId="0" borderId="64" xfId="0" applyBorder="1" applyAlignment="1">
      <alignment horizontal="center"/>
    </xf>
    <xf numFmtId="0" fontId="0" fillId="0" borderId="65" xfId="0" applyBorder="1" applyAlignment="1">
      <alignment horizontal="center"/>
    </xf>
    <xf numFmtId="0" fontId="0" fillId="0" borderId="7" xfId="0" applyBorder="1"/>
    <xf numFmtId="0" fontId="0" fillId="6" borderId="66" xfId="0" applyFill="1" applyBorder="1" applyAlignment="1">
      <alignment horizontal="left"/>
    </xf>
    <xf numFmtId="0" fontId="4" fillId="0" borderId="49" xfId="0" applyFont="1" applyBorder="1" applyAlignment="1">
      <alignment horizontal="center"/>
    </xf>
    <xf numFmtId="0" fontId="4" fillId="0" borderId="6" xfId="0" applyFont="1" applyBorder="1" applyAlignment="1">
      <alignment horizontal="center"/>
    </xf>
    <xf numFmtId="0" fontId="0" fillId="15" borderId="6" xfId="0" applyFill="1" applyBorder="1"/>
    <xf numFmtId="0" fontId="0" fillId="8" borderId="49" xfId="0" applyFill="1" applyBorder="1" applyAlignment="1">
      <alignment horizontal="left"/>
    </xf>
    <xf numFmtId="0" fontId="0" fillId="8" borderId="67" xfId="0" applyFill="1" applyBorder="1" applyAlignment="1">
      <alignment vertical="center"/>
    </xf>
    <xf numFmtId="0" fontId="0" fillId="13" borderId="6" xfId="0" applyFill="1" applyBorder="1" applyAlignment="1">
      <alignment horizontal="left"/>
    </xf>
    <xf numFmtId="0" fontId="0" fillId="0" borderId="5" xfId="0" applyBorder="1" applyAlignment="1">
      <alignment horizontal="center" vertical="center"/>
    </xf>
    <xf numFmtId="0" fontId="0" fillId="0" borderId="0" xfId="0" applyAlignment="1">
      <alignment horizontal="center" vertical="center"/>
    </xf>
    <xf numFmtId="0" fontId="0" fillId="0" borderId="26" xfId="0" applyBorder="1" applyAlignment="1">
      <alignment horizontal="center" vertical="center"/>
    </xf>
    <xf numFmtId="0" fontId="0" fillId="13" borderId="6" xfId="0" applyFill="1" applyBorder="1" applyAlignment="1">
      <alignment horizontal="left" vertical="center" wrapText="1"/>
    </xf>
    <xf numFmtId="0" fontId="0" fillId="0" borderId="6" xfId="0" applyBorder="1" applyAlignment="1">
      <alignment horizontal="left" vertical="center" wrapText="1"/>
    </xf>
    <xf numFmtId="0" fontId="0" fillId="0" borderId="6" xfId="0" applyBorder="1" applyAlignment="1">
      <alignment vertical="center"/>
    </xf>
    <xf numFmtId="0" fontId="0" fillId="0" borderId="0" xfId="0" applyAlignment="1">
      <alignment vertical="center"/>
    </xf>
    <xf numFmtId="0" fontId="0" fillId="0" borderId="3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16" borderId="7" xfId="0" applyFill="1" applyBorder="1" applyAlignment="1">
      <alignment horizontal="center"/>
    </xf>
    <xf numFmtId="0" fontId="0" fillId="17" borderId="6" xfId="0" applyFill="1" applyBorder="1"/>
    <xf numFmtId="0" fontId="0" fillId="8" borderId="68" xfId="0" applyFill="1" applyBorder="1"/>
    <xf numFmtId="0" fontId="0" fillId="15" borderId="69" xfId="0" applyFill="1" applyBorder="1" applyAlignment="1">
      <alignment horizontal="center"/>
    </xf>
    <xf numFmtId="165" fontId="5" fillId="15" borderId="69" xfId="0" applyNumberFormat="1" applyFont="1" applyFill="1" applyBorder="1" applyAlignment="1">
      <alignment horizontal="center"/>
    </xf>
    <xf numFmtId="49" fontId="0" fillId="15" borderId="69" xfId="0" applyNumberFormat="1" applyFill="1" applyBorder="1" applyAlignment="1">
      <alignment horizontal="center"/>
    </xf>
    <xf numFmtId="0" fontId="0" fillId="15" borderId="69" xfId="0" applyFill="1" applyBorder="1" applyAlignment="1">
      <alignment horizontal="left"/>
    </xf>
    <xf numFmtId="0" fontId="0" fillId="15" borderId="69" xfId="0" applyFill="1" applyBorder="1"/>
    <xf numFmtId="0" fontId="0" fillId="4" borderId="70" xfId="0" applyFill="1" applyBorder="1" applyAlignment="1">
      <alignment horizontal="left"/>
    </xf>
    <xf numFmtId="0" fontId="0" fillId="10" borderId="71" xfId="0" applyFill="1" applyBorder="1"/>
    <xf numFmtId="0" fontId="0" fillId="0" borderId="31" xfId="0" applyBorder="1" applyAlignment="1">
      <alignment horizontal="center"/>
    </xf>
    <xf numFmtId="0" fontId="0" fillId="0" borderId="32" xfId="0" applyBorder="1" applyAlignment="1">
      <alignment horizontal="center"/>
    </xf>
    <xf numFmtId="49" fontId="0" fillId="0" borderId="0" xfId="0" applyNumberFormat="1"/>
    <xf numFmtId="0" fontId="15" fillId="18" borderId="0" xfId="0" applyFont="1" applyFill="1" applyAlignment="1">
      <alignment horizontal="right" vertical="center"/>
    </xf>
    <xf numFmtId="0" fontId="4" fillId="0" borderId="0" xfId="0" applyFont="1" applyAlignment="1">
      <alignment horizontal="right"/>
    </xf>
    <xf numFmtId="3" fontId="0" fillId="0" borderId="0" xfId="0" applyNumberFormat="1" applyAlignment="1">
      <alignment horizontal="left"/>
    </xf>
    <xf numFmtId="0" fontId="0" fillId="0" borderId="0" xfId="0" applyAlignment="1">
      <alignment horizontal="left"/>
    </xf>
    <xf numFmtId="0" fontId="15" fillId="0" borderId="0" xfId="0" applyFont="1" applyAlignment="1">
      <alignment horizontal="right" vertical="center"/>
    </xf>
    <xf numFmtId="14" fontId="0" fillId="0" borderId="0" xfId="0" applyNumberFormat="1" applyAlignment="1">
      <alignment horizontal="center"/>
    </xf>
    <xf numFmtId="0" fontId="0" fillId="19" borderId="49" xfId="0" applyFill="1" applyBorder="1" applyAlignment="1">
      <alignment horizontal="left"/>
    </xf>
    <xf numFmtId="0" fontId="0" fillId="19" borderId="28" xfId="0" applyFill="1" applyBorder="1"/>
    <xf numFmtId="0" fontId="0" fillId="19" borderId="0" xfId="0" applyFill="1"/>
    <xf numFmtId="165" fontId="0" fillId="0" borderId="0" xfId="0" applyNumberFormat="1" applyAlignment="1">
      <alignment horizontal="center" vertical="center"/>
    </xf>
    <xf numFmtId="0" fontId="0" fillId="8" borderId="75" xfId="0" applyFill="1" applyBorder="1"/>
    <xf numFmtId="0" fontId="1" fillId="4" borderId="0" xfId="1" applyFont="1" applyFill="1" applyBorder="1" applyAlignment="1">
      <alignment horizontal="center"/>
    </xf>
    <xf numFmtId="0" fontId="1" fillId="4" borderId="5" xfId="1" applyFont="1" applyFill="1" applyBorder="1" applyAlignment="1">
      <alignment horizontal="center"/>
    </xf>
    <xf numFmtId="0" fontId="1" fillId="4" borderId="33" xfId="1" applyFont="1" applyFill="1" applyBorder="1" applyAlignment="1">
      <alignment horizontal="center"/>
    </xf>
    <xf numFmtId="0" fontId="1" fillId="4" borderId="6" xfId="1" applyFont="1" applyFill="1" applyBorder="1" applyAlignment="1">
      <alignment horizontal="center"/>
    </xf>
    <xf numFmtId="0" fontId="2" fillId="2" borderId="5" xfId="1" applyBorder="1" applyAlignment="1">
      <alignment horizontal="center"/>
    </xf>
    <xf numFmtId="165" fontId="2" fillId="2" borderId="0" xfId="1" applyNumberFormat="1" applyBorder="1" applyAlignment="1">
      <alignment horizontal="center"/>
    </xf>
    <xf numFmtId="14" fontId="2" fillId="2" borderId="0" xfId="1" applyNumberFormat="1" applyBorder="1" applyAlignment="1">
      <alignment horizontal="center"/>
    </xf>
    <xf numFmtId="0" fontId="2" fillId="2" borderId="26" xfId="1" applyBorder="1" applyAlignment="1">
      <alignment horizontal="center"/>
    </xf>
    <xf numFmtId="0" fontId="2" fillId="2" borderId="0" xfId="1" applyBorder="1" applyAlignment="1">
      <alignment horizontal="center"/>
    </xf>
    <xf numFmtId="49" fontId="2" fillId="2" borderId="26" xfId="1" applyNumberFormat="1" applyBorder="1" applyAlignment="1">
      <alignment horizontal="center"/>
    </xf>
    <xf numFmtId="0" fontId="2" fillId="2" borderId="28" xfId="1" applyBorder="1" applyAlignment="1">
      <alignment horizontal="left"/>
    </xf>
    <xf numFmtId="0" fontId="2" fillId="2" borderId="6" xfId="1" applyBorder="1" applyAlignment="1">
      <alignment horizontal="left"/>
    </xf>
    <xf numFmtId="0" fontId="2" fillId="2" borderId="6" xfId="1" applyBorder="1"/>
    <xf numFmtId="0" fontId="2" fillId="2" borderId="28" xfId="1" applyBorder="1" applyAlignment="1">
      <alignment horizontal="center"/>
    </xf>
    <xf numFmtId="0" fontId="2" fillId="2" borderId="63" xfId="1" applyBorder="1" applyAlignment="1">
      <alignment horizontal="center"/>
    </xf>
    <xf numFmtId="0" fontId="2" fillId="2" borderId="64" xfId="1" applyBorder="1" applyAlignment="1">
      <alignment horizontal="center"/>
    </xf>
    <xf numFmtId="0" fontId="2" fillId="2" borderId="65" xfId="1" applyBorder="1" applyAlignment="1">
      <alignment horizontal="center"/>
    </xf>
    <xf numFmtId="0" fontId="2" fillId="2" borderId="0" xfId="1" applyBorder="1"/>
    <xf numFmtId="0" fontId="2" fillId="2" borderId="33" xfId="1" applyBorder="1" applyAlignment="1">
      <alignment horizontal="center"/>
    </xf>
    <xf numFmtId="0" fontId="2" fillId="2" borderId="49" xfId="1" applyBorder="1" applyAlignment="1">
      <alignment horizontal="center"/>
    </xf>
    <xf numFmtId="0" fontId="2" fillId="2" borderId="7" xfId="1" applyBorder="1" applyAlignment="1">
      <alignment horizontal="center"/>
    </xf>
    <xf numFmtId="0" fontId="2" fillId="2" borderId="0" xfId="1"/>
    <xf numFmtId="0" fontId="0" fillId="4" borderId="0" xfId="0" applyFill="1" applyAlignment="1">
      <alignment horizontal="center"/>
    </xf>
    <xf numFmtId="0" fontId="1" fillId="4" borderId="0" xfId="0" applyFont="1" applyFill="1" applyAlignment="1">
      <alignment horizontal="center"/>
    </xf>
    <xf numFmtId="0" fontId="1" fillId="4" borderId="5" xfId="0" applyFont="1" applyFill="1" applyBorder="1" applyAlignment="1">
      <alignment horizontal="center"/>
    </xf>
    <xf numFmtId="0" fontId="1" fillId="4" borderId="33" xfId="0" applyFont="1" applyFill="1" applyBorder="1" applyAlignment="1">
      <alignment horizontal="center"/>
    </xf>
    <xf numFmtId="0" fontId="1" fillId="4" borderId="6" xfId="0" applyFont="1" applyFill="1" applyBorder="1" applyAlignment="1">
      <alignment horizontal="center"/>
    </xf>
    <xf numFmtId="0" fontId="0" fillId="20" borderId="5" xfId="0" applyFill="1" applyBorder="1" applyAlignment="1">
      <alignment horizontal="center"/>
    </xf>
    <xf numFmtId="0" fontId="0" fillId="20" borderId="0" xfId="0" applyFill="1" applyAlignment="1">
      <alignment horizontal="center"/>
    </xf>
    <xf numFmtId="0" fontId="0" fillId="20" borderId="62" xfId="0" applyFill="1" applyBorder="1"/>
    <xf numFmtId="0" fontId="0" fillId="20" borderId="0" xfId="0" applyFill="1"/>
    <xf numFmtId="0" fontId="0" fillId="20" borderId="5" xfId="0" applyFill="1" applyBorder="1" applyAlignment="1">
      <alignment horizontal="center" vertical="center"/>
    </xf>
    <xf numFmtId="0" fontId="0" fillId="20" borderId="0" xfId="0" applyFill="1" applyAlignment="1">
      <alignment horizontal="center" vertical="center"/>
    </xf>
    <xf numFmtId="0" fontId="2" fillId="2" borderId="35" xfId="1" applyBorder="1"/>
    <xf numFmtId="0" fontId="2" fillId="2" borderId="36" xfId="1" applyBorder="1"/>
    <xf numFmtId="0" fontId="2" fillId="2" borderId="37" xfId="1" applyBorder="1"/>
    <xf numFmtId="49" fontId="2" fillId="2" borderId="37" xfId="1" applyNumberFormat="1" applyBorder="1"/>
    <xf numFmtId="0" fontId="2" fillId="2" borderId="76" xfId="1" applyBorder="1" applyAlignment="1">
      <alignment horizontal="left"/>
    </xf>
    <xf numFmtId="0" fontId="2" fillId="2" borderId="39" xfId="1" applyBorder="1" applyAlignment="1">
      <alignment horizontal="left"/>
    </xf>
    <xf numFmtId="0" fontId="2" fillId="2" borderId="36" xfId="1" applyBorder="1" applyAlignment="1">
      <alignment horizontal="center"/>
    </xf>
    <xf numFmtId="0" fontId="2" fillId="2" borderId="39" xfId="1" applyBorder="1"/>
    <xf numFmtId="0" fontId="2" fillId="2" borderId="35" xfId="1" applyBorder="1" applyAlignment="1">
      <alignment horizontal="center"/>
    </xf>
    <xf numFmtId="0" fontId="2" fillId="2" borderId="37" xfId="1" applyBorder="1" applyAlignment="1">
      <alignment horizontal="center"/>
    </xf>
    <xf numFmtId="0" fontId="2" fillId="2" borderId="40" xfId="1" applyBorder="1" applyAlignment="1">
      <alignment horizontal="center"/>
    </xf>
    <xf numFmtId="0" fontId="2" fillId="2" borderId="77" xfId="1" applyBorder="1" applyAlignment="1">
      <alignment horizontal="center"/>
    </xf>
    <xf numFmtId="0" fontId="2" fillId="2" borderId="43" xfId="1" applyBorder="1" applyAlignment="1">
      <alignment horizontal="center"/>
    </xf>
    <xf numFmtId="0" fontId="2" fillId="2" borderId="39" xfId="1" applyBorder="1" applyAlignment="1">
      <alignment horizontal="center"/>
    </xf>
    <xf numFmtId="0" fontId="2" fillId="2" borderId="76" xfId="1" applyBorder="1" applyAlignment="1">
      <alignment horizontal="center"/>
    </xf>
    <xf numFmtId="0" fontId="2" fillId="2" borderId="46" xfId="1" applyBorder="1" applyAlignment="1">
      <alignment horizontal="center"/>
    </xf>
    <xf numFmtId="0" fontId="0" fillId="16" borderId="6" xfId="0" applyFill="1" applyBorder="1" applyAlignment="1">
      <alignment horizontal="left"/>
    </xf>
    <xf numFmtId="0" fontId="2" fillId="2" borderId="6" xfId="1" applyBorder="1" applyAlignment="1">
      <alignment horizontal="center"/>
    </xf>
    <xf numFmtId="0" fontId="2" fillId="2" borderId="49" xfId="1" applyBorder="1" applyAlignment="1">
      <alignment horizontal="left"/>
    </xf>
    <xf numFmtId="0" fontId="2" fillId="2" borderId="71" xfId="1" applyBorder="1"/>
    <xf numFmtId="0" fontId="17" fillId="21" borderId="5" xfId="3" applyBorder="1" applyAlignment="1">
      <alignment horizontal="center"/>
    </xf>
    <xf numFmtId="165" fontId="17" fillId="21" borderId="0" xfId="3" applyNumberFormat="1" applyBorder="1" applyAlignment="1">
      <alignment horizontal="center"/>
    </xf>
    <xf numFmtId="0" fontId="17" fillId="21" borderId="0" xfId="3" applyBorder="1" applyAlignment="1">
      <alignment horizontal="center"/>
    </xf>
    <xf numFmtId="0" fontId="17" fillId="21" borderId="26" xfId="3" applyBorder="1" applyAlignment="1">
      <alignment horizontal="center"/>
    </xf>
    <xf numFmtId="49" fontId="17" fillId="21" borderId="26" xfId="3" applyNumberFormat="1" applyBorder="1" applyAlignment="1">
      <alignment horizontal="center"/>
    </xf>
    <xf numFmtId="0" fontId="17" fillId="21" borderId="49" xfId="3" applyBorder="1" applyAlignment="1">
      <alignment horizontal="left"/>
    </xf>
    <xf numFmtId="0" fontId="17" fillId="21" borderId="6" xfId="3" applyBorder="1" applyAlignment="1">
      <alignment horizontal="left"/>
    </xf>
    <xf numFmtId="0" fontId="17" fillId="21" borderId="0" xfId="3" applyBorder="1"/>
    <xf numFmtId="0" fontId="17" fillId="21" borderId="6" xfId="3" applyBorder="1"/>
    <xf numFmtId="0" fontId="17" fillId="21" borderId="28" xfId="3" applyBorder="1" applyAlignment="1">
      <alignment horizontal="center"/>
    </xf>
    <xf numFmtId="0" fontId="17" fillId="21" borderId="33" xfId="3" applyBorder="1" applyAlignment="1">
      <alignment horizontal="center"/>
    </xf>
    <xf numFmtId="0" fontId="17" fillId="21" borderId="6" xfId="3" applyBorder="1" applyAlignment="1">
      <alignment horizontal="center"/>
    </xf>
    <xf numFmtId="0" fontId="17" fillId="21" borderId="49" xfId="3" applyBorder="1" applyAlignment="1">
      <alignment horizontal="center"/>
    </xf>
    <xf numFmtId="0" fontId="17" fillId="21" borderId="7" xfId="3" applyBorder="1" applyAlignment="1">
      <alignment horizontal="center"/>
    </xf>
    <xf numFmtId="0" fontId="17" fillId="21" borderId="0" xfId="3"/>
    <xf numFmtId="20" fontId="0" fillId="0" borderId="0" xfId="0" applyNumberFormat="1"/>
    <xf numFmtId="0" fontId="6" fillId="0" borderId="0" xfId="2"/>
    <xf numFmtId="49" fontId="0" fillId="0" borderId="0" xfId="0" applyNumberFormat="1" applyAlignment="1">
      <alignment horizontal="center"/>
    </xf>
    <xf numFmtId="0" fontId="0" fillId="16" borderId="6" xfId="0" applyFill="1" applyBorder="1"/>
    <xf numFmtId="0" fontId="15" fillId="0" borderId="0" xfId="0" applyFont="1"/>
    <xf numFmtId="0" fontId="0" fillId="4" borderId="6" xfId="0" applyFill="1" applyBorder="1" applyAlignment="1">
      <alignment horizontal="left"/>
    </xf>
    <xf numFmtId="0" fontId="0" fillId="15" borderId="49" xfId="0" applyFill="1" applyBorder="1" applyAlignment="1">
      <alignment horizontal="left"/>
    </xf>
    <xf numFmtId="0" fontId="0" fillId="15" borderId="54" xfId="0" applyFill="1" applyBorder="1" applyAlignment="1">
      <alignment horizontal="left"/>
    </xf>
    <xf numFmtId="0" fontId="0" fillId="15" borderId="66" xfId="0" applyFill="1" applyBorder="1" applyAlignment="1">
      <alignment horizontal="left"/>
    </xf>
    <xf numFmtId="0" fontId="0" fillId="22" borderId="28" xfId="0" applyFill="1" applyBorder="1" applyAlignment="1">
      <alignment horizontal="center"/>
    </xf>
    <xf numFmtId="0" fontId="0" fillId="15" borderId="0" xfId="0" applyFill="1"/>
    <xf numFmtId="0" fontId="0" fillId="15" borderId="67" xfId="0" applyFill="1" applyBorder="1" applyAlignment="1">
      <alignment vertical="center"/>
    </xf>
    <xf numFmtId="0" fontId="0" fillId="15" borderId="62" xfId="0" applyFill="1" applyBorder="1"/>
    <xf numFmtId="0" fontId="0" fillId="15" borderId="0" xfId="0" applyFill="1" applyAlignment="1">
      <alignment horizontal="center"/>
    </xf>
    <xf numFmtId="0" fontId="0" fillId="15" borderId="0" xfId="0" applyFill="1" applyAlignment="1">
      <alignment horizontal="center" vertical="center"/>
    </xf>
    <xf numFmtId="0" fontId="4" fillId="15" borderId="6" xfId="0" applyFont="1" applyFill="1" applyBorder="1" applyAlignment="1">
      <alignment horizontal="center"/>
    </xf>
    <xf numFmtId="0" fontId="0" fillId="23" borderId="49" xfId="0" applyFill="1" applyBorder="1" applyAlignment="1">
      <alignment horizontal="center"/>
    </xf>
    <xf numFmtId="0" fontId="0" fillId="15" borderId="7" xfId="0" applyFill="1" applyBorder="1" applyAlignment="1">
      <alignment horizontal="center"/>
    </xf>
    <xf numFmtId="0" fontId="0" fillId="13" borderId="69" xfId="0" applyFill="1" applyBorder="1"/>
    <xf numFmtId="0" fontId="0" fillId="23" borderId="28" xfId="0" applyFill="1" applyBorder="1" applyAlignment="1">
      <alignment horizontal="center"/>
    </xf>
    <xf numFmtId="0" fontId="0" fillId="15" borderId="0" xfId="0" applyFill="1" applyAlignment="1">
      <alignment vertical="center"/>
    </xf>
    <xf numFmtId="0" fontId="0" fillId="24" borderId="49" xfId="0" applyFill="1" applyBorder="1" applyAlignment="1">
      <alignment horizontal="center"/>
    </xf>
    <xf numFmtId="0" fontId="0" fillId="23" borderId="68" xfId="0" applyFill="1" applyBorder="1"/>
    <xf numFmtId="0" fontId="0" fillId="23" borderId="69" xfId="0" applyFill="1" applyBorder="1"/>
    <xf numFmtId="0" fontId="0" fillId="4" borderId="69" xfId="0" applyFill="1" applyBorder="1" applyAlignment="1">
      <alignment horizontal="left"/>
    </xf>
    <xf numFmtId="0" fontId="0" fillId="15" borderId="6" xfId="0" applyFill="1" applyBorder="1" applyAlignment="1">
      <alignment horizontal="left"/>
    </xf>
    <xf numFmtId="0" fontId="0" fillId="15" borderId="6" xfId="0" applyFill="1" applyBorder="1" applyAlignment="1">
      <alignment horizontal="left" vertical="center" wrapText="1"/>
    </xf>
    <xf numFmtId="0" fontId="3" fillId="25" borderId="6" xfId="0" applyFont="1" applyFill="1" applyBorder="1" applyAlignment="1">
      <alignment horizontal="left"/>
    </xf>
    <xf numFmtId="0" fontId="0" fillId="0" borderId="30" xfId="0" applyBorder="1"/>
    <xf numFmtId="0" fontId="0" fillId="0" borderId="62" xfId="0" applyBorder="1"/>
    <xf numFmtId="166" fontId="0" fillId="0" borderId="0" xfId="0" applyNumberFormat="1" applyAlignment="1">
      <alignment horizontal="center"/>
    </xf>
    <xf numFmtId="0" fontId="0" fillId="0" borderId="67" xfId="0" applyBorder="1" applyAlignment="1">
      <alignment vertical="center"/>
    </xf>
    <xf numFmtId="0" fontId="0" fillId="26" borderId="6" xfId="0" applyFill="1" applyBorder="1"/>
    <xf numFmtId="0" fontId="0" fillId="16" borderId="0" xfId="0" applyFill="1"/>
    <xf numFmtId="16" fontId="0" fillId="0" borderId="0" xfId="0" applyNumberFormat="1" applyAlignment="1">
      <alignment horizontal="center"/>
    </xf>
    <xf numFmtId="0" fontId="0" fillId="27" borderId="0" xfId="0" applyFill="1" applyAlignment="1">
      <alignment horizontal="center"/>
    </xf>
    <xf numFmtId="0" fontId="19" fillId="0" borderId="0" xfId="0" applyFont="1"/>
    <xf numFmtId="0" fontId="7" fillId="3" borderId="1" xfId="2" applyFont="1" applyFill="1" applyBorder="1" applyAlignment="1">
      <alignment horizontal="center" vertical="center"/>
    </xf>
    <xf numFmtId="0" fontId="7" fillId="3" borderId="2" xfId="2" applyFont="1" applyFill="1" applyBorder="1" applyAlignment="1">
      <alignment horizontal="center" vertical="center"/>
    </xf>
    <xf numFmtId="0" fontId="7" fillId="3" borderId="5" xfId="2" applyFont="1" applyFill="1" applyBorder="1" applyAlignment="1">
      <alignment horizontal="center" vertical="center"/>
    </xf>
    <xf numFmtId="0" fontId="7" fillId="3" borderId="0" xfId="2" applyFont="1" applyFill="1" applyAlignment="1">
      <alignment horizontal="center" vertical="center"/>
    </xf>
    <xf numFmtId="0" fontId="7" fillId="3" borderId="8" xfId="2" applyFont="1" applyFill="1" applyBorder="1" applyAlignment="1">
      <alignment horizontal="center" vertical="center"/>
    </xf>
    <xf numFmtId="0" fontId="7" fillId="3" borderId="9" xfId="2" applyFont="1" applyFill="1" applyBorder="1" applyAlignment="1">
      <alignment horizontal="center" vertical="center"/>
    </xf>
    <xf numFmtId="2" fontId="7" fillId="4" borderId="2" xfId="2" applyNumberFormat="1" applyFont="1" applyFill="1" applyBorder="1" applyAlignment="1">
      <alignment horizontal="center" vertical="center"/>
    </xf>
    <xf numFmtId="2" fontId="7" fillId="4" borderId="0" xfId="2" applyNumberFormat="1" applyFont="1" applyFill="1" applyAlignment="1">
      <alignment horizontal="center" vertical="center"/>
    </xf>
    <xf numFmtId="2" fontId="7" fillId="4" borderId="9" xfId="2" applyNumberFormat="1" applyFont="1" applyFill="1" applyBorder="1" applyAlignment="1">
      <alignment horizontal="center" vertical="center"/>
    </xf>
    <xf numFmtId="164" fontId="7" fillId="5" borderId="2" xfId="2" applyNumberFormat="1" applyFont="1" applyFill="1" applyBorder="1" applyAlignment="1">
      <alignment horizontal="center" vertical="center"/>
    </xf>
    <xf numFmtId="164" fontId="7" fillId="5" borderId="3" xfId="2" applyNumberFormat="1" applyFont="1" applyFill="1" applyBorder="1" applyAlignment="1">
      <alignment horizontal="center" vertical="center"/>
    </xf>
    <xf numFmtId="164" fontId="7" fillId="5" borderId="0" xfId="2" applyNumberFormat="1" applyFont="1" applyFill="1" applyAlignment="1">
      <alignment horizontal="center" vertical="center"/>
    </xf>
    <xf numFmtId="164" fontId="7" fillId="5" borderId="6" xfId="2" applyNumberFormat="1" applyFont="1" applyFill="1" applyBorder="1" applyAlignment="1">
      <alignment horizontal="center" vertical="center"/>
    </xf>
    <xf numFmtId="164" fontId="7" fillId="5" borderId="9" xfId="2" applyNumberFormat="1" applyFont="1" applyFill="1" applyBorder="1" applyAlignment="1">
      <alignment horizontal="center" vertical="center"/>
    </xf>
    <xf numFmtId="164" fontId="7" fillId="5" borderId="10" xfId="2" applyNumberFormat="1" applyFont="1" applyFill="1" applyBorder="1" applyAlignment="1">
      <alignment horizontal="center" vertical="center"/>
    </xf>
    <xf numFmtId="0" fontId="7" fillId="6" borderId="1" xfId="2" applyFont="1" applyFill="1" applyBorder="1" applyAlignment="1">
      <alignment horizontal="center" vertical="center"/>
    </xf>
    <xf numFmtId="0" fontId="7" fillId="6" borderId="2" xfId="2" applyFont="1" applyFill="1" applyBorder="1" applyAlignment="1">
      <alignment horizontal="center" vertical="center"/>
    </xf>
    <xf numFmtId="0" fontId="7" fillId="6" borderId="3" xfId="2" applyFont="1" applyFill="1" applyBorder="1" applyAlignment="1">
      <alignment horizontal="center" vertical="center"/>
    </xf>
    <xf numFmtId="0" fontId="7" fillId="6" borderId="5" xfId="2" applyFont="1" applyFill="1" applyBorder="1" applyAlignment="1">
      <alignment horizontal="center" vertical="center"/>
    </xf>
    <xf numFmtId="0" fontId="7" fillId="6" borderId="0" xfId="2" applyFont="1" applyFill="1" applyAlignment="1">
      <alignment horizontal="center" vertical="center"/>
    </xf>
    <xf numFmtId="0" fontId="7" fillId="6" borderId="6" xfId="2" applyFont="1" applyFill="1" applyBorder="1" applyAlignment="1">
      <alignment horizontal="center" vertical="center"/>
    </xf>
    <xf numFmtId="0" fontId="7" fillId="7" borderId="1" xfId="2" applyFont="1" applyFill="1" applyBorder="1" applyAlignment="1">
      <alignment horizontal="center" vertical="center"/>
    </xf>
    <xf numFmtId="0" fontId="7" fillId="7" borderId="2" xfId="2" applyFont="1" applyFill="1" applyBorder="1" applyAlignment="1">
      <alignment horizontal="center" vertical="center"/>
    </xf>
    <xf numFmtId="0" fontId="7" fillId="7" borderId="3" xfId="2" applyFont="1" applyFill="1" applyBorder="1" applyAlignment="1">
      <alignment horizontal="center" vertical="center"/>
    </xf>
    <xf numFmtId="0" fontId="7" fillId="7" borderId="5" xfId="2" applyFont="1" applyFill="1" applyBorder="1" applyAlignment="1">
      <alignment horizontal="center" vertical="center"/>
    </xf>
    <xf numFmtId="0" fontId="7" fillId="7" borderId="0" xfId="2" applyFont="1" applyFill="1" applyAlignment="1">
      <alignment horizontal="center" vertical="center"/>
    </xf>
    <xf numFmtId="0" fontId="7" fillId="7" borderId="6" xfId="2" applyFont="1" applyFill="1" applyBorder="1" applyAlignment="1">
      <alignment horizontal="center" vertical="center"/>
    </xf>
    <xf numFmtId="0" fontId="10" fillId="3" borderId="13" xfId="2" applyFont="1" applyFill="1" applyBorder="1" applyAlignment="1">
      <alignment horizontal="center" vertical="center" wrapText="1"/>
    </xf>
    <xf numFmtId="0" fontId="10" fillId="3" borderId="5" xfId="2" applyFont="1" applyFill="1" applyBorder="1" applyAlignment="1">
      <alignment horizontal="center" vertical="center" wrapText="1"/>
    </xf>
    <xf numFmtId="0" fontId="10" fillId="3" borderId="35" xfId="2" applyFont="1" applyFill="1" applyBorder="1" applyAlignment="1">
      <alignment horizontal="center" vertical="center" wrapText="1"/>
    </xf>
    <xf numFmtId="0" fontId="10" fillId="3" borderId="14" xfId="2" applyFont="1" applyFill="1" applyBorder="1" applyAlignment="1">
      <alignment horizontal="center" vertical="center" wrapText="1"/>
    </xf>
    <xf numFmtId="0" fontId="10" fillId="3" borderId="0" xfId="2" applyFont="1" applyFill="1" applyAlignment="1">
      <alignment horizontal="center" vertical="center" wrapText="1"/>
    </xf>
    <xf numFmtId="0" fontId="10" fillId="3" borderId="36" xfId="2" applyFont="1" applyFill="1" applyBorder="1" applyAlignment="1">
      <alignment horizontal="center" vertical="center" wrapText="1"/>
    </xf>
    <xf numFmtId="9" fontId="10" fillId="4" borderId="13" xfId="2" applyNumberFormat="1" applyFont="1" applyFill="1" applyBorder="1" applyAlignment="1">
      <alignment horizontal="center" vertical="center" wrapText="1"/>
    </xf>
    <xf numFmtId="9" fontId="10" fillId="4" borderId="15" xfId="2" applyNumberFormat="1" applyFont="1" applyFill="1" applyBorder="1" applyAlignment="1">
      <alignment horizontal="center" vertical="center" wrapText="1"/>
    </xf>
    <xf numFmtId="9" fontId="10" fillId="4" borderId="5" xfId="2" applyNumberFormat="1" applyFont="1" applyFill="1" applyBorder="1" applyAlignment="1">
      <alignment horizontal="center" vertical="center" wrapText="1"/>
    </xf>
    <xf numFmtId="9" fontId="10" fillId="4" borderId="26" xfId="2" applyNumberFormat="1" applyFont="1" applyFill="1" applyBorder="1" applyAlignment="1">
      <alignment horizontal="center" vertical="center" wrapText="1"/>
    </xf>
    <xf numFmtId="9" fontId="10" fillId="4" borderId="16" xfId="2" applyNumberFormat="1" applyFont="1" applyFill="1" applyBorder="1" applyAlignment="1">
      <alignment horizontal="center" vertical="center" wrapText="1"/>
    </xf>
    <xf numFmtId="9" fontId="10" fillId="4" borderId="27" xfId="2" applyNumberFormat="1" applyFont="1" applyFill="1" applyBorder="1" applyAlignment="1">
      <alignment horizontal="center" vertical="center" wrapText="1"/>
    </xf>
    <xf numFmtId="0" fontId="10" fillId="5" borderId="14" xfId="2" applyFont="1" applyFill="1" applyBorder="1" applyAlignment="1">
      <alignment horizontal="center" vertical="center" wrapText="1"/>
    </xf>
    <xf numFmtId="0" fontId="10" fillId="5" borderId="0" xfId="2" applyFont="1" applyFill="1" applyAlignment="1">
      <alignment horizontal="center" vertical="center" wrapText="1"/>
    </xf>
    <xf numFmtId="0" fontId="10" fillId="5" borderId="36" xfId="2" applyFont="1" applyFill="1" applyBorder="1" applyAlignment="1">
      <alignment horizontal="center" vertical="center" wrapText="1"/>
    </xf>
    <xf numFmtId="0" fontId="7" fillId="9" borderId="1" xfId="2" applyFont="1" applyFill="1" applyBorder="1" applyAlignment="1">
      <alignment horizontal="center" vertical="center"/>
    </xf>
    <xf numFmtId="0" fontId="7" fillId="9" borderId="2" xfId="2" applyFont="1" applyFill="1" applyBorder="1" applyAlignment="1">
      <alignment horizontal="center" vertical="center"/>
    </xf>
    <xf numFmtId="0" fontId="7" fillId="9" borderId="5" xfId="2" applyFont="1" applyFill="1" applyBorder="1" applyAlignment="1">
      <alignment horizontal="center" vertical="center"/>
    </xf>
    <xf numFmtId="0" fontId="7" fillId="9" borderId="0" xfId="2" applyFont="1" applyFill="1" applyAlignment="1">
      <alignment horizontal="center" vertical="center"/>
    </xf>
    <xf numFmtId="0" fontId="7" fillId="9" borderId="8" xfId="2" applyFont="1" applyFill="1" applyBorder="1" applyAlignment="1">
      <alignment horizontal="center" vertical="center"/>
    </xf>
    <xf numFmtId="0" fontId="7" fillId="9" borderId="9" xfId="2" applyFont="1" applyFill="1" applyBorder="1" applyAlignment="1">
      <alignment horizontal="center" vertical="center"/>
    </xf>
    <xf numFmtId="0" fontId="7" fillId="10" borderId="1" xfId="2" applyFont="1" applyFill="1" applyBorder="1" applyAlignment="1">
      <alignment horizontal="center" vertical="center"/>
    </xf>
    <xf numFmtId="0" fontId="7" fillId="10" borderId="2" xfId="2" applyFont="1" applyFill="1" applyBorder="1" applyAlignment="1">
      <alignment horizontal="center" vertical="center"/>
    </xf>
    <xf numFmtId="0" fontId="7" fillId="10" borderId="3" xfId="2" applyFont="1" applyFill="1" applyBorder="1" applyAlignment="1">
      <alignment horizontal="center" vertical="center"/>
    </xf>
    <xf numFmtId="0" fontId="7" fillId="10" borderId="5" xfId="2" applyFont="1" applyFill="1" applyBorder="1" applyAlignment="1">
      <alignment horizontal="center" vertical="center"/>
    </xf>
    <xf numFmtId="0" fontId="7" fillId="10" borderId="0" xfId="2" applyFont="1" applyFill="1" applyAlignment="1">
      <alignment horizontal="center" vertical="center"/>
    </xf>
    <xf numFmtId="0" fontId="7" fillId="10" borderId="6" xfId="2" applyFont="1" applyFill="1" applyBorder="1" applyAlignment="1">
      <alignment horizontal="center" vertical="center"/>
    </xf>
    <xf numFmtId="0" fontId="7" fillId="10" borderId="8" xfId="2" applyFont="1" applyFill="1" applyBorder="1" applyAlignment="1">
      <alignment horizontal="center" vertical="center"/>
    </xf>
    <xf numFmtId="0" fontId="7" fillId="10" borderId="9" xfId="2" applyFont="1" applyFill="1" applyBorder="1" applyAlignment="1">
      <alignment horizontal="center" vertical="center"/>
    </xf>
    <xf numFmtId="0" fontId="7" fillId="10" borderId="10" xfId="2" applyFont="1" applyFill="1" applyBorder="1" applyAlignment="1">
      <alignment horizontal="center" vertical="center"/>
    </xf>
    <xf numFmtId="0" fontId="7" fillId="11" borderId="4" xfId="2" applyFont="1" applyFill="1" applyBorder="1" applyAlignment="1">
      <alignment horizontal="center" vertical="center"/>
    </xf>
    <xf numFmtId="0" fontId="7" fillId="11" borderId="7" xfId="2" applyFont="1" applyFill="1" applyBorder="1" applyAlignment="1">
      <alignment horizontal="center" vertical="center"/>
    </xf>
    <xf numFmtId="0" fontId="7" fillId="11" borderId="12" xfId="2" applyFont="1" applyFill="1" applyBorder="1" applyAlignment="1">
      <alignment horizontal="center" vertical="center"/>
    </xf>
    <xf numFmtId="0" fontId="9" fillId="8" borderId="9" xfId="2" applyFont="1" applyFill="1" applyBorder="1" applyAlignment="1">
      <alignment horizontal="center" vertical="center"/>
    </xf>
    <xf numFmtId="0" fontId="9" fillId="8" borderId="10" xfId="2" applyFont="1" applyFill="1" applyBorder="1" applyAlignment="1">
      <alignment horizontal="center" vertical="center"/>
    </xf>
    <xf numFmtId="0" fontId="8" fillId="8" borderId="2" xfId="2" applyFont="1" applyFill="1" applyBorder="1" applyAlignment="1">
      <alignment horizontal="center" vertical="center"/>
    </xf>
    <xf numFmtId="0" fontId="8" fillId="8" borderId="0" xfId="2" applyFont="1" applyFill="1" applyAlignment="1">
      <alignment horizontal="center" vertical="center"/>
    </xf>
    <xf numFmtId="0" fontId="10" fillId="6" borderId="1" xfId="2" applyFont="1" applyFill="1" applyBorder="1" applyAlignment="1">
      <alignment horizontal="center" vertical="center" wrapText="1"/>
    </xf>
    <xf numFmtId="0" fontId="10" fillId="6" borderId="5" xfId="2" applyFont="1" applyFill="1" applyBorder="1" applyAlignment="1">
      <alignment horizontal="center" vertical="center" wrapText="1"/>
    </xf>
    <xf numFmtId="0" fontId="10" fillId="6" borderId="35" xfId="2" applyFont="1" applyFill="1" applyBorder="1" applyAlignment="1">
      <alignment horizontal="center" vertical="center" wrapText="1"/>
    </xf>
    <xf numFmtId="164" fontId="10" fillId="6" borderId="2" xfId="2" applyNumberFormat="1" applyFont="1" applyFill="1" applyBorder="1" applyAlignment="1">
      <alignment horizontal="center" vertical="center" wrapText="1"/>
    </xf>
    <xf numFmtId="164" fontId="10" fillId="6" borderId="18" xfId="2" applyNumberFormat="1" applyFont="1" applyFill="1" applyBorder="1" applyAlignment="1">
      <alignment horizontal="center" vertical="center" wrapText="1"/>
    </xf>
    <xf numFmtId="164" fontId="10" fillId="6" borderId="0" xfId="2" applyNumberFormat="1" applyFont="1" applyFill="1" applyAlignment="1">
      <alignment horizontal="center" vertical="center" wrapText="1"/>
    </xf>
    <xf numFmtId="164" fontId="10" fillId="6" borderId="26" xfId="2" applyNumberFormat="1" applyFont="1" applyFill="1" applyBorder="1" applyAlignment="1">
      <alignment horizontal="center" vertical="center" wrapText="1"/>
    </xf>
    <xf numFmtId="0" fontId="10" fillId="6" borderId="2" xfId="2" applyFont="1" applyFill="1" applyBorder="1" applyAlignment="1">
      <alignment horizontal="center" vertical="center" wrapText="1"/>
    </xf>
    <xf numFmtId="0" fontId="10" fillId="6" borderId="18" xfId="2" applyFont="1" applyFill="1" applyBorder="1" applyAlignment="1">
      <alignment horizontal="center" vertical="center" wrapText="1"/>
    </xf>
    <xf numFmtId="0" fontId="10" fillId="6" borderId="0" xfId="2" applyFont="1" applyFill="1" applyAlignment="1">
      <alignment horizontal="center" vertical="center" wrapText="1"/>
    </xf>
    <xf numFmtId="0" fontId="10" fillId="6" borderId="26" xfId="2" applyFont="1" applyFill="1" applyBorder="1" applyAlignment="1">
      <alignment horizontal="center" vertical="center" wrapText="1"/>
    </xf>
    <xf numFmtId="0" fontId="10" fillId="10" borderId="14" xfId="2" applyFont="1" applyFill="1" applyBorder="1" applyAlignment="1">
      <alignment horizontal="center" vertical="center" wrapText="1"/>
    </xf>
    <xf numFmtId="0" fontId="10" fillId="10" borderId="0" xfId="2" applyFont="1" applyFill="1" applyAlignment="1">
      <alignment horizontal="center" vertical="center" wrapText="1"/>
    </xf>
    <xf numFmtId="0" fontId="10" fillId="10" borderId="36" xfId="2" applyFont="1" applyFill="1" applyBorder="1" applyAlignment="1">
      <alignment horizontal="center" vertical="center" wrapText="1"/>
    </xf>
    <xf numFmtId="0" fontId="10" fillId="10" borderId="17" xfId="2" applyFont="1" applyFill="1" applyBorder="1" applyAlignment="1">
      <alignment horizontal="center" vertical="center" wrapText="1"/>
    </xf>
    <xf numFmtId="0" fontId="10" fillId="10" borderId="6" xfId="2" applyFont="1" applyFill="1" applyBorder="1" applyAlignment="1">
      <alignment horizontal="center" vertical="center" wrapText="1"/>
    </xf>
    <xf numFmtId="0" fontId="10" fillId="10" borderId="39" xfId="2" applyFont="1" applyFill="1" applyBorder="1" applyAlignment="1">
      <alignment horizontal="center" vertical="center" wrapText="1"/>
    </xf>
    <xf numFmtId="0" fontId="10" fillId="11" borderId="7" xfId="2" applyFont="1" applyFill="1" applyBorder="1" applyAlignment="1">
      <alignment horizontal="center" vertical="center" wrapText="1"/>
    </xf>
    <xf numFmtId="0" fontId="10" fillId="11" borderId="46" xfId="2" applyFont="1" applyFill="1" applyBorder="1" applyAlignment="1">
      <alignment horizontal="center" vertical="center" wrapText="1"/>
    </xf>
    <xf numFmtId="0" fontId="10" fillId="4" borderId="16" xfId="2" applyFont="1" applyFill="1" applyBorder="1" applyAlignment="1">
      <alignment horizontal="center" vertical="center" wrapText="1"/>
    </xf>
    <xf numFmtId="0" fontId="10" fillId="4" borderId="15" xfId="2" applyFont="1" applyFill="1" applyBorder="1" applyAlignment="1">
      <alignment horizontal="center" vertical="center" wrapText="1"/>
    </xf>
    <xf numFmtId="0" fontId="10" fillId="4" borderId="27" xfId="2" applyFont="1" applyFill="1" applyBorder="1" applyAlignment="1">
      <alignment horizontal="center" vertical="center" wrapText="1"/>
    </xf>
    <xf numFmtId="0" fontId="10" fillId="4" borderId="26" xfId="2" applyFont="1" applyFill="1" applyBorder="1" applyAlignment="1">
      <alignment horizontal="center" vertical="center" wrapText="1"/>
    </xf>
    <xf numFmtId="0" fontId="12" fillId="4" borderId="16" xfId="2" applyFont="1" applyFill="1" applyBorder="1" applyAlignment="1">
      <alignment horizontal="center" vertical="center" wrapText="1"/>
    </xf>
    <xf numFmtId="0" fontId="12" fillId="4" borderId="27" xfId="2" applyFont="1" applyFill="1" applyBorder="1" applyAlignment="1">
      <alignment horizontal="center" vertical="center" wrapText="1"/>
    </xf>
    <xf numFmtId="0" fontId="12" fillId="4" borderId="38" xfId="2" applyFont="1" applyFill="1" applyBorder="1" applyAlignment="1">
      <alignment horizontal="center" vertical="center" wrapText="1"/>
    </xf>
    <xf numFmtId="49" fontId="10" fillId="4" borderId="15" xfId="2" applyNumberFormat="1" applyFont="1" applyFill="1" applyBorder="1" applyAlignment="1">
      <alignment horizontal="center" vertical="center" wrapText="1"/>
    </xf>
    <xf numFmtId="49" fontId="10" fillId="4" borderId="26" xfId="2" applyNumberFormat="1" applyFont="1" applyFill="1" applyBorder="1" applyAlignment="1">
      <alignment horizontal="center" vertical="center" wrapText="1"/>
    </xf>
    <xf numFmtId="49" fontId="10" fillId="4" borderId="37" xfId="2" applyNumberFormat="1" applyFont="1" applyFill="1" applyBorder="1" applyAlignment="1">
      <alignment horizontal="center" vertical="center" wrapText="1"/>
    </xf>
    <xf numFmtId="0" fontId="10" fillId="4" borderId="38" xfId="2" applyFont="1" applyFill="1" applyBorder="1" applyAlignment="1">
      <alignment horizontal="center" vertical="center" wrapText="1"/>
    </xf>
    <xf numFmtId="0" fontId="10" fillId="4" borderId="17" xfId="2" applyFont="1" applyFill="1" applyBorder="1" applyAlignment="1">
      <alignment horizontal="center" vertical="center" wrapText="1"/>
    </xf>
    <xf numFmtId="0" fontId="10" fillId="4" borderId="6" xfId="2" applyFont="1" applyFill="1" applyBorder="1" applyAlignment="1">
      <alignment horizontal="center" vertical="center" wrapText="1"/>
    </xf>
    <xf numFmtId="0" fontId="10" fillId="4" borderId="39" xfId="2" applyFont="1" applyFill="1" applyBorder="1" applyAlignment="1">
      <alignment horizontal="center" vertical="center" wrapText="1"/>
    </xf>
    <xf numFmtId="0" fontId="0" fillId="5" borderId="4" xfId="0" applyFill="1" applyBorder="1" applyAlignment="1">
      <alignment horizontal="center" vertical="center" wrapText="1"/>
    </xf>
    <xf numFmtId="0" fontId="0" fillId="5" borderId="7" xfId="0" applyFill="1" applyBorder="1" applyAlignment="1">
      <alignment horizontal="center" vertical="center"/>
    </xf>
    <xf numFmtId="0" fontId="0" fillId="5" borderId="46" xfId="0" applyFill="1" applyBorder="1" applyAlignment="1">
      <alignment horizontal="center" vertical="center"/>
    </xf>
    <xf numFmtId="0" fontId="10" fillId="8" borderId="17" xfId="2" applyFont="1" applyFill="1" applyBorder="1" applyAlignment="1">
      <alignment horizontal="center" vertical="center" wrapText="1"/>
    </xf>
    <xf numFmtId="0" fontId="10" fillId="8" borderId="6" xfId="2" applyFont="1" applyFill="1" applyBorder="1" applyAlignment="1">
      <alignment horizontal="center" vertical="center" wrapText="1"/>
    </xf>
    <xf numFmtId="0" fontId="10" fillId="8" borderId="39" xfId="2" applyFont="1" applyFill="1" applyBorder="1" applyAlignment="1">
      <alignment horizontal="center" vertical="center" wrapText="1"/>
    </xf>
    <xf numFmtId="0" fontId="10" fillId="9" borderId="13" xfId="2" applyFont="1" applyFill="1" applyBorder="1" applyAlignment="1">
      <alignment horizontal="center" vertical="center" wrapText="1"/>
    </xf>
    <xf numFmtId="0" fontId="10" fillId="9" borderId="5" xfId="2" applyFont="1" applyFill="1" applyBorder="1" applyAlignment="1">
      <alignment horizontal="center" vertical="center" wrapText="1"/>
    </xf>
    <xf numFmtId="0" fontId="10" fillId="9" borderId="35" xfId="2" applyFont="1" applyFill="1" applyBorder="1" applyAlignment="1">
      <alignment horizontal="center" vertical="center" wrapText="1"/>
    </xf>
    <xf numFmtId="0" fontId="10" fillId="9" borderId="14" xfId="2" applyFont="1" applyFill="1" applyBorder="1" applyAlignment="1">
      <alignment horizontal="center" vertical="center" wrapText="1"/>
    </xf>
    <xf numFmtId="0" fontId="10" fillId="9" borderId="0" xfId="2" applyFont="1" applyFill="1" applyAlignment="1">
      <alignment horizontal="center" vertical="center" wrapText="1"/>
    </xf>
    <xf numFmtId="0" fontId="10" fillId="9" borderId="36" xfId="2" applyFont="1" applyFill="1" applyBorder="1" applyAlignment="1">
      <alignment horizontal="center" vertical="center" wrapText="1"/>
    </xf>
    <xf numFmtId="164" fontId="10" fillId="8" borderId="23" xfId="2" applyNumberFormat="1" applyFont="1" applyFill="1" applyBorder="1" applyAlignment="1">
      <alignment horizontal="center" vertical="center" wrapText="1"/>
    </xf>
    <xf numFmtId="164" fontId="10" fillId="8" borderId="32" xfId="2" applyNumberFormat="1" applyFont="1" applyFill="1" applyBorder="1" applyAlignment="1">
      <alignment horizontal="center" vertical="center" wrapText="1"/>
    </xf>
    <xf numFmtId="164" fontId="10" fillId="8" borderId="43" xfId="2" applyNumberFormat="1" applyFont="1" applyFill="1" applyBorder="1" applyAlignment="1">
      <alignment horizontal="center" vertical="center" wrapText="1"/>
    </xf>
    <xf numFmtId="0" fontId="10" fillId="8" borderId="14" xfId="2" applyFont="1" applyFill="1" applyBorder="1" applyAlignment="1">
      <alignment horizontal="center" vertical="center" wrapText="1"/>
    </xf>
    <xf numFmtId="0" fontId="10" fillId="8" borderId="0" xfId="2" applyFont="1" applyFill="1" applyAlignment="1">
      <alignment horizontal="center" vertical="center" wrapText="1"/>
    </xf>
    <xf numFmtId="0" fontId="10" fillId="8" borderId="22" xfId="2" applyFont="1" applyFill="1" applyBorder="1" applyAlignment="1">
      <alignment horizontal="center" vertical="center" wrapText="1"/>
    </xf>
    <xf numFmtId="0" fontId="10" fillId="8" borderId="31" xfId="2" applyFont="1" applyFill="1" applyBorder="1" applyAlignment="1">
      <alignment horizontal="center" vertical="center" wrapText="1"/>
    </xf>
    <xf numFmtId="164" fontId="10" fillId="8" borderId="24" xfId="2" applyNumberFormat="1" applyFont="1" applyFill="1" applyBorder="1" applyAlignment="1">
      <alignment horizontal="center" vertical="center" wrapText="1"/>
    </xf>
    <xf numFmtId="164" fontId="10" fillId="8" borderId="33" xfId="2" applyNumberFormat="1" applyFont="1" applyFill="1" applyBorder="1" applyAlignment="1">
      <alignment horizontal="center" vertical="center" wrapText="1"/>
    </xf>
    <xf numFmtId="0" fontId="10" fillId="8" borderId="25" xfId="2" applyFont="1" applyFill="1" applyBorder="1" applyAlignment="1">
      <alignment horizontal="center" vertical="center" wrapText="1"/>
    </xf>
    <xf numFmtId="0" fontId="10" fillId="8" borderId="34" xfId="2" applyFont="1" applyFill="1" applyBorder="1" applyAlignment="1">
      <alignment horizontal="center" vertical="center" wrapText="1"/>
    </xf>
    <xf numFmtId="0" fontId="10" fillId="8" borderId="45" xfId="2" applyFont="1" applyFill="1" applyBorder="1" applyAlignment="1">
      <alignment horizontal="center" vertical="center" wrapText="1"/>
    </xf>
    <xf numFmtId="0" fontId="10" fillId="6" borderId="3" xfId="2" applyFont="1" applyFill="1" applyBorder="1" applyAlignment="1">
      <alignment horizontal="center" vertical="center" wrapText="1"/>
    </xf>
    <xf numFmtId="0" fontId="10" fillId="6" borderId="6" xfId="2" applyFont="1" applyFill="1" applyBorder="1" applyAlignment="1">
      <alignment horizontal="center" vertical="center" wrapText="1"/>
    </xf>
    <xf numFmtId="0" fontId="10" fillId="6" borderId="39" xfId="2" applyFont="1" applyFill="1" applyBorder="1" applyAlignment="1">
      <alignment horizontal="center" vertical="center" wrapText="1"/>
    </xf>
    <xf numFmtId="164" fontId="10" fillId="7" borderId="20" xfId="2" applyNumberFormat="1" applyFont="1" applyFill="1" applyBorder="1" applyAlignment="1">
      <alignment horizontal="center" vertical="center" wrapText="1"/>
    </xf>
    <xf numFmtId="164" fontId="10" fillId="7" borderId="18" xfId="2" applyNumberFormat="1" applyFont="1" applyFill="1" applyBorder="1" applyAlignment="1">
      <alignment horizontal="center" vertical="center" wrapText="1"/>
    </xf>
    <xf numFmtId="164" fontId="10" fillId="7" borderId="19" xfId="2" applyNumberFormat="1" applyFont="1" applyFill="1" applyBorder="1" applyAlignment="1">
      <alignment horizontal="center" vertical="center" wrapText="1"/>
    </xf>
    <xf numFmtId="164" fontId="10" fillId="7" borderId="29" xfId="2" applyNumberFormat="1" applyFont="1" applyFill="1" applyBorder="1" applyAlignment="1">
      <alignment horizontal="center" vertical="center" wrapText="1"/>
    </xf>
    <xf numFmtId="164" fontId="10" fillId="7" borderId="26" xfId="2" applyNumberFormat="1" applyFont="1" applyFill="1" applyBorder="1" applyAlignment="1">
      <alignment horizontal="center" vertical="center" wrapText="1"/>
    </xf>
    <xf numFmtId="164" fontId="10" fillId="7" borderId="28" xfId="2" applyNumberFormat="1" applyFont="1" applyFill="1" applyBorder="1" applyAlignment="1">
      <alignment horizontal="center" vertical="center" wrapText="1"/>
    </xf>
    <xf numFmtId="0" fontId="10" fillId="7" borderId="19" xfId="2" applyFont="1" applyFill="1" applyBorder="1" applyAlignment="1">
      <alignment horizontal="center" vertical="center" wrapText="1"/>
    </xf>
    <xf numFmtId="0" fontId="10" fillId="7" borderId="28" xfId="2" applyFont="1" applyFill="1" applyBorder="1" applyAlignment="1">
      <alignment horizontal="center" vertical="center" wrapText="1"/>
    </xf>
    <xf numFmtId="0" fontId="10" fillId="7" borderId="40" xfId="2" applyFont="1" applyFill="1" applyBorder="1" applyAlignment="1">
      <alignment horizontal="center" vertical="center" wrapText="1"/>
    </xf>
    <xf numFmtId="0" fontId="10" fillId="7" borderId="21" xfId="2" applyFont="1" applyFill="1" applyBorder="1" applyAlignment="1">
      <alignment horizontal="center" vertical="center" wrapText="1"/>
    </xf>
    <xf numFmtId="0" fontId="10" fillId="7" borderId="30" xfId="2" applyFont="1" applyFill="1" applyBorder="1" applyAlignment="1">
      <alignment horizontal="center" vertical="center" wrapText="1"/>
    </xf>
    <xf numFmtId="0" fontId="10" fillId="7" borderId="42" xfId="2" applyFont="1" applyFill="1" applyBorder="1" applyAlignment="1">
      <alignment horizontal="center" vertical="center" wrapText="1"/>
    </xf>
    <xf numFmtId="0" fontId="0" fillId="0" borderId="55" xfId="0" applyBorder="1" applyAlignment="1">
      <alignment horizontal="center" vertical="center"/>
    </xf>
    <xf numFmtId="0" fontId="0" fillId="0" borderId="28" xfId="0" applyBorder="1" applyAlignment="1">
      <alignment horizontal="center" vertical="center"/>
    </xf>
    <xf numFmtId="0" fontId="0" fillId="0" borderId="58" xfId="0" applyBorder="1" applyAlignment="1">
      <alignment horizontal="center" vertical="center"/>
    </xf>
    <xf numFmtId="0" fontId="10" fillId="10" borderId="13" xfId="2" applyFont="1" applyFill="1" applyBorder="1" applyAlignment="1">
      <alignment horizontal="center" vertical="center" wrapText="1"/>
    </xf>
    <xf numFmtId="0" fontId="10" fillId="10" borderId="5" xfId="2" applyFont="1" applyFill="1" applyBorder="1" applyAlignment="1">
      <alignment horizontal="center" vertical="center" wrapText="1"/>
    </xf>
    <xf numFmtId="0" fontId="10" fillId="10" borderId="35" xfId="2" applyFont="1" applyFill="1" applyBorder="1" applyAlignment="1">
      <alignment horizontal="center" vertical="center" wrapText="1"/>
    </xf>
    <xf numFmtId="164" fontId="10" fillId="8" borderId="22" xfId="2" applyNumberFormat="1" applyFont="1" applyFill="1" applyBorder="1" applyAlignment="1">
      <alignment horizontal="center" vertical="center" wrapText="1"/>
    </xf>
    <xf numFmtId="164" fontId="10" fillId="8" borderId="31" xfId="2" applyNumberFormat="1" applyFont="1" applyFill="1" applyBorder="1" applyAlignment="1">
      <alignment horizontal="center" vertical="center" wrapText="1"/>
    </xf>
    <xf numFmtId="0" fontId="10" fillId="6" borderId="19" xfId="2" applyFont="1" applyFill="1" applyBorder="1" applyAlignment="1">
      <alignment horizontal="center" vertical="center" wrapText="1"/>
    </xf>
    <xf numFmtId="0" fontId="10" fillId="6" borderId="28" xfId="2" applyFont="1" applyFill="1" applyBorder="1" applyAlignment="1">
      <alignment horizontal="center" vertical="center" wrapText="1"/>
    </xf>
    <xf numFmtId="0" fontId="10" fillId="6" borderId="40" xfId="2" applyFont="1" applyFill="1" applyBorder="1" applyAlignment="1">
      <alignment horizontal="center" vertical="center" wrapText="1"/>
    </xf>
    <xf numFmtId="0" fontId="10" fillId="9" borderId="17" xfId="2" applyFont="1" applyFill="1" applyBorder="1" applyAlignment="1">
      <alignment horizontal="center" vertical="center" wrapText="1"/>
    </xf>
    <xf numFmtId="0" fontId="10" fillId="9" borderId="6" xfId="2" applyFont="1" applyFill="1" applyBorder="1" applyAlignment="1">
      <alignment horizontal="center" vertical="center" wrapText="1"/>
    </xf>
    <xf numFmtId="0" fontId="10" fillId="9" borderId="39" xfId="2" applyFont="1" applyFill="1" applyBorder="1" applyAlignment="1">
      <alignment horizontal="center" vertical="center" wrapText="1"/>
    </xf>
    <xf numFmtId="0" fontId="10" fillId="8" borderId="81" xfId="2" applyFont="1" applyFill="1" applyBorder="1" applyAlignment="1">
      <alignment horizontal="center" vertical="center" wrapText="1"/>
    </xf>
    <xf numFmtId="0" fontId="10" fillId="8" borderId="82" xfId="2" applyFont="1" applyFill="1" applyBorder="1" applyAlignment="1">
      <alignment horizontal="center" vertical="center" wrapText="1"/>
    </xf>
    <xf numFmtId="0" fontId="10" fillId="8" borderId="83" xfId="2" applyFont="1" applyFill="1" applyBorder="1" applyAlignment="1">
      <alignment horizontal="center" vertical="center" wrapText="1"/>
    </xf>
    <xf numFmtId="0" fontId="10" fillId="8" borderId="79" xfId="2" applyFont="1" applyFill="1" applyBorder="1" applyAlignment="1">
      <alignment horizontal="center" vertical="center" wrapText="1"/>
    </xf>
    <xf numFmtId="0" fontId="10" fillId="8" borderId="80" xfId="2" applyFont="1" applyFill="1" applyBorder="1" applyAlignment="1">
      <alignment horizontal="center" vertical="center" wrapText="1"/>
    </xf>
    <xf numFmtId="0" fontId="10" fillId="6" borderId="21" xfId="2" applyFont="1" applyFill="1" applyBorder="1" applyAlignment="1">
      <alignment horizontal="center" vertical="center" wrapText="1"/>
    </xf>
    <xf numFmtId="0" fontId="10" fillId="6" borderId="30" xfId="2" applyFont="1" applyFill="1" applyBorder="1" applyAlignment="1">
      <alignment horizontal="center" vertical="center" wrapText="1"/>
    </xf>
    <xf numFmtId="0" fontId="10" fillId="6" borderId="42" xfId="2" applyFont="1" applyFill="1" applyBorder="1" applyAlignment="1">
      <alignment horizontal="center" vertical="center" wrapText="1"/>
    </xf>
    <xf numFmtId="164" fontId="10" fillId="7" borderId="1" xfId="2" applyNumberFormat="1" applyFont="1" applyFill="1" applyBorder="1" applyAlignment="1">
      <alignment horizontal="center" vertical="center" wrapText="1"/>
    </xf>
    <xf numFmtId="164" fontId="10" fillId="7" borderId="2" xfId="2" applyNumberFormat="1" applyFont="1" applyFill="1" applyBorder="1" applyAlignment="1">
      <alignment horizontal="center" vertical="center" wrapText="1"/>
    </xf>
    <xf numFmtId="164" fontId="10" fillId="7" borderId="5" xfId="2" applyNumberFormat="1" applyFont="1" applyFill="1" applyBorder="1" applyAlignment="1">
      <alignment horizontal="center" vertical="center" wrapText="1"/>
    </xf>
    <xf numFmtId="164" fontId="10" fillId="7" borderId="0" xfId="2" applyNumberFormat="1" applyFont="1" applyFill="1" applyAlignment="1">
      <alignment horizontal="center" vertical="center" wrapText="1"/>
    </xf>
    <xf numFmtId="0" fontId="10" fillId="7" borderId="78" xfId="2" applyFont="1" applyFill="1" applyBorder="1" applyAlignment="1">
      <alignment horizontal="center" vertical="center" wrapText="1"/>
    </xf>
    <xf numFmtId="0" fontId="10" fillId="7" borderId="18" xfId="2" applyFont="1" applyFill="1" applyBorder="1" applyAlignment="1">
      <alignment horizontal="center" vertical="center" wrapText="1"/>
    </xf>
    <xf numFmtId="0" fontId="10" fillId="7" borderId="27" xfId="2" applyFont="1" applyFill="1" applyBorder="1" applyAlignment="1">
      <alignment horizontal="center" vertical="center" wrapText="1"/>
    </xf>
    <xf numFmtId="0" fontId="10" fillId="7" borderId="26" xfId="2" applyFont="1" applyFill="1" applyBorder="1" applyAlignment="1">
      <alignment horizontal="center" vertical="center" wrapText="1"/>
    </xf>
    <xf numFmtId="0" fontId="10" fillId="5" borderId="13" xfId="2" applyFont="1" applyFill="1" applyBorder="1" applyAlignment="1">
      <alignment horizontal="center" vertical="center" wrapText="1"/>
    </xf>
    <xf numFmtId="0" fontId="10" fillId="5" borderId="5" xfId="2" applyFont="1" applyFill="1" applyBorder="1" applyAlignment="1">
      <alignment horizontal="center" vertical="center" wrapText="1"/>
    </xf>
    <xf numFmtId="0" fontId="10" fillId="5" borderId="35" xfId="2" applyFont="1" applyFill="1" applyBorder="1" applyAlignment="1">
      <alignment horizontal="center" vertical="center" wrapText="1"/>
    </xf>
    <xf numFmtId="0" fontId="7" fillId="9" borderId="3" xfId="2" applyFont="1" applyFill="1" applyBorder="1" applyAlignment="1">
      <alignment horizontal="center" vertical="center"/>
    </xf>
    <xf numFmtId="0" fontId="7" fillId="9" borderId="6" xfId="2" applyFont="1" applyFill="1" applyBorder="1" applyAlignment="1">
      <alignment horizontal="center" vertical="center"/>
    </xf>
    <xf numFmtId="0" fontId="7" fillId="9" borderId="10" xfId="2" applyFont="1" applyFill="1" applyBorder="1" applyAlignment="1">
      <alignment horizontal="center" vertical="center"/>
    </xf>
    <xf numFmtId="0" fontId="9" fillId="8" borderId="8" xfId="2" applyFont="1" applyFill="1" applyBorder="1" applyAlignment="1">
      <alignment horizontal="center" vertical="center"/>
    </xf>
    <xf numFmtId="0" fontId="8" fillId="8" borderId="1" xfId="2" applyFont="1" applyFill="1" applyBorder="1" applyAlignment="1">
      <alignment horizontal="center" vertical="center"/>
    </xf>
    <xf numFmtId="0" fontId="8" fillId="8" borderId="5" xfId="2" applyFont="1" applyFill="1" applyBorder="1" applyAlignment="1">
      <alignment horizontal="center" vertical="center"/>
    </xf>
    <xf numFmtId="0" fontId="10" fillId="5" borderId="17" xfId="2" applyFont="1" applyFill="1" applyBorder="1" applyAlignment="1">
      <alignment horizontal="center" vertical="center" wrapText="1"/>
    </xf>
    <xf numFmtId="0" fontId="10" fillId="5" borderId="6" xfId="2" applyFont="1" applyFill="1" applyBorder="1" applyAlignment="1">
      <alignment horizontal="center" vertical="center" wrapText="1"/>
    </xf>
    <xf numFmtId="0" fontId="10" fillId="5" borderId="39" xfId="2" applyFont="1" applyFill="1" applyBorder="1" applyAlignment="1">
      <alignment horizontal="center" vertical="center" wrapText="1"/>
    </xf>
    <xf numFmtId="0" fontId="10" fillId="6" borderId="78" xfId="2" applyFont="1" applyFill="1" applyBorder="1" applyAlignment="1">
      <alignment horizontal="center" vertical="center" wrapText="1"/>
    </xf>
    <xf numFmtId="0" fontId="10" fillId="6" borderId="27" xfId="2" applyFont="1" applyFill="1" applyBorder="1" applyAlignment="1">
      <alignment horizontal="center" vertical="center" wrapText="1"/>
    </xf>
    <xf numFmtId="0" fontId="10" fillId="11" borderId="84" xfId="2" applyFont="1" applyFill="1" applyBorder="1" applyAlignment="1">
      <alignment horizontal="center" vertical="center" wrapText="1"/>
    </xf>
    <xf numFmtId="0" fontId="10" fillId="3" borderId="17" xfId="2" applyFont="1" applyFill="1" applyBorder="1" applyAlignment="1">
      <alignment horizontal="center" vertical="center" wrapText="1"/>
    </xf>
    <xf numFmtId="0" fontId="10" fillId="3" borderId="6" xfId="2" applyFont="1" applyFill="1" applyBorder="1" applyAlignment="1">
      <alignment horizontal="center" vertical="center" wrapText="1"/>
    </xf>
    <xf numFmtId="0" fontId="10" fillId="3" borderId="39" xfId="2" applyFont="1" applyFill="1" applyBorder="1" applyAlignment="1">
      <alignment horizontal="center" vertical="center" wrapText="1"/>
    </xf>
    <xf numFmtId="0" fontId="7" fillId="6" borderId="35" xfId="2" applyFont="1" applyFill="1" applyBorder="1" applyAlignment="1">
      <alignment horizontal="center" vertical="center"/>
    </xf>
    <xf numFmtId="0" fontId="7" fillId="6" borderId="36" xfId="2" applyFont="1" applyFill="1" applyBorder="1" applyAlignment="1">
      <alignment horizontal="center" vertical="center"/>
    </xf>
    <xf numFmtId="0" fontId="7" fillId="6" borderId="39" xfId="2" applyFont="1" applyFill="1" applyBorder="1" applyAlignment="1">
      <alignment horizontal="center" vertical="center"/>
    </xf>
    <xf numFmtId="0" fontId="7" fillId="7" borderId="35" xfId="2" applyFont="1" applyFill="1" applyBorder="1" applyAlignment="1">
      <alignment horizontal="center" vertical="center"/>
    </xf>
    <xf numFmtId="0" fontId="7" fillId="7" borderId="36" xfId="2" applyFont="1" applyFill="1" applyBorder="1" applyAlignment="1">
      <alignment horizontal="center" vertical="center"/>
    </xf>
    <xf numFmtId="0" fontId="7" fillId="7" borderId="39" xfId="2" applyFont="1" applyFill="1" applyBorder="1" applyAlignment="1">
      <alignment horizontal="center" vertical="center"/>
    </xf>
    <xf numFmtId="0" fontId="0" fillId="0" borderId="36" xfId="0" applyBorder="1" applyAlignment="1">
      <alignment horizontal="center"/>
    </xf>
    <xf numFmtId="0" fontId="0" fillId="0" borderId="0" xfId="0" applyAlignment="1">
      <alignment horizontal="center"/>
    </xf>
    <xf numFmtId="10" fontId="0" fillId="0" borderId="0" xfId="0" applyNumberFormat="1" applyAlignment="1">
      <alignment horizontal="center"/>
    </xf>
    <xf numFmtId="0" fontId="14" fillId="0" borderId="0" xfId="2" applyFont="1" applyAlignment="1">
      <alignment horizontal="left" vertical="center"/>
    </xf>
    <xf numFmtId="0" fontId="0" fillId="0" borderId="72" xfId="0" applyBorder="1" applyAlignment="1">
      <alignment horizontal="center"/>
    </xf>
    <xf numFmtId="0" fontId="0" fillId="0" borderId="73" xfId="0" applyBorder="1" applyAlignment="1">
      <alignment horizontal="center"/>
    </xf>
    <xf numFmtId="0" fontId="0" fillId="0" borderId="74" xfId="0" applyBorder="1" applyAlignment="1">
      <alignment horizontal="center"/>
    </xf>
    <xf numFmtId="0" fontId="16" fillId="0" borderId="0" xfId="0" applyFont="1" applyAlignment="1">
      <alignment horizontal="center" vertical="center"/>
    </xf>
    <xf numFmtId="0" fontId="16" fillId="0" borderId="36" xfId="0" applyFont="1" applyBorder="1" applyAlignment="1">
      <alignment horizontal="center" vertical="center"/>
    </xf>
    <xf numFmtId="0" fontId="16" fillId="0" borderId="0" xfId="0" applyFont="1" applyAlignment="1">
      <alignment horizontal="center" vertical="center" wrapText="1"/>
    </xf>
    <xf numFmtId="0" fontId="16" fillId="0" borderId="36" xfId="0" applyFont="1" applyBorder="1" applyAlignment="1">
      <alignment horizontal="center" vertical="center" wrapText="1"/>
    </xf>
  </cellXfs>
  <cellStyles count="4">
    <cellStyle name="Bad" xfId="3" builtinId="27"/>
    <cellStyle name="Good" xfId="1" builtinId="26"/>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numRef>
              <c:f>'[2]YT Revised April 2020'!$A$38:$A$74</c:f>
              <c:numCache>
                <c:formatCode>General</c:formatCode>
                <c:ptCount val="37"/>
                <c:pt idx="0">
                  <c:v>14</c:v>
                </c:pt>
                <c:pt idx="1">
                  <c:v>15</c:v>
                </c:pt>
                <c:pt idx="2">
                  <c:v>16</c:v>
                </c:pt>
                <c:pt idx="3">
                  <c:v>17</c:v>
                </c:pt>
                <c:pt idx="4">
                  <c:v>18</c:v>
                </c:pt>
                <c:pt idx="5">
                  <c:v>19</c:v>
                </c:pt>
                <c:pt idx="6">
                  <c:v>20</c:v>
                </c:pt>
                <c:pt idx="7">
                  <c:v>21</c:v>
                </c:pt>
                <c:pt idx="8">
                  <c:v>22</c:v>
                </c:pt>
                <c:pt idx="9">
                  <c:v>23</c:v>
                </c:pt>
                <c:pt idx="10">
                  <c:v>24</c:v>
                </c:pt>
                <c:pt idx="11">
                  <c:v>25</c:v>
                </c:pt>
                <c:pt idx="12">
                  <c:v>26</c:v>
                </c:pt>
                <c:pt idx="13">
                  <c:v>27</c:v>
                </c:pt>
                <c:pt idx="14">
                  <c:v>28</c:v>
                </c:pt>
                <c:pt idx="15">
                  <c:v>29</c:v>
                </c:pt>
                <c:pt idx="16">
                  <c:v>30</c:v>
                </c:pt>
                <c:pt idx="17">
                  <c:v>31</c:v>
                </c:pt>
                <c:pt idx="18">
                  <c:v>32</c:v>
                </c:pt>
                <c:pt idx="19">
                  <c:v>33</c:v>
                </c:pt>
                <c:pt idx="20">
                  <c:v>34</c:v>
                </c:pt>
                <c:pt idx="21">
                  <c:v>35</c:v>
                </c:pt>
                <c:pt idx="22">
                  <c:v>36</c:v>
                </c:pt>
                <c:pt idx="23">
                  <c:v>37</c:v>
                </c:pt>
                <c:pt idx="24">
                  <c:v>38</c:v>
                </c:pt>
                <c:pt idx="25">
                  <c:v>39</c:v>
                </c:pt>
                <c:pt idx="26">
                  <c:v>40</c:v>
                </c:pt>
                <c:pt idx="27">
                  <c:v>41</c:v>
                </c:pt>
                <c:pt idx="28">
                  <c:v>42</c:v>
                </c:pt>
                <c:pt idx="29">
                  <c:v>43</c:v>
                </c:pt>
                <c:pt idx="30">
                  <c:v>44</c:v>
                </c:pt>
                <c:pt idx="31">
                  <c:v>45</c:v>
                </c:pt>
                <c:pt idx="32">
                  <c:v>46</c:v>
                </c:pt>
                <c:pt idx="33">
                  <c:v>47</c:v>
                </c:pt>
                <c:pt idx="34">
                  <c:v>48</c:v>
                </c:pt>
                <c:pt idx="35">
                  <c:v>49</c:v>
                </c:pt>
                <c:pt idx="36">
                  <c:v>50</c:v>
                </c:pt>
              </c:numCache>
            </c:numRef>
          </c:cat>
          <c:val>
            <c:numRef>
              <c:f>'[2]YT Revised April 2020'!$BB$38:$BB$74</c:f>
              <c:numCache>
                <c:formatCode>General</c:formatCode>
                <c:ptCount val="37"/>
                <c:pt idx="5">
                  <c:v>0</c:v>
                </c:pt>
              </c:numCache>
            </c:numRef>
          </c:val>
          <c:smooth val="0"/>
          <c:extLst>
            <c:ext xmlns:c16="http://schemas.microsoft.com/office/drawing/2014/chart" uri="{C3380CC4-5D6E-409C-BE32-E72D297353CC}">
              <c16:uniqueId val="{00000000-CD69-4E60-963D-D4997239B7D1}"/>
            </c:ext>
          </c:extLst>
        </c:ser>
        <c:ser>
          <c:idx val="1"/>
          <c:order val="1"/>
          <c:tx>
            <c:v>Average</c:v>
          </c:tx>
          <c:spPr>
            <a:ln w="28575" cap="rnd">
              <a:solidFill>
                <a:schemeClr val="accent2"/>
              </a:solidFill>
              <a:round/>
            </a:ln>
            <a:effectLst/>
          </c:spPr>
          <c:marker>
            <c:symbol val="none"/>
          </c:marker>
          <c:val>
            <c:numRef>
              <c:f>'[2]YT Revised April 2020'!$BT$38:$BT$74</c:f>
              <c:numCache>
                <c:formatCode>General</c:formatCode>
                <c:ptCount val="37"/>
                <c:pt idx="0">
                  <c:v>16.100000000000001</c:v>
                </c:pt>
                <c:pt idx="1">
                  <c:v>17.09375</c:v>
                </c:pt>
                <c:pt idx="2">
                  <c:v>38.861111111111114</c:v>
                </c:pt>
                <c:pt idx="3">
                  <c:v>19.86046511627907</c:v>
                </c:pt>
                <c:pt idx="4">
                  <c:v>30.34090909090909</c:v>
                </c:pt>
                <c:pt idx="5">
                  <c:v>20.367346938775512</c:v>
                </c:pt>
                <c:pt idx="6">
                  <c:v>24.936170212765958</c:v>
                </c:pt>
                <c:pt idx="7">
                  <c:v>26.042553191489361</c:v>
                </c:pt>
                <c:pt idx="8">
                  <c:v>37.326530612244895</c:v>
                </c:pt>
                <c:pt idx="9">
                  <c:v>49.14</c:v>
                </c:pt>
                <c:pt idx="10">
                  <c:v>43.86</c:v>
                </c:pt>
                <c:pt idx="11">
                  <c:v>43.571428571428569</c:v>
                </c:pt>
                <c:pt idx="12">
                  <c:v>47.48</c:v>
                </c:pt>
                <c:pt idx="13">
                  <c:v>43.354166666666664</c:v>
                </c:pt>
                <c:pt idx="14">
                  <c:v>39.8125</c:v>
                </c:pt>
                <c:pt idx="15">
                  <c:v>34.78</c:v>
                </c:pt>
                <c:pt idx="16">
                  <c:v>31.48936170212766</c:v>
                </c:pt>
                <c:pt idx="17">
                  <c:v>36.612244897959187</c:v>
                </c:pt>
                <c:pt idx="18">
                  <c:v>34.714285714285715</c:v>
                </c:pt>
                <c:pt idx="19">
                  <c:v>27.434782608695652</c:v>
                </c:pt>
                <c:pt idx="20">
                  <c:v>24.488888888888887</c:v>
                </c:pt>
                <c:pt idx="21">
                  <c:v>21.844444444444445</c:v>
                </c:pt>
                <c:pt idx="22">
                  <c:v>19.658536585365855</c:v>
                </c:pt>
                <c:pt idx="23">
                  <c:v>15.3</c:v>
                </c:pt>
                <c:pt idx="24">
                  <c:v>12.128205128205128</c:v>
                </c:pt>
                <c:pt idx="25">
                  <c:v>10.050000000000001</c:v>
                </c:pt>
                <c:pt idx="26">
                  <c:v>7.5384615384615383</c:v>
                </c:pt>
                <c:pt idx="27">
                  <c:v>4.4210526315789478</c:v>
                </c:pt>
                <c:pt idx="28">
                  <c:v>4.7027027027027026</c:v>
                </c:pt>
                <c:pt idx="29">
                  <c:v>3.5526315789473686</c:v>
                </c:pt>
                <c:pt idx="30">
                  <c:v>2.8857142857142857</c:v>
                </c:pt>
                <c:pt idx="31">
                  <c:v>1.8888888888888888</c:v>
                </c:pt>
                <c:pt idx="32">
                  <c:v>1.8</c:v>
                </c:pt>
                <c:pt idx="33">
                  <c:v>1.4722222222222223</c:v>
                </c:pt>
                <c:pt idx="34">
                  <c:v>0.83333333333333337</c:v>
                </c:pt>
                <c:pt idx="35">
                  <c:v>1.0555555555555556</c:v>
                </c:pt>
                <c:pt idx="36">
                  <c:v>0.94117647058823528</c:v>
                </c:pt>
              </c:numCache>
            </c:numRef>
          </c:val>
          <c:smooth val="0"/>
          <c:extLst>
            <c:ext xmlns:c16="http://schemas.microsoft.com/office/drawing/2014/chart" uri="{C3380CC4-5D6E-409C-BE32-E72D297353CC}">
              <c16:uniqueId val="{00000001-CD69-4E60-963D-D4997239B7D1}"/>
            </c:ext>
          </c:extLst>
        </c:ser>
        <c:dLbls>
          <c:showLegendKey val="0"/>
          <c:showVal val="0"/>
          <c:showCatName val="0"/>
          <c:showSerName val="0"/>
          <c:showPercent val="0"/>
          <c:showBubbleSize val="0"/>
        </c:dLbls>
        <c:smooth val="0"/>
        <c:axId val="158067664"/>
        <c:axId val="158074384"/>
      </c:lineChart>
      <c:catAx>
        <c:axId val="158067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DPH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74384"/>
        <c:crosses val="autoZero"/>
        <c:auto val="1"/>
        <c:lblAlgn val="ctr"/>
        <c:lblOffset val="100"/>
        <c:noMultiLvlLbl val="0"/>
      </c:catAx>
      <c:valAx>
        <c:axId val="158074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Mortalities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67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numRef>
              <c:f>'[2]YT Revised April 2020'!$A$38:$A$74</c:f>
              <c:numCache>
                <c:formatCode>General</c:formatCode>
                <c:ptCount val="37"/>
                <c:pt idx="0">
                  <c:v>14</c:v>
                </c:pt>
                <c:pt idx="1">
                  <c:v>15</c:v>
                </c:pt>
                <c:pt idx="2">
                  <c:v>16</c:v>
                </c:pt>
                <c:pt idx="3">
                  <c:v>17</c:v>
                </c:pt>
                <c:pt idx="4">
                  <c:v>18</c:v>
                </c:pt>
                <c:pt idx="5">
                  <c:v>19</c:v>
                </c:pt>
                <c:pt idx="6">
                  <c:v>20</c:v>
                </c:pt>
                <c:pt idx="7">
                  <c:v>21</c:v>
                </c:pt>
                <c:pt idx="8">
                  <c:v>22</c:v>
                </c:pt>
                <c:pt idx="9">
                  <c:v>23</c:v>
                </c:pt>
                <c:pt idx="10">
                  <c:v>24</c:v>
                </c:pt>
                <c:pt idx="11">
                  <c:v>25</c:v>
                </c:pt>
                <c:pt idx="12">
                  <c:v>26</c:v>
                </c:pt>
                <c:pt idx="13">
                  <c:v>27</c:v>
                </c:pt>
                <c:pt idx="14">
                  <c:v>28</c:v>
                </c:pt>
                <c:pt idx="15">
                  <c:v>29</c:v>
                </c:pt>
                <c:pt idx="16">
                  <c:v>30</c:v>
                </c:pt>
                <c:pt idx="17">
                  <c:v>31</c:v>
                </c:pt>
                <c:pt idx="18">
                  <c:v>32</c:v>
                </c:pt>
                <c:pt idx="19">
                  <c:v>33</c:v>
                </c:pt>
                <c:pt idx="20">
                  <c:v>34</c:v>
                </c:pt>
                <c:pt idx="21">
                  <c:v>35</c:v>
                </c:pt>
                <c:pt idx="22">
                  <c:v>36</c:v>
                </c:pt>
                <c:pt idx="23">
                  <c:v>37</c:v>
                </c:pt>
                <c:pt idx="24">
                  <c:v>38</c:v>
                </c:pt>
                <c:pt idx="25">
                  <c:v>39</c:v>
                </c:pt>
                <c:pt idx="26">
                  <c:v>40</c:v>
                </c:pt>
                <c:pt idx="27">
                  <c:v>41</c:v>
                </c:pt>
                <c:pt idx="28">
                  <c:v>42</c:v>
                </c:pt>
                <c:pt idx="29">
                  <c:v>43</c:v>
                </c:pt>
                <c:pt idx="30">
                  <c:v>44</c:v>
                </c:pt>
                <c:pt idx="31">
                  <c:v>45</c:v>
                </c:pt>
                <c:pt idx="32">
                  <c:v>46</c:v>
                </c:pt>
                <c:pt idx="33">
                  <c:v>47</c:v>
                </c:pt>
                <c:pt idx="34">
                  <c:v>48</c:v>
                </c:pt>
                <c:pt idx="35">
                  <c:v>49</c:v>
                </c:pt>
                <c:pt idx="36">
                  <c:v>50</c:v>
                </c:pt>
              </c:numCache>
            </c:numRef>
          </c:cat>
          <c:val>
            <c:numRef>
              <c:f>'[2]YT Revised April 2020'!$BB$38:$BB$74</c:f>
              <c:numCache>
                <c:formatCode>General</c:formatCode>
                <c:ptCount val="37"/>
                <c:pt idx="5">
                  <c:v>0</c:v>
                </c:pt>
              </c:numCache>
            </c:numRef>
          </c:val>
          <c:smooth val="0"/>
          <c:extLst>
            <c:ext xmlns:c16="http://schemas.microsoft.com/office/drawing/2014/chart" uri="{C3380CC4-5D6E-409C-BE32-E72D297353CC}">
              <c16:uniqueId val="{00000000-F723-4AC8-A51D-C741599879EC}"/>
            </c:ext>
          </c:extLst>
        </c:ser>
        <c:ser>
          <c:idx val="1"/>
          <c:order val="1"/>
          <c:tx>
            <c:v>Average</c:v>
          </c:tx>
          <c:spPr>
            <a:ln w="28575" cap="rnd">
              <a:solidFill>
                <a:schemeClr val="accent2"/>
              </a:solidFill>
              <a:round/>
            </a:ln>
            <a:effectLst/>
          </c:spPr>
          <c:marker>
            <c:symbol val="none"/>
          </c:marker>
          <c:val>
            <c:numRef>
              <c:f>'[2]YT Revised April 2020'!$BT$38:$BT$74</c:f>
              <c:numCache>
                <c:formatCode>General</c:formatCode>
                <c:ptCount val="37"/>
                <c:pt idx="0">
                  <c:v>16.100000000000001</c:v>
                </c:pt>
                <c:pt idx="1">
                  <c:v>17.09375</c:v>
                </c:pt>
                <c:pt idx="2">
                  <c:v>38.861111111111114</c:v>
                </c:pt>
                <c:pt idx="3">
                  <c:v>19.86046511627907</c:v>
                </c:pt>
                <c:pt idx="4">
                  <c:v>30.34090909090909</c:v>
                </c:pt>
                <c:pt idx="5">
                  <c:v>20.367346938775512</c:v>
                </c:pt>
                <c:pt idx="6">
                  <c:v>24.936170212765958</c:v>
                </c:pt>
                <c:pt idx="7">
                  <c:v>26.042553191489361</c:v>
                </c:pt>
                <c:pt idx="8">
                  <c:v>37.326530612244895</c:v>
                </c:pt>
                <c:pt idx="9">
                  <c:v>49.14</c:v>
                </c:pt>
                <c:pt idx="10">
                  <c:v>43.86</c:v>
                </c:pt>
                <c:pt idx="11">
                  <c:v>43.571428571428569</c:v>
                </c:pt>
                <c:pt idx="12">
                  <c:v>47.48</c:v>
                </c:pt>
                <c:pt idx="13">
                  <c:v>43.354166666666664</c:v>
                </c:pt>
                <c:pt idx="14">
                  <c:v>39.8125</c:v>
                </c:pt>
                <c:pt idx="15">
                  <c:v>34.78</c:v>
                </c:pt>
                <c:pt idx="16">
                  <c:v>31.48936170212766</c:v>
                </c:pt>
                <c:pt idx="17">
                  <c:v>36.612244897959187</c:v>
                </c:pt>
                <c:pt idx="18">
                  <c:v>34.714285714285715</c:v>
                </c:pt>
                <c:pt idx="19">
                  <c:v>27.434782608695652</c:v>
                </c:pt>
                <c:pt idx="20">
                  <c:v>24.488888888888887</c:v>
                </c:pt>
                <c:pt idx="21">
                  <c:v>21.844444444444445</c:v>
                </c:pt>
                <c:pt idx="22">
                  <c:v>19.658536585365855</c:v>
                </c:pt>
                <c:pt idx="23">
                  <c:v>15.3</c:v>
                </c:pt>
                <c:pt idx="24">
                  <c:v>12.128205128205128</c:v>
                </c:pt>
                <c:pt idx="25">
                  <c:v>10.050000000000001</c:v>
                </c:pt>
                <c:pt idx="26">
                  <c:v>7.5384615384615383</c:v>
                </c:pt>
                <c:pt idx="27">
                  <c:v>4.4210526315789478</c:v>
                </c:pt>
                <c:pt idx="28">
                  <c:v>4.7027027027027026</c:v>
                </c:pt>
                <c:pt idx="29">
                  <c:v>3.5526315789473686</c:v>
                </c:pt>
                <c:pt idx="30">
                  <c:v>2.8857142857142857</c:v>
                </c:pt>
                <c:pt idx="31">
                  <c:v>1.8888888888888888</c:v>
                </c:pt>
                <c:pt idx="32">
                  <c:v>1.8</c:v>
                </c:pt>
                <c:pt idx="33">
                  <c:v>1.4722222222222223</c:v>
                </c:pt>
                <c:pt idx="34">
                  <c:v>0.83333333333333337</c:v>
                </c:pt>
                <c:pt idx="35">
                  <c:v>1.0555555555555556</c:v>
                </c:pt>
                <c:pt idx="36">
                  <c:v>0.94117647058823528</c:v>
                </c:pt>
              </c:numCache>
            </c:numRef>
          </c:val>
          <c:smooth val="0"/>
          <c:extLst>
            <c:ext xmlns:c16="http://schemas.microsoft.com/office/drawing/2014/chart" uri="{C3380CC4-5D6E-409C-BE32-E72D297353CC}">
              <c16:uniqueId val="{00000001-F723-4AC8-A51D-C741599879EC}"/>
            </c:ext>
          </c:extLst>
        </c:ser>
        <c:dLbls>
          <c:showLegendKey val="0"/>
          <c:showVal val="0"/>
          <c:showCatName val="0"/>
          <c:showSerName val="0"/>
          <c:showPercent val="0"/>
          <c:showBubbleSize val="0"/>
        </c:dLbls>
        <c:smooth val="0"/>
        <c:axId val="158067664"/>
        <c:axId val="158074384"/>
      </c:lineChart>
      <c:catAx>
        <c:axId val="158067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DPH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74384"/>
        <c:crosses val="autoZero"/>
        <c:auto val="1"/>
        <c:lblAlgn val="ctr"/>
        <c:lblOffset val="100"/>
        <c:noMultiLvlLbl val="0"/>
      </c:catAx>
      <c:valAx>
        <c:axId val="158074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Mortalities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67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419554</xdr:colOff>
      <xdr:row>15</xdr:row>
      <xdr:rowOff>28575</xdr:rowOff>
    </xdr:to>
    <xdr:pic>
      <xdr:nvPicPr>
        <xdr:cNvPr id="2" name="Picture 1" descr="funny fish memes - Clip Art Library">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077154" cy="2886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542925</xdr:colOff>
      <xdr:row>0</xdr:row>
      <xdr:rowOff>0</xdr:rowOff>
    </xdr:from>
    <xdr:to>
      <xdr:col>14</xdr:col>
      <xdr:colOff>47625</xdr:colOff>
      <xdr:row>24</xdr:row>
      <xdr:rowOff>66675</xdr:rowOff>
    </xdr:to>
    <xdr:pic>
      <xdr:nvPicPr>
        <xdr:cNvPr id="3" name="Picture 2" descr="Aquarium Meme Photo Gallery | AquaNerd">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00525" y="0"/>
          <a:ext cx="4381500" cy="463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403316</xdr:colOff>
      <xdr:row>3</xdr:row>
      <xdr:rowOff>47625</xdr:rowOff>
    </xdr:from>
    <xdr:to>
      <xdr:col>26</xdr:col>
      <xdr:colOff>514350</xdr:colOff>
      <xdr:row>23</xdr:row>
      <xdr:rowOff>85725</xdr:rowOff>
    </xdr:to>
    <xdr:pic>
      <xdr:nvPicPr>
        <xdr:cNvPr id="4" name="Picture 3" descr="Waikīkī Aquarium » Potter's Angelfish">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547316" y="619125"/>
          <a:ext cx="6816634" cy="3848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413319</xdr:colOff>
      <xdr:row>0</xdr:row>
      <xdr:rowOff>88445</xdr:rowOff>
    </xdr:from>
    <xdr:to>
      <xdr:col>24</xdr:col>
      <xdr:colOff>2001951</xdr:colOff>
      <xdr:row>16</xdr:row>
      <xdr:rowOff>11906</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17224944" y="88445"/>
          <a:ext cx="7456032" cy="32381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u="sng">
              <a:solidFill>
                <a:schemeClr val="dk1"/>
              </a:solidFill>
              <a:effectLst/>
              <a:latin typeface="+mn-lt"/>
              <a:ea typeface="+mn-ea"/>
              <a:cs typeface="+mn-cs"/>
            </a:rPr>
            <a:t>COMMENTS:</a:t>
          </a:r>
          <a:endParaRPr lang="en-US" sz="2400">
            <a:effectLst/>
          </a:endParaRPr>
        </a:p>
        <a:p>
          <a:endParaRPr lang="en-US" sz="1400" b="0" u="none" baseline="0"/>
        </a:p>
      </xdr:txBody>
    </xdr:sp>
    <xdr:clientData/>
  </xdr:twoCellAnchor>
  <xdr:twoCellAnchor>
    <xdr:from>
      <xdr:col>28</xdr:col>
      <xdr:colOff>35718</xdr:colOff>
      <xdr:row>0</xdr:row>
      <xdr:rowOff>154780</xdr:rowOff>
    </xdr:from>
    <xdr:to>
      <xdr:col>32</xdr:col>
      <xdr:colOff>56130</xdr:colOff>
      <xdr:row>16</xdr:row>
      <xdr:rowOff>70416</xdr:rowOff>
    </xdr:to>
    <xdr:grpSp>
      <xdr:nvGrpSpPr>
        <xdr:cNvPr id="3" name="Group 2">
          <a:extLst>
            <a:ext uri="{FF2B5EF4-FFF2-40B4-BE49-F238E27FC236}">
              <a16:creationId xmlns:a16="http://schemas.microsoft.com/office/drawing/2014/main" id="{00000000-0008-0000-0500-000003000000}"/>
            </a:ext>
          </a:extLst>
        </xdr:cNvPr>
        <xdr:cNvGrpSpPr/>
      </xdr:nvGrpSpPr>
      <xdr:grpSpPr>
        <a:xfrm>
          <a:off x="28674218" y="154780"/>
          <a:ext cx="7894412" cy="3249386"/>
          <a:chOff x="18490406" y="95249"/>
          <a:chExt cx="6926037" cy="2439761"/>
        </a:xfrm>
      </xdr:grpSpPr>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18490406" y="95249"/>
          <a:ext cx="6926037" cy="2439761"/>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5" name="Straight Arrow Connector 4">
            <a:extLst>
              <a:ext uri="{FF2B5EF4-FFF2-40B4-BE49-F238E27FC236}">
                <a16:creationId xmlns:a16="http://schemas.microsoft.com/office/drawing/2014/main" id="{00000000-0008-0000-0500-000005000000}"/>
              </a:ext>
            </a:extLst>
          </xdr:cNvPr>
          <xdr:cNvCxnSpPr/>
        </xdr:nvCxnSpPr>
        <xdr:spPr>
          <a:xfrm flipH="1">
            <a:off x="21679580" y="700767"/>
            <a:ext cx="408214" cy="29935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1779133</xdr:colOff>
      <xdr:row>0</xdr:row>
      <xdr:rowOff>154783</xdr:rowOff>
    </xdr:from>
    <xdr:to>
      <xdr:col>14</xdr:col>
      <xdr:colOff>2695916</xdr:colOff>
      <xdr:row>16</xdr:row>
      <xdr:rowOff>59532</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6713083" y="154783"/>
          <a:ext cx="9603583" cy="3219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dk1"/>
              </a:solidFill>
              <a:effectLst/>
              <a:latin typeface="+mn-lt"/>
              <a:ea typeface="+mn-ea"/>
              <a:cs typeface="+mn-cs"/>
            </a:rPr>
            <a:t>ADJUSTMENTS</a:t>
          </a:r>
          <a:r>
            <a:rPr lang="en-US" sz="1600" b="1" u="sng" baseline="0">
              <a:solidFill>
                <a:schemeClr val="dk1"/>
              </a:solidFill>
              <a:effectLst/>
              <a:latin typeface="+mn-lt"/>
              <a:ea typeface="+mn-ea"/>
              <a:cs typeface="+mn-cs"/>
            </a:rPr>
            <a:t> TO PROTOCOL: </a:t>
          </a:r>
          <a:endParaRPr lang="en-US" sz="2400">
            <a:effectLst/>
          </a:endParaRPr>
        </a:p>
        <a:p>
          <a:endParaRPr lang="en-US" sz="1100" b="0" baseline="0">
            <a:solidFill>
              <a:schemeClr val="dk1"/>
            </a:solidFill>
            <a:effectLst/>
            <a:latin typeface="+mn-lt"/>
            <a:ea typeface="+mn-ea"/>
            <a:cs typeface="+mn-cs"/>
          </a:endParaRPr>
        </a:p>
        <a:p>
          <a:pPr eaLnBrk="1" fontAlgn="auto" latinLnBrk="0" hangingPunct="1"/>
          <a:r>
            <a:rPr lang="en-US" sz="1100" b="0" i="0" baseline="0">
              <a:solidFill>
                <a:schemeClr val="dk1"/>
              </a:solidFill>
              <a:effectLst/>
              <a:latin typeface="+mn-lt"/>
              <a:ea typeface="+mn-ea"/>
              <a:cs typeface="+mn-cs"/>
            </a:rPr>
            <a:t>***NEW CHANGES AS OF FEB 2022***</a:t>
          </a:r>
        </a:p>
        <a:p>
          <a:pPr eaLnBrk="1" fontAlgn="auto" latinLnBrk="0" hangingPunct="1"/>
          <a:endParaRPr lang="en-US" sz="1100" b="0" i="0" baseline="0">
            <a:solidFill>
              <a:schemeClr val="dk1"/>
            </a:solidFill>
            <a:effectLst/>
            <a:latin typeface="+mn-lt"/>
            <a:ea typeface="+mn-ea"/>
            <a:cs typeface="+mn-cs"/>
          </a:endParaRPr>
        </a:p>
        <a:p>
          <a:r>
            <a:rPr lang="en-US" sz="1100" b="0" u="sng"/>
            <a:t>3</a:t>
          </a:r>
          <a:r>
            <a:rPr lang="en-US" sz="1100" b="0" u="sng" baseline="0"/>
            <a:t> to 9 DPH </a:t>
          </a:r>
          <a:r>
            <a:rPr lang="en-US" sz="1100" b="0" u="none" baseline="0"/>
            <a:t>-</a:t>
          </a:r>
          <a:r>
            <a:rPr lang="en-US" sz="1100" b="0" u="none"/>
            <a:t> Tiso density will be 150-200k cells/mL, no algae in pm (2</a:t>
          </a:r>
          <a:r>
            <a:rPr lang="en-US" sz="1100" b="0" u="none" baseline="0"/>
            <a:t> buckets max for 1tons unles more is needed to reach 150k)</a:t>
          </a:r>
          <a:endParaRPr lang="en-US" sz="1100" b="0" i="0" u="none" baseline="0"/>
        </a:p>
        <a:p>
          <a:endParaRPr lang="en-US" sz="1100" b="0" i="0" u="none" baseline="0"/>
        </a:p>
        <a:p>
          <a:r>
            <a:rPr lang="en-US" sz="1100" b="0" i="0" u="sng" baseline="0"/>
            <a:t>10-24 DPH </a:t>
          </a:r>
          <a:r>
            <a:rPr lang="en-US" sz="1100" b="0" i="0" u="none" baseline="0"/>
            <a:t>- half Tiso half paste - Try ~100k Tiso and 15mL paste</a:t>
          </a:r>
        </a:p>
        <a:p>
          <a:endParaRPr lang="en-US" sz="1100" b="0" i="0" u="none" baseline="0"/>
        </a:p>
        <a:p>
          <a:r>
            <a:rPr lang="en-US" sz="1100" b="0" i="0" u="none" baseline="0"/>
            <a:t>25 DPH until no longer needed - paste</a:t>
          </a:r>
        </a:p>
        <a:p>
          <a:endParaRPr lang="en-US" sz="1100" b="0" i="0" u="none" baseline="0"/>
        </a:p>
        <a:p>
          <a:r>
            <a:rPr lang="en-US" sz="1100" b="0" i="0" u="none" baseline="0"/>
            <a:t>15 DPH - start siphoning </a:t>
          </a:r>
        </a:p>
        <a:p>
          <a:endParaRPr lang="en-US" sz="1100" b="0" i="0" u="none" baseline="0"/>
        </a:p>
        <a:p>
          <a:r>
            <a:rPr lang="en-US" sz="1100" b="0" i="0" u="none" baseline="0"/>
            <a:t>5x on all dry feeds (keep A1, A2, and B1 wet)</a:t>
          </a:r>
        </a:p>
        <a:p>
          <a:endParaRPr lang="en-US" sz="1100" b="0" i="0" u="none" strike="noStrike" baseline="0">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When NH starts: flow @ 3LPM (AM) and 6LPM (PM)</a:t>
          </a:r>
          <a:r>
            <a:rPr lang="en-US" sz="1100"/>
            <a:t> - add paste as needed to keep tank dark</a:t>
          </a:r>
        </a:p>
        <a:p>
          <a:endParaRPr lang="en-US" sz="1100" b="0" i="0" u="none" baseline="0"/>
        </a:p>
        <a:p>
          <a:r>
            <a:rPr lang="en-US" sz="1100" b="0" i="0" u="none" baseline="0"/>
            <a:t>Always  a 12:12 photoperiod</a:t>
          </a:r>
        </a:p>
        <a:p>
          <a:endParaRPr lang="en-US" sz="1400" b="0" i="0" u="none" baseline="0"/>
        </a:p>
        <a:p>
          <a:endParaRPr lang="en-US" sz="1100" b="0" u="none"/>
        </a:p>
      </xdr:txBody>
    </xdr:sp>
    <xdr:clientData/>
  </xdr:twoCellAnchor>
</xdr:wsDr>
</file>

<file path=xl/drawings/drawing3.xml><?xml version="1.0" encoding="utf-8"?>
<c:userShapes xmlns:c="http://schemas.openxmlformats.org/drawingml/2006/chart">
  <cdr:relSizeAnchor xmlns:cdr="http://schemas.openxmlformats.org/drawingml/2006/chartDrawing">
    <cdr:from>
      <cdr:x>0.5088</cdr:x>
      <cdr:y>0.1631</cdr:y>
    </cdr:from>
    <cdr:to>
      <cdr:x>0.65985</cdr:x>
      <cdr:y>0.27559</cdr:y>
    </cdr:to>
    <cdr:sp macro="" textlink="">
      <cdr:nvSpPr>
        <cdr:cNvPr id="2" name="TextBox 1"/>
        <cdr:cNvSpPr txBox="1"/>
      </cdr:nvSpPr>
      <cdr:spPr>
        <a:xfrm xmlns:a="http://schemas.openxmlformats.org/drawingml/2006/main">
          <a:off x="3523977" y="394606"/>
          <a:ext cx="1046177" cy="2721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Average</a:t>
          </a:r>
        </a:p>
      </cdr:txBody>
    </cdr:sp>
  </cdr:relSizeAnchor>
</c:userShapes>
</file>

<file path=xl/drawings/drawing4.xml><?xml version="1.0" encoding="utf-8"?>
<xdr:wsDr xmlns:xdr="http://schemas.openxmlformats.org/drawingml/2006/spreadsheetDrawing" xmlns:a="http://schemas.openxmlformats.org/drawingml/2006/main">
  <xdr:twoCellAnchor>
    <xdr:from>
      <xdr:col>15</xdr:col>
      <xdr:colOff>413319</xdr:colOff>
      <xdr:row>0</xdr:row>
      <xdr:rowOff>88445</xdr:rowOff>
    </xdr:from>
    <xdr:to>
      <xdr:col>24</xdr:col>
      <xdr:colOff>2001951</xdr:colOff>
      <xdr:row>16</xdr:row>
      <xdr:rowOff>11906</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17224944" y="88445"/>
          <a:ext cx="7456032" cy="32381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u="sng">
              <a:solidFill>
                <a:schemeClr val="dk1"/>
              </a:solidFill>
              <a:effectLst/>
              <a:latin typeface="+mn-lt"/>
              <a:ea typeface="+mn-ea"/>
              <a:cs typeface="+mn-cs"/>
            </a:rPr>
            <a:t>COMMENTS:</a:t>
          </a:r>
          <a:endParaRPr lang="en-US" sz="2400">
            <a:effectLst/>
          </a:endParaRPr>
        </a:p>
        <a:p>
          <a:endParaRPr lang="en-US" sz="1400" b="0" u="none" baseline="0"/>
        </a:p>
      </xdr:txBody>
    </xdr:sp>
    <xdr:clientData/>
  </xdr:twoCellAnchor>
  <xdr:twoCellAnchor>
    <xdr:from>
      <xdr:col>28</xdr:col>
      <xdr:colOff>35718</xdr:colOff>
      <xdr:row>0</xdr:row>
      <xdr:rowOff>154780</xdr:rowOff>
    </xdr:from>
    <xdr:to>
      <xdr:col>32</xdr:col>
      <xdr:colOff>56130</xdr:colOff>
      <xdr:row>16</xdr:row>
      <xdr:rowOff>70416</xdr:rowOff>
    </xdr:to>
    <xdr:grpSp>
      <xdr:nvGrpSpPr>
        <xdr:cNvPr id="3" name="Group 2">
          <a:extLst>
            <a:ext uri="{FF2B5EF4-FFF2-40B4-BE49-F238E27FC236}">
              <a16:creationId xmlns:a16="http://schemas.microsoft.com/office/drawing/2014/main" id="{00000000-0008-0000-0600-000003000000}"/>
            </a:ext>
          </a:extLst>
        </xdr:cNvPr>
        <xdr:cNvGrpSpPr/>
      </xdr:nvGrpSpPr>
      <xdr:grpSpPr>
        <a:xfrm>
          <a:off x="28674218" y="154780"/>
          <a:ext cx="7894412" cy="3249386"/>
          <a:chOff x="18490406" y="95249"/>
          <a:chExt cx="6926037" cy="2439761"/>
        </a:xfrm>
      </xdr:grpSpPr>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18490406" y="95249"/>
          <a:ext cx="6926037" cy="2439761"/>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5" name="Straight Arrow Connector 4">
            <a:extLst>
              <a:ext uri="{FF2B5EF4-FFF2-40B4-BE49-F238E27FC236}">
                <a16:creationId xmlns:a16="http://schemas.microsoft.com/office/drawing/2014/main" id="{00000000-0008-0000-0600-000005000000}"/>
              </a:ext>
            </a:extLst>
          </xdr:cNvPr>
          <xdr:cNvCxnSpPr/>
        </xdr:nvCxnSpPr>
        <xdr:spPr>
          <a:xfrm flipH="1">
            <a:off x="21679580" y="700767"/>
            <a:ext cx="408214" cy="29935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1779133</xdr:colOff>
      <xdr:row>0</xdr:row>
      <xdr:rowOff>154783</xdr:rowOff>
    </xdr:from>
    <xdr:to>
      <xdr:col>14</xdr:col>
      <xdr:colOff>2695916</xdr:colOff>
      <xdr:row>16</xdr:row>
      <xdr:rowOff>59532</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6713083" y="154783"/>
          <a:ext cx="9603583" cy="3219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dk1"/>
              </a:solidFill>
              <a:effectLst/>
              <a:latin typeface="+mn-lt"/>
              <a:ea typeface="+mn-ea"/>
              <a:cs typeface="+mn-cs"/>
            </a:rPr>
            <a:t>ADJUSTMENTS</a:t>
          </a:r>
          <a:r>
            <a:rPr lang="en-US" sz="1600" b="1" u="sng" baseline="0">
              <a:solidFill>
                <a:schemeClr val="dk1"/>
              </a:solidFill>
              <a:effectLst/>
              <a:latin typeface="+mn-lt"/>
              <a:ea typeface="+mn-ea"/>
              <a:cs typeface="+mn-cs"/>
            </a:rPr>
            <a:t> TO PROTOCOL: </a:t>
          </a:r>
          <a:endParaRPr lang="en-US" sz="2400">
            <a:effectLst/>
          </a:endParaRPr>
        </a:p>
        <a:p>
          <a:endParaRPr lang="en-US" sz="1100" b="0" baseline="0">
            <a:solidFill>
              <a:schemeClr val="dk1"/>
            </a:solidFill>
            <a:effectLst/>
            <a:latin typeface="+mn-lt"/>
            <a:ea typeface="+mn-ea"/>
            <a:cs typeface="+mn-cs"/>
          </a:endParaRPr>
        </a:p>
        <a:p>
          <a:pPr eaLnBrk="1" fontAlgn="auto" latinLnBrk="0" hangingPunct="1"/>
          <a:r>
            <a:rPr lang="en-US" sz="1100" b="0" i="0" baseline="0">
              <a:solidFill>
                <a:schemeClr val="dk1"/>
              </a:solidFill>
              <a:effectLst/>
              <a:latin typeface="+mn-lt"/>
              <a:ea typeface="+mn-ea"/>
              <a:cs typeface="+mn-cs"/>
            </a:rPr>
            <a:t>***NEW CHANGES AS OF FEB 2022***</a:t>
          </a:r>
        </a:p>
        <a:p>
          <a:pPr eaLnBrk="1" fontAlgn="auto" latinLnBrk="0" hangingPunct="1"/>
          <a:endParaRPr lang="en-US" sz="1100" b="0" i="0" baseline="0">
            <a:solidFill>
              <a:schemeClr val="dk1"/>
            </a:solidFill>
            <a:effectLst/>
            <a:latin typeface="+mn-lt"/>
            <a:ea typeface="+mn-ea"/>
            <a:cs typeface="+mn-cs"/>
          </a:endParaRPr>
        </a:p>
        <a:p>
          <a:r>
            <a:rPr lang="en-US" sz="1100" b="0" u="sng"/>
            <a:t>3</a:t>
          </a:r>
          <a:r>
            <a:rPr lang="en-US" sz="1100" b="0" u="sng" baseline="0"/>
            <a:t> to 9 DPH </a:t>
          </a:r>
          <a:r>
            <a:rPr lang="en-US" sz="1100" b="0" u="none" baseline="0"/>
            <a:t>-</a:t>
          </a:r>
          <a:r>
            <a:rPr lang="en-US" sz="1100" b="0" u="none"/>
            <a:t> Tiso density will be 150-200k cells/mL, no algae in pm (2</a:t>
          </a:r>
          <a:r>
            <a:rPr lang="en-US" sz="1100" b="0" u="none" baseline="0"/>
            <a:t> buckets max for 1tons unles more is needed to reach 150k)</a:t>
          </a:r>
          <a:endParaRPr lang="en-US" sz="1100" b="0" i="0" u="none" baseline="0"/>
        </a:p>
        <a:p>
          <a:endParaRPr lang="en-US" sz="1100" b="0" i="0" u="none" baseline="0"/>
        </a:p>
        <a:p>
          <a:r>
            <a:rPr lang="en-US" sz="1100" b="0" i="0" u="sng" baseline="0"/>
            <a:t>10-24 DPH </a:t>
          </a:r>
          <a:r>
            <a:rPr lang="en-US" sz="1100" b="0" i="0" u="none" baseline="0"/>
            <a:t>- half Tiso half paste - Try ~100k Tiso and 15mL paste</a:t>
          </a:r>
        </a:p>
        <a:p>
          <a:endParaRPr lang="en-US" sz="1100" b="0" i="0" u="none" baseline="0"/>
        </a:p>
        <a:p>
          <a:r>
            <a:rPr lang="en-US" sz="1100" b="0" i="0" u="none" baseline="0"/>
            <a:t>25 DPH until no longer needed - paste</a:t>
          </a:r>
        </a:p>
        <a:p>
          <a:endParaRPr lang="en-US" sz="1100" b="0" i="0" u="none" baseline="0"/>
        </a:p>
        <a:p>
          <a:r>
            <a:rPr lang="en-US" sz="1100" b="0" i="0" u="none" baseline="0"/>
            <a:t>15 DPH - start siphoning </a:t>
          </a:r>
        </a:p>
        <a:p>
          <a:endParaRPr lang="en-US" sz="1100" b="0" i="0" u="none" baseline="0"/>
        </a:p>
        <a:p>
          <a:r>
            <a:rPr lang="en-US" sz="1100" b="0" i="0" u="none" baseline="0"/>
            <a:t>5x on all dry feeds (keep A1, A2, and B1 wet)</a:t>
          </a:r>
        </a:p>
        <a:p>
          <a:endParaRPr lang="en-US" sz="1100" b="0" i="0" u="none" strike="noStrike" baseline="0">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When NH starts: flow @ 3LPM (AM) and 6LPM (PM)</a:t>
          </a:r>
          <a:r>
            <a:rPr lang="en-US" sz="1100"/>
            <a:t> - add paste as needed to keep tank dark</a:t>
          </a:r>
        </a:p>
        <a:p>
          <a:endParaRPr lang="en-US" sz="1100" b="0" i="0" u="none" baseline="0"/>
        </a:p>
        <a:p>
          <a:r>
            <a:rPr lang="en-US" sz="1100" b="0" i="0" u="none" baseline="0"/>
            <a:t>Always  a 12:12 photoperiod</a:t>
          </a:r>
        </a:p>
        <a:p>
          <a:endParaRPr lang="en-US" sz="1400" b="0" i="0" u="none" baseline="0"/>
        </a:p>
        <a:p>
          <a:endParaRPr lang="en-US" sz="1100" b="0" u="none"/>
        </a:p>
      </xdr:txBody>
    </xdr:sp>
    <xdr:clientData/>
  </xdr:twoCellAnchor>
</xdr:wsDr>
</file>

<file path=xl/drawings/drawing5.xml><?xml version="1.0" encoding="utf-8"?>
<c:userShapes xmlns:c="http://schemas.openxmlformats.org/drawingml/2006/chart">
  <cdr:relSizeAnchor xmlns:cdr="http://schemas.openxmlformats.org/drawingml/2006/chartDrawing">
    <cdr:from>
      <cdr:x>0.5088</cdr:x>
      <cdr:y>0.1631</cdr:y>
    </cdr:from>
    <cdr:to>
      <cdr:x>0.65985</cdr:x>
      <cdr:y>0.27559</cdr:y>
    </cdr:to>
    <cdr:sp macro="" textlink="">
      <cdr:nvSpPr>
        <cdr:cNvPr id="2" name="TextBox 1"/>
        <cdr:cNvSpPr txBox="1"/>
      </cdr:nvSpPr>
      <cdr:spPr>
        <a:xfrm xmlns:a="http://schemas.openxmlformats.org/drawingml/2006/main">
          <a:off x="3523977" y="394606"/>
          <a:ext cx="1046177" cy="2721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Average</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hpu.edu/DFS/OI/FinFish/Yellow%20Tang/Mortality%20Dat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pu.edu/DFS/OI/FinFish/Yellow%20Tang/Hatchery%20Production/YT%20Hatchery%20Sheet%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2">
          <cell r="B2">
            <v>16.100000000000001</v>
          </cell>
        </row>
        <row r="3">
          <cell r="B3">
            <v>17.09375</v>
          </cell>
        </row>
        <row r="4">
          <cell r="B4">
            <v>38.861111111111114</v>
          </cell>
        </row>
        <row r="5">
          <cell r="B5">
            <v>19.86046511627907</v>
          </cell>
        </row>
        <row r="6">
          <cell r="B6">
            <v>30.34090909090909</v>
          </cell>
        </row>
        <row r="7">
          <cell r="B7">
            <v>20.367346938775512</v>
          </cell>
        </row>
        <row r="8">
          <cell r="B8">
            <v>24.936170212765958</v>
          </cell>
        </row>
        <row r="9">
          <cell r="B9">
            <v>26.042553191489361</v>
          </cell>
        </row>
        <row r="10">
          <cell r="B10">
            <v>37.326530612244895</v>
          </cell>
        </row>
        <row r="11">
          <cell r="B11">
            <v>49.14</v>
          </cell>
        </row>
        <row r="12">
          <cell r="B12">
            <v>43.86</v>
          </cell>
        </row>
        <row r="13">
          <cell r="B13">
            <v>43.571428571428569</v>
          </cell>
        </row>
        <row r="14">
          <cell r="B14">
            <v>47.48</v>
          </cell>
        </row>
        <row r="15">
          <cell r="B15">
            <v>43.354166666666664</v>
          </cell>
        </row>
        <row r="16">
          <cell r="B16">
            <v>39.8125</v>
          </cell>
        </row>
        <row r="17">
          <cell r="B17">
            <v>34.78</v>
          </cell>
        </row>
        <row r="18">
          <cell r="B18">
            <v>31.48936170212766</v>
          </cell>
        </row>
        <row r="19">
          <cell r="B19">
            <v>36.612244897959187</v>
          </cell>
        </row>
        <row r="20">
          <cell r="B20">
            <v>34.714285714285715</v>
          </cell>
        </row>
        <row r="21">
          <cell r="B21">
            <v>27.434782608695652</v>
          </cell>
        </row>
        <row r="22">
          <cell r="B22">
            <v>24.488888888888887</v>
          </cell>
        </row>
        <row r="23">
          <cell r="B23">
            <v>21.844444444444445</v>
          </cell>
        </row>
        <row r="24">
          <cell r="B24">
            <v>19.658536585365855</v>
          </cell>
        </row>
        <row r="25">
          <cell r="B25">
            <v>15.3</v>
          </cell>
        </row>
        <row r="26">
          <cell r="B26">
            <v>12.128205128205128</v>
          </cell>
        </row>
        <row r="27">
          <cell r="B27">
            <v>10.050000000000001</v>
          </cell>
        </row>
        <row r="28">
          <cell r="B28">
            <v>7.5384615384615383</v>
          </cell>
        </row>
        <row r="29">
          <cell r="B29">
            <v>4.4210526315789478</v>
          </cell>
        </row>
        <row r="30">
          <cell r="B30">
            <v>4.7027027027027026</v>
          </cell>
        </row>
        <row r="31">
          <cell r="B31">
            <v>3.5526315789473686</v>
          </cell>
        </row>
        <row r="32">
          <cell r="B32">
            <v>2.8857142857142857</v>
          </cell>
        </row>
        <row r="33">
          <cell r="B33">
            <v>1.8888888888888888</v>
          </cell>
        </row>
        <row r="34">
          <cell r="B34">
            <v>1.8</v>
          </cell>
        </row>
        <row r="35">
          <cell r="B35">
            <v>1.4722222222222223</v>
          </cell>
        </row>
        <row r="36">
          <cell r="B36">
            <v>0.83333333333333337</v>
          </cell>
        </row>
        <row r="37">
          <cell r="B37">
            <v>1.0555555555555556</v>
          </cell>
        </row>
        <row r="38">
          <cell r="B38">
            <v>0.94117647058823528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 Revised Nov 2020"/>
      <sheetName val="YT Revised Dec 2020"/>
      <sheetName val="T2 (YT 182)"/>
      <sheetName val="T8 (YT 181)"/>
      <sheetName val="T6 (YT 180)"/>
      <sheetName val="T7 (YT 179)"/>
      <sheetName val="T4 (YT 178)"/>
      <sheetName val="T10 (YT 179)"/>
      <sheetName val="T11 (YT177)"/>
      <sheetName val="T12 (YT 171)"/>
      <sheetName val="&lt;--CURRENT TANKS"/>
      <sheetName val="4T 5 (YT 164)"/>
      <sheetName val="T3 (YT 176)"/>
      <sheetName val="T1 (YT 175)"/>
      <sheetName val="YT Revised April 2020"/>
      <sheetName val="4T1 (YT 167)"/>
      <sheetName val="T9 (YT 173"/>
      <sheetName val="T5 (YT  174)"/>
      <sheetName val="T7 (YT 175)"/>
      <sheetName val="T8 (YT 172)"/>
      <sheetName val="T4 (YT 170)"/>
      <sheetName val="4T 2 (YT 163)"/>
      <sheetName val="T3 (BT 1)"/>
      <sheetName val="T11 (YT 165)"/>
      <sheetName val="T2 (YT 169)"/>
      <sheetName val="T1 (YT 168)"/>
      <sheetName val="4ton 4 (YT 158)"/>
      <sheetName val="T12 (YT 166)"/>
      <sheetName val="T5 (YT 161)"/>
      <sheetName val="T4 (YT 160)"/>
      <sheetName val="T12 (YT 157)"/>
      <sheetName val="4ton 1 (YT 155)"/>
      <sheetName val="T11 (YT 159)"/>
      <sheetName val="T8 (YT 162)"/>
      <sheetName val="4ton-2 (YT 156)"/>
      <sheetName val="4ton 3 (YT 150)"/>
      <sheetName val="4ton 5 (YT 149)"/>
      <sheetName val="4ton 4 (YT 154)"/>
      <sheetName val="T12 (YT 153)"/>
      <sheetName val="T1 (YT 151)"/>
      <sheetName val="4ton 2 (YT 146)"/>
      <sheetName val="T10 (YT 145)"/>
      <sheetName val="T11 (YT 152)"/>
      <sheetName val="T4 (YT147)"/>
      <sheetName val="4ton 1 (YT 140)"/>
      <sheetName val="4ton 4 (YT148)"/>
      <sheetName val="4ton 3 (YT 144)"/>
      <sheetName val="T1 (YT 143)"/>
      <sheetName val="T8 (YT 131)"/>
      <sheetName val="T2 (YT 135)"/>
      <sheetName val="T12 (YT 137)"/>
      <sheetName val="T11 (YT 134)"/>
      <sheetName val="T7 (YT 132)"/>
      <sheetName val="T6 (YT 130)"/>
      <sheetName val="200Ls - 4ton 2 (YT 139)"/>
      <sheetName val="T9 (YT 142)"/>
      <sheetName val="T5 (YT 129)"/>
      <sheetName val="T4 (YT 127)"/>
      <sheetName val="T3 (YT 125)"/>
      <sheetName val="T10 (YT 141)"/>
      <sheetName val="T1 (YT 136)"/>
      <sheetName val="T9 (YT 128)"/>
      <sheetName val="T10 (YT 126)"/>
      <sheetName val="200L 1 (CB1)"/>
      <sheetName val="4Ton -1 (YT 138)"/>
      <sheetName val="200L 4 (flame 1)"/>
      <sheetName val="200L 3 (CB 2)"/>
      <sheetName val="200L 2 (BT 1)"/>
      <sheetName val="T2 (YT 118)"/>
      <sheetName val="200L 10 (YT 116)"/>
      <sheetName val="T12 (YT 11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8">
          <cell r="A38">
            <v>14</v>
          </cell>
          <cell r="BB38"/>
          <cell r="BT38">
            <v>16.100000000000001</v>
          </cell>
        </row>
        <row r="39">
          <cell r="A39">
            <v>15</v>
          </cell>
          <cell r="BB39"/>
          <cell r="BT39">
            <v>17.09375</v>
          </cell>
        </row>
        <row r="40">
          <cell r="A40">
            <v>16</v>
          </cell>
          <cell r="BB40"/>
          <cell r="BT40">
            <v>38.861111111111114</v>
          </cell>
        </row>
        <row r="41">
          <cell r="A41">
            <v>17</v>
          </cell>
          <cell r="BB41"/>
          <cell r="BT41">
            <v>19.86046511627907</v>
          </cell>
        </row>
        <row r="42">
          <cell r="A42">
            <v>18</v>
          </cell>
          <cell r="BB42"/>
          <cell r="BT42">
            <v>30.34090909090909</v>
          </cell>
        </row>
        <row r="43">
          <cell r="A43">
            <v>19</v>
          </cell>
          <cell r="BB43" t="str">
            <v>Start Tomorrow</v>
          </cell>
          <cell r="BT43">
            <v>20.367346938775512</v>
          </cell>
        </row>
        <row r="44">
          <cell r="A44">
            <v>20</v>
          </cell>
          <cell r="BB44"/>
          <cell r="BT44">
            <v>24.936170212765958</v>
          </cell>
        </row>
        <row r="45">
          <cell r="A45">
            <v>21</v>
          </cell>
          <cell r="BB45"/>
          <cell r="BT45">
            <v>26.042553191489361</v>
          </cell>
        </row>
        <row r="46">
          <cell r="A46">
            <v>22</v>
          </cell>
          <cell r="BB46"/>
          <cell r="BT46">
            <v>37.326530612244895</v>
          </cell>
        </row>
        <row r="47">
          <cell r="A47">
            <v>23</v>
          </cell>
          <cell r="BB47"/>
          <cell r="BT47">
            <v>49.14</v>
          </cell>
        </row>
        <row r="48">
          <cell r="A48">
            <v>24</v>
          </cell>
          <cell r="BB48"/>
          <cell r="BT48">
            <v>43.86</v>
          </cell>
        </row>
        <row r="49">
          <cell r="A49">
            <v>25</v>
          </cell>
          <cell r="BB49"/>
          <cell r="BT49">
            <v>43.571428571428569</v>
          </cell>
        </row>
        <row r="50">
          <cell r="A50">
            <v>26</v>
          </cell>
          <cell r="BB50"/>
          <cell r="BT50">
            <v>47.48</v>
          </cell>
        </row>
        <row r="51">
          <cell r="A51">
            <v>27</v>
          </cell>
          <cell r="BB51"/>
          <cell r="BT51">
            <v>43.354166666666664</v>
          </cell>
        </row>
        <row r="52">
          <cell r="A52">
            <v>28</v>
          </cell>
          <cell r="BB52"/>
          <cell r="BT52">
            <v>39.8125</v>
          </cell>
        </row>
        <row r="53">
          <cell r="A53">
            <v>29</v>
          </cell>
          <cell r="BB53"/>
          <cell r="BT53">
            <v>34.78</v>
          </cell>
        </row>
        <row r="54">
          <cell r="A54">
            <v>30</v>
          </cell>
          <cell r="BB54"/>
          <cell r="BT54">
            <v>31.48936170212766</v>
          </cell>
        </row>
        <row r="55">
          <cell r="A55">
            <v>31</v>
          </cell>
          <cell r="BB55"/>
          <cell r="BT55">
            <v>36.612244897959187</v>
          </cell>
        </row>
        <row r="56">
          <cell r="A56">
            <v>32</v>
          </cell>
          <cell r="BB56"/>
          <cell r="BT56">
            <v>34.714285714285715</v>
          </cell>
        </row>
        <row r="57">
          <cell r="A57">
            <v>33</v>
          </cell>
          <cell r="BB57"/>
          <cell r="BT57">
            <v>27.434782608695652</v>
          </cell>
        </row>
        <row r="58">
          <cell r="A58">
            <v>34</v>
          </cell>
          <cell r="BB58"/>
          <cell r="BT58">
            <v>24.488888888888887</v>
          </cell>
        </row>
        <row r="59">
          <cell r="A59">
            <v>35</v>
          </cell>
          <cell r="BB59"/>
          <cell r="BT59">
            <v>21.844444444444445</v>
          </cell>
        </row>
        <row r="60">
          <cell r="A60">
            <v>36</v>
          </cell>
          <cell r="BB60"/>
          <cell r="BT60">
            <v>19.658536585365855</v>
          </cell>
        </row>
        <row r="61">
          <cell r="A61">
            <v>37</v>
          </cell>
          <cell r="BB61"/>
          <cell r="BT61">
            <v>15.3</v>
          </cell>
        </row>
        <row r="62">
          <cell r="A62">
            <v>38</v>
          </cell>
          <cell r="BB62"/>
          <cell r="BT62">
            <v>12.128205128205128</v>
          </cell>
        </row>
        <row r="63">
          <cell r="A63">
            <v>39</v>
          </cell>
          <cell r="BB63"/>
          <cell r="BT63">
            <v>10.050000000000001</v>
          </cell>
        </row>
        <row r="64">
          <cell r="A64">
            <v>40</v>
          </cell>
          <cell r="BB64"/>
          <cell r="BT64">
            <v>7.5384615384615383</v>
          </cell>
        </row>
        <row r="65">
          <cell r="A65">
            <v>41</v>
          </cell>
          <cell r="BB65"/>
          <cell r="BT65">
            <v>4.4210526315789478</v>
          </cell>
        </row>
        <row r="66">
          <cell r="A66">
            <v>42</v>
          </cell>
          <cell r="BB66"/>
          <cell r="BT66">
            <v>4.7027027027027026</v>
          </cell>
        </row>
        <row r="67">
          <cell r="A67">
            <v>43</v>
          </cell>
          <cell r="BB67"/>
          <cell r="BT67">
            <v>3.5526315789473686</v>
          </cell>
        </row>
        <row r="68">
          <cell r="A68">
            <v>44</v>
          </cell>
          <cell r="BB68"/>
          <cell r="BT68">
            <v>2.8857142857142857</v>
          </cell>
        </row>
        <row r="69">
          <cell r="A69">
            <v>45</v>
          </cell>
          <cell r="BB69"/>
          <cell r="BT69">
            <v>1.8888888888888888</v>
          </cell>
        </row>
        <row r="70">
          <cell r="A70">
            <v>46</v>
          </cell>
          <cell r="BB70"/>
          <cell r="BT70">
            <v>1.8</v>
          </cell>
        </row>
        <row r="71">
          <cell r="A71">
            <v>47</v>
          </cell>
          <cell r="BB71"/>
          <cell r="BT71">
            <v>1.4722222222222223</v>
          </cell>
        </row>
        <row r="72">
          <cell r="A72">
            <v>48</v>
          </cell>
          <cell r="BB72"/>
          <cell r="BT72">
            <v>0.83333333333333337</v>
          </cell>
        </row>
        <row r="73">
          <cell r="A73">
            <v>49</v>
          </cell>
          <cell r="BB73"/>
          <cell r="BT73">
            <v>1.0555555555555556</v>
          </cell>
        </row>
        <row r="74">
          <cell r="A74">
            <v>50</v>
          </cell>
          <cell r="BB74"/>
          <cell r="BT74">
            <v>0.94117647058823528</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2"/>
  <sheetViews>
    <sheetView zoomScale="62" zoomScaleNormal="62" workbookViewId="0">
      <pane xSplit="1" topLeftCell="B1" activePane="topRight" state="frozen"/>
      <selection pane="topRight" activeCell="AV35" sqref="AV35"/>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3.1640625" bestFit="1"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ht="23" x14ac:dyDescent="0.2">
      <c r="A1" s="209" t="s">
        <v>0</v>
      </c>
      <c r="B1" s="210"/>
      <c r="C1" s="210"/>
      <c r="D1" s="215" t="s">
        <v>1</v>
      </c>
      <c r="E1" s="215"/>
      <c r="F1" s="215"/>
      <c r="G1" s="215"/>
      <c r="H1" s="215"/>
      <c r="I1" s="215"/>
      <c r="J1" s="215"/>
      <c r="K1" s="215"/>
      <c r="L1" s="215"/>
      <c r="M1" s="215"/>
      <c r="N1" s="218" t="s">
        <v>2</v>
      </c>
      <c r="O1" s="218"/>
      <c r="P1" s="219"/>
      <c r="Q1" s="224" t="s">
        <v>3</v>
      </c>
      <c r="R1" s="225"/>
      <c r="S1" s="225"/>
      <c r="T1" s="225"/>
      <c r="U1" s="225"/>
      <c r="V1" s="225"/>
      <c r="W1" s="225"/>
      <c r="X1" s="225"/>
      <c r="Y1" s="226"/>
      <c r="Z1" s="230" t="s">
        <v>4</v>
      </c>
      <c r="AA1" s="231"/>
      <c r="AB1" s="231"/>
      <c r="AC1" s="231"/>
      <c r="AD1" s="231"/>
      <c r="AE1" s="231"/>
      <c r="AF1" s="232"/>
      <c r="AG1" s="271" t="s">
        <v>5</v>
      </c>
      <c r="AH1" s="271"/>
      <c r="AI1" s="271"/>
      <c r="AJ1" s="271"/>
      <c r="AK1" s="271"/>
      <c r="AL1" s="271"/>
      <c r="AM1" s="271"/>
      <c r="AN1" s="271"/>
      <c r="AO1" s="271"/>
      <c r="AP1" s="271"/>
      <c r="AQ1" s="1"/>
      <c r="AR1" s="2"/>
      <c r="AS1" s="251" t="s">
        <v>6</v>
      </c>
      <c r="AT1" s="252"/>
      <c r="AU1" s="252"/>
      <c r="AV1" s="252"/>
      <c r="AW1" s="257" t="s">
        <v>7</v>
      </c>
      <c r="AX1" s="258"/>
      <c r="AY1" s="258"/>
      <c r="AZ1" s="259"/>
      <c r="BA1" s="266" t="s">
        <v>8</v>
      </c>
    </row>
    <row r="2" spans="1:53" ht="23" x14ac:dyDescent="0.2">
      <c r="A2" s="211"/>
      <c r="B2" s="212"/>
      <c r="C2" s="212"/>
      <c r="D2" s="216"/>
      <c r="E2" s="216"/>
      <c r="F2" s="216"/>
      <c r="G2" s="216"/>
      <c r="H2" s="216"/>
      <c r="I2" s="216"/>
      <c r="J2" s="216"/>
      <c r="K2" s="216"/>
      <c r="L2" s="216"/>
      <c r="M2" s="216"/>
      <c r="N2" s="220"/>
      <c r="O2" s="220"/>
      <c r="P2" s="221"/>
      <c r="Q2" s="227"/>
      <c r="R2" s="228"/>
      <c r="S2" s="228"/>
      <c r="T2" s="228"/>
      <c r="U2" s="228"/>
      <c r="V2" s="228"/>
      <c r="W2" s="228"/>
      <c r="X2" s="228"/>
      <c r="Y2" s="229"/>
      <c r="Z2" s="233"/>
      <c r="AA2" s="234"/>
      <c r="AB2" s="234"/>
      <c r="AC2" s="234"/>
      <c r="AD2" s="234"/>
      <c r="AE2" s="234"/>
      <c r="AF2" s="235"/>
      <c r="AG2" s="272"/>
      <c r="AH2" s="272"/>
      <c r="AI2" s="272"/>
      <c r="AJ2" s="272"/>
      <c r="AK2" s="272"/>
      <c r="AL2" s="272"/>
      <c r="AM2" s="272"/>
      <c r="AN2" s="272"/>
      <c r="AO2" s="272"/>
      <c r="AP2" s="272"/>
      <c r="AQ2" s="3"/>
      <c r="AR2" s="4"/>
      <c r="AS2" s="253"/>
      <c r="AT2" s="254"/>
      <c r="AU2" s="254"/>
      <c r="AV2" s="254"/>
      <c r="AW2" s="260"/>
      <c r="AX2" s="261"/>
      <c r="AY2" s="261"/>
      <c r="AZ2" s="262"/>
      <c r="BA2" s="267"/>
    </row>
    <row r="3" spans="1:53" ht="21" thickBot="1" x14ac:dyDescent="0.25">
      <c r="A3" s="213"/>
      <c r="B3" s="214"/>
      <c r="C3" s="214"/>
      <c r="D3" s="217"/>
      <c r="E3" s="217"/>
      <c r="F3" s="217"/>
      <c r="G3" s="217"/>
      <c r="H3" s="217"/>
      <c r="I3" s="217"/>
      <c r="J3" s="217"/>
      <c r="K3" s="217"/>
      <c r="L3" s="217"/>
      <c r="M3" s="217"/>
      <c r="N3" s="222"/>
      <c r="O3" s="222"/>
      <c r="P3" s="223"/>
      <c r="Q3" s="227"/>
      <c r="R3" s="228"/>
      <c r="S3" s="228"/>
      <c r="T3" s="228"/>
      <c r="U3" s="228"/>
      <c r="V3" s="228"/>
      <c r="W3" s="228"/>
      <c r="X3" s="228"/>
      <c r="Y3" s="229"/>
      <c r="Z3" s="233"/>
      <c r="AA3" s="234"/>
      <c r="AB3" s="234"/>
      <c r="AC3" s="234"/>
      <c r="AD3" s="234"/>
      <c r="AE3" s="234"/>
      <c r="AF3" s="235"/>
      <c r="AG3" s="269" t="s">
        <v>9</v>
      </c>
      <c r="AH3" s="269"/>
      <c r="AI3" s="269"/>
      <c r="AJ3" s="269"/>
      <c r="AK3" s="270"/>
      <c r="AL3" s="5"/>
      <c r="AM3" s="269" t="s">
        <v>10</v>
      </c>
      <c r="AN3" s="269"/>
      <c r="AO3" s="269"/>
      <c r="AP3" s="270"/>
      <c r="AQ3" s="6"/>
      <c r="AR3" s="7"/>
      <c r="AS3" s="255"/>
      <c r="AT3" s="256"/>
      <c r="AU3" s="256"/>
      <c r="AV3" s="256"/>
      <c r="AW3" s="263"/>
      <c r="AX3" s="264"/>
      <c r="AY3" s="264"/>
      <c r="AZ3" s="265"/>
      <c r="BA3" s="268"/>
    </row>
    <row r="4" spans="1:53" x14ac:dyDescent="0.2">
      <c r="A4" s="236" t="s">
        <v>11</v>
      </c>
      <c r="B4" s="239" t="s">
        <v>12</v>
      </c>
      <c r="C4" s="239" t="s">
        <v>13</v>
      </c>
      <c r="D4" s="242" t="s">
        <v>14</v>
      </c>
      <c r="E4" s="243"/>
      <c r="F4" s="246" t="s">
        <v>15</v>
      </c>
      <c r="G4" s="243"/>
      <c r="H4" s="292" t="s">
        <v>16</v>
      </c>
      <c r="I4" s="293"/>
      <c r="J4" s="296" t="s">
        <v>17</v>
      </c>
      <c r="K4" s="299" t="s">
        <v>18</v>
      </c>
      <c r="L4" s="292" t="s">
        <v>19</v>
      </c>
      <c r="M4" s="303" t="s">
        <v>20</v>
      </c>
      <c r="N4" s="248" t="s">
        <v>21</v>
      </c>
      <c r="O4" s="248" t="s">
        <v>19</v>
      </c>
      <c r="P4" s="248" t="s">
        <v>20</v>
      </c>
      <c r="Q4" s="273" t="s">
        <v>22</v>
      </c>
      <c r="R4" s="276" t="s">
        <v>23</v>
      </c>
      <c r="S4" s="276"/>
      <c r="T4" s="277"/>
      <c r="U4" s="280" t="s">
        <v>24</v>
      </c>
      <c r="V4" s="280"/>
      <c r="W4" s="281"/>
      <c r="X4" s="353" t="s">
        <v>19</v>
      </c>
      <c r="Y4" s="330" t="s">
        <v>20</v>
      </c>
      <c r="Z4" s="333" t="s">
        <v>23</v>
      </c>
      <c r="AA4" s="334"/>
      <c r="AB4" s="335"/>
      <c r="AC4" s="339" t="s">
        <v>24</v>
      </c>
      <c r="AD4" s="339"/>
      <c r="AE4" s="339" t="s">
        <v>19</v>
      </c>
      <c r="AF4" s="342" t="s">
        <v>20</v>
      </c>
      <c r="AG4" s="351" t="s">
        <v>25</v>
      </c>
      <c r="AH4" s="318" t="s">
        <v>26</v>
      </c>
      <c r="AI4" s="321" t="s">
        <v>24</v>
      </c>
      <c r="AJ4" s="321"/>
      <c r="AK4" s="321"/>
      <c r="AL4" s="323" t="s">
        <v>27</v>
      </c>
      <c r="AM4" s="325" t="s">
        <v>25</v>
      </c>
      <c r="AN4" s="321" t="s">
        <v>24</v>
      </c>
      <c r="AO4" s="321"/>
      <c r="AP4" s="309"/>
      <c r="AQ4" s="327" t="s">
        <v>19</v>
      </c>
      <c r="AR4" s="309" t="s">
        <v>20</v>
      </c>
      <c r="AS4" s="312" t="s">
        <v>28</v>
      </c>
      <c r="AT4" s="315" t="s">
        <v>29</v>
      </c>
      <c r="AU4" s="315" t="s">
        <v>19</v>
      </c>
      <c r="AV4" s="315" t="s">
        <v>20</v>
      </c>
      <c r="AW4" s="348" t="s">
        <v>30</v>
      </c>
      <c r="AX4" s="284" t="s">
        <v>29</v>
      </c>
      <c r="AY4" s="284" t="s">
        <v>19</v>
      </c>
      <c r="AZ4" s="287" t="s">
        <v>20</v>
      </c>
      <c r="BA4" s="290" t="s">
        <v>31</v>
      </c>
    </row>
    <row r="5" spans="1:53" x14ac:dyDescent="0.2">
      <c r="A5" s="237"/>
      <c r="B5" s="240"/>
      <c r="C5" s="240"/>
      <c r="D5" s="244"/>
      <c r="E5" s="245"/>
      <c r="F5" s="247"/>
      <c r="G5" s="245"/>
      <c r="H5" s="294"/>
      <c r="I5" s="295"/>
      <c r="J5" s="297"/>
      <c r="K5" s="300"/>
      <c r="L5" s="294"/>
      <c r="M5" s="304"/>
      <c r="N5" s="249"/>
      <c r="O5" s="249"/>
      <c r="P5" s="249"/>
      <c r="Q5" s="274"/>
      <c r="R5" s="278"/>
      <c r="S5" s="278"/>
      <c r="T5" s="279"/>
      <c r="U5" s="282"/>
      <c r="V5" s="282"/>
      <c r="W5" s="283"/>
      <c r="X5" s="354"/>
      <c r="Y5" s="331"/>
      <c r="Z5" s="336"/>
      <c r="AA5" s="337"/>
      <c r="AB5" s="338"/>
      <c r="AC5" s="340"/>
      <c r="AD5" s="340"/>
      <c r="AE5" s="340"/>
      <c r="AF5" s="343"/>
      <c r="AG5" s="352"/>
      <c r="AH5" s="319"/>
      <c r="AI5" s="322"/>
      <c r="AJ5" s="322"/>
      <c r="AK5" s="322"/>
      <c r="AL5" s="324"/>
      <c r="AM5" s="326"/>
      <c r="AN5" s="322"/>
      <c r="AO5" s="322"/>
      <c r="AP5" s="310"/>
      <c r="AQ5" s="328"/>
      <c r="AR5" s="310"/>
      <c r="AS5" s="313"/>
      <c r="AT5" s="316"/>
      <c r="AU5" s="316"/>
      <c r="AV5" s="316"/>
      <c r="AW5" s="349"/>
      <c r="AX5" s="285"/>
      <c r="AY5" s="285"/>
      <c r="AZ5" s="288"/>
      <c r="BA5" s="290"/>
    </row>
    <row r="6" spans="1:53" ht="16" thickBot="1" x14ac:dyDescent="0.25">
      <c r="A6" s="238"/>
      <c r="B6" s="241"/>
      <c r="C6" s="241"/>
      <c r="D6" s="8" t="s">
        <v>32</v>
      </c>
      <c r="E6" s="9" t="s">
        <v>33</v>
      </c>
      <c r="F6" s="10" t="s">
        <v>32</v>
      </c>
      <c r="G6" s="9" t="s">
        <v>33</v>
      </c>
      <c r="H6" s="11" t="s">
        <v>32</v>
      </c>
      <c r="I6" s="12" t="s">
        <v>33</v>
      </c>
      <c r="J6" s="298"/>
      <c r="K6" s="301"/>
      <c r="L6" s="302"/>
      <c r="M6" s="305"/>
      <c r="N6" s="250"/>
      <c r="O6" s="250"/>
      <c r="P6" s="250"/>
      <c r="Q6" s="275"/>
      <c r="R6" s="13" t="s">
        <v>32</v>
      </c>
      <c r="S6" s="13" t="s">
        <v>34</v>
      </c>
      <c r="T6" s="14" t="s">
        <v>33</v>
      </c>
      <c r="U6" s="15" t="s">
        <v>32</v>
      </c>
      <c r="V6" s="15" t="s">
        <v>34</v>
      </c>
      <c r="W6" s="16" t="s">
        <v>33</v>
      </c>
      <c r="X6" s="355"/>
      <c r="Y6" s="332"/>
      <c r="Z6" s="17" t="s">
        <v>32</v>
      </c>
      <c r="AA6" s="18" t="s">
        <v>34</v>
      </c>
      <c r="AB6" s="19" t="s">
        <v>33</v>
      </c>
      <c r="AC6" s="20" t="s">
        <v>32</v>
      </c>
      <c r="AD6" s="20" t="s">
        <v>34</v>
      </c>
      <c r="AE6" s="341"/>
      <c r="AF6" s="344"/>
      <c r="AG6" s="21" t="s">
        <v>34</v>
      </c>
      <c r="AH6" s="320"/>
      <c r="AI6" s="22" t="s">
        <v>32</v>
      </c>
      <c r="AJ6" s="22" t="s">
        <v>34</v>
      </c>
      <c r="AK6" s="22" t="s">
        <v>33</v>
      </c>
      <c r="AL6" s="324"/>
      <c r="AM6" s="23" t="s">
        <v>33</v>
      </c>
      <c r="AN6" s="22" t="s">
        <v>32</v>
      </c>
      <c r="AO6" s="22" t="s">
        <v>34</v>
      </c>
      <c r="AP6" s="24" t="s">
        <v>33</v>
      </c>
      <c r="AQ6" s="329"/>
      <c r="AR6" s="311"/>
      <c r="AS6" s="314"/>
      <c r="AT6" s="317"/>
      <c r="AU6" s="317"/>
      <c r="AV6" s="317"/>
      <c r="AW6" s="350"/>
      <c r="AX6" s="286"/>
      <c r="AY6" s="286"/>
      <c r="AZ6" s="289"/>
      <c r="BA6" s="291"/>
    </row>
    <row r="7" spans="1:53" ht="16" thickBot="1" x14ac:dyDescent="0.25">
      <c r="A7" s="25">
        <v>0</v>
      </c>
      <c r="B7" s="26"/>
      <c r="C7" s="27"/>
      <c r="D7" s="25"/>
      <c r="E7" s="28"/>
      <c r="F7" s="27"/>
      <c r="G7" s="28"/>
      <c r="H7" s="27"/>
      <c r="I7" s="28"/>
      <c r="J7" s="27">
        <v>0.8</v>
      </c>
      <c r="K7" s="29" t="s">
        <v>35</v>
      </c>
      <c r="L7" s="30" t="s">
        <v>36</v>
      </c>
      <c r="M7" s="31"/>
      <c r="N7" s="27"/>
      <c r="P7" s="32"/>
      <c r="Q7" s="25"/>
      <c r="R7" s="27"/>
      <c r="S7" s="27"/>
      <c r="T7" s="28"/>
      <c r="U7" s="27"/>
      <c r="V7" s="27"/>
      <c r="W7" s="28"/>
      <c r="X7" s="33"/>
      <c r="Y7" s="32"/>
      <c r="Z7" s="25"/>
      <c r="AA7" s="27"/>
      <c r="AB7" s="28"/>
      <c r="AC7" s="27"/>
      <c r="AD7" s="27"/>
      <c r="AE7" s="33"/>
      <c r="AG7" s="25"/>
      <c r="AH7" s="34"/>
      <c r="AI7" s="27"/>
      <c r="AJ7" s="27"/>
      <c r="AK7" s="27"/>
      <c r="AL7" s="25"/>
      <c r="AM7" s="35"/>
      <c r="AN7" s="27"/>
      <c r="AO7" s="27"/>
      <c r="AP7" s="36"/>
      <c r="AQ7" s="37"/>
      <c r="AR7" s="32"/>
      <c r="AS7" s="25"/>
      <c r="AT7" s="27"/>
      <c r="AU7" s="27"/>
      <c r="AW7" s="25"/>
      <c r="AX7" s="27"/>
      <c r="AY7" s="27"/>
      <c r="AZ7" s="32"/>
      <c r="BA7" s="38"/>
    </row>
    <row r="8" spans="1:53" ht="16" thickBot="1" x14ac:dyDescent="0.25">
      <c r="A8" s="25">
        <v>1</v>
      </c>
      <c r="B8" s="26"/>
      <c r="C8" s="27"/>
      <c r="D8" s="25"/>
      <c r="E8" s="28"/>
      <c r="F8" s="27"/>
      <c r="G8" s="28"/>
      <c r="H8" s="27"/>
      <c r="I8" s="28"/>
      <c r="J8" s="27">
        <v>0.8</v>
      </c>
      <c r="K8" s="29" t="s">
        <v>35</v>
      </c>
      <c r="L8" s="39"/>
      <c r="M8" s="31"/>
      <c r="N8" s="27"/>
      <c r="P8" s="32"/>
      <c r="Q8" s="40"/>
      <c r="R8" s="27"/>
      <c r="S8" s="27"/>
      <c r="T8" s="28"/>
      <c r="U8" s="27"/>
      <c r="V8" s="27"/>
      <c r="W8" s="28"/>
      <c r="X8" s="33"/>
      <c r="Y8" s="32"/>
      <c r="Z8" s="25"/>
      <c r="AA8" s="27"/>
      <c r="AB8" s="28"/>
      <c r="AC8" s="27"/>
      <c r="AD8" s="27"/>
      <c r="AE8" s="33"/>
      <c r="AG8" s="25"/>
      <c r="AH8" s="34"/>
      <c r="AI8" s="27"/>
      <c r="AJ8" s="27"/>
      <c r="AK8" s="27"/>
      <c r="AL8" s="25"/>
      <c r="AM8" s="34"/>
      <c r="AN8" s="27"/>
      <c r="AO8" s="27"/>
      <c r="AP8" s="36"/>
      <c r="AQ8" s="37"/>
      <c r="AR8" s="32"/>
      <c r="AS8" s="25"/>
      <c r="AT8" s="27"/>
      <c r="AU8" s="27"/>
      <c r="AW8" s="25"/>
      <c r="AX8" s="27"/>
      <c r="AY8" s="27"/>
      <c r="AZ8" s="32"/>
      <c r="BA8" s="41"/>
    </row>
    <row r="9" spans="1:53" ht="16" thickBot="1" x14ac:dyDescent="0.25">
      <c r="A9" s="25">
        <v>2</v>
      </c>
      <c r="B9" s="26"/>
      <c r="C9" s="27"/>
      <c r="D9" s="25"/>
      <c r="E9" s="28"/>
      <c r="F9" s="27"/>
      <c r="G9" s="28"/>
      <c r="H9" s="27"/>
      <c r="I9" s="28"/>
      <c r="J9" s="27">
        <v>0.8</v>
      </c>
      <c r="K9" s="29" t="s">
        <v>35</v>
      </c>
      <c r="L9" s="39"/>
      <c r="M9" s="31"/>
      <c r="N9" s="27"/>
      <c r="O9" s="42"/>
      <c r="Q9" s="43" t="s">
        <v>37</v>
      </c>
      <c r="R9" s="27"/>
      <c r="S9" s="27"/>
      <c r="T9" s="28"/>
      <c r="U9" s="27"/>
      <c r="V9" s="27"/>
      <c r="W9" s="28"/>
      <c r="X9" s="33"/>
      <c r="Y9" s="32"/>
      <c r="Z9" s="25"/>
      <c r="AA9" s="27"/>
      <c r="AB9" s="28"/>
      <c r="AC9" s="27"/>
      <c r="AD9" s="27"/>
      <c r="AE9" s="33"/>
      <c r="AG9" s="25"/>
      <c r="AH9" s="34"/>
      <c r="AI9" s="27"/>
      <c r="AJ9" s="27"/>
      <c r="AK9" s="27"/>
      <c r="AL9" s="25"/>
      <c r="AM9" s="34"/>
      <c r="AN9" s="27"/>
      <c r="AO9" s="27"/>
      <c r="AP9" s="36"/>
      <c r="AQ9" s="37"/>
      <c r="AR9" s="32"/>
      <c r="AS9" s="25"/>
      <c r="AT9" s="27"/>
      <c r="AU9" s="27"/>
      <c r="AW9" s="25"/>
      <c r="AX9" s="27"/>
      <c r="AY9" s="27"/>
      <c r="AZ9" s="32"/>
      <c r="BA9" s="41"/>
    </row>
    <row r="10" spans="1:53" ht="16" thickBot="1" x14ac:dyDescent="0.25">
      <c r="A10" s="25">
        <v>3</v>
      </c>
      <c r="B10" s="26"/>
      <c r="C10" s="27"/>
      <c r="D10" s="25"/>
      <c r="E10" s="28"/>
      <c r="F10" s="27"/>
      <c r="G10" s="28"/>
      <c r="H10" s="27"/>
      <c r="I10" s="28"/>
      <c r="J10" s="27">
        <v>1.2</v>
      </c>
      <c r="K10" s="29" t="s">
        <v>35</v>
      </c>
      <c r="L10" s="44" t="s">
        <v>38</v>
      </c>
      <c r="M10" s="31" t="s">
        <v>39</v>
      </c>
      <c r="N10" s="27" t="s">
        <v>40</v>
      </c>
      <c r="O10" s="45" t="s">
        <v>41</v>
      </c>
      <c r="P10" s="46"/>
      <c r="Q10" s="25"/>
      <c r="R10" s="27"/>
      <c r="S10" s="27"/>
      <c r="T10" s="28"/>
      <c r="U10" s="27">
        <v>5</v>
      </c>
      <c r="V10" s="27"/>
      <c r="W10" s="28">
        <v>5</v>
      </c>
      <c r="X10" s="47" t="s">
        <v>43</v>
      </c>
      <c r="Y10" s="32" t="s">
        <v>44</v>
      </c>
      <c r="Z10" s="25"/>
      <c r="AA10" s="27"/>
      <c r="AB10" s="28"/>
      <c r="AC10" s="27">
        <v>5</v>
      </c>
      <c r="AD10" s="27"/>
      <c r="AE10" s="48" t="s">
        <v>45</v>
      </c>
      <c r="AG10" s="25"/>
      <c r="AH10" s="34"/>
      <c r="AI10" s="27"/>
      <c r="AJ10" s="27"/>
      <c r="AK10" s="27"/>
      <c r="AL10" s="25"/>
      <c r="AM10" s="34"/>
      <c r="AN10" s="27"/>
      <c r="AO10" s="27"/>
      <c r="AP10" s="36"/>
      <c r="AQ10" s="37"/>
      <c r="AR10" s="32"/>
      <c r="AS10" s="25"/>
      <c r="AT10" s="27"/>
      <c r="AU10" s="27"/>
      <c r="AW10" s="25"/>
      <c r="AX10" s="27"/>
      <c r="AY10" s="27"/>
      <c r="AZ10" s="32"/>
      <c r="BA10" s="41"/>
    </row>
    <row r="11" spans="1:53" x14ac:dyDescent="0.2">
      <c r="A11" s="25">
        <v>4</v>
      </c>
      <c r="B11" s="26"/>
      <c r="C11" s="27"/>
      <c r="D11" s="25"/>
      <c r="E11" s="28"/>
      <c r="F11" s="27"/>
      <c r="G11" s="28"/>
      <c r="H11" s="27"/>
      <c r="I11" s="28"/>
      <c r="J11" s="27">
        <v>1.2</v>
      </c>
      <c r="K11" s="29" t="s">
        <v>35</v>
      </c>
      <c r="L11" s="39"/>
      <c r="M11" s="31"/>
      <c r="N11" s="27" t="s">
        <v>40</v>
      </c>
      <c r="O11" t="s">
        <v>46</v>
      </c>
      <c r="P11" s="32"/>
      <c r="Q11" s="25"/>
      <c r="R11" s="27"/>
      <c r="S11" s="27"/>
      <c r="T11" s="28"/>
      <c r="U11" s="27">
        <v>5</v>
      </c>
      <c r="V11" s="27"/>
      <c r="W11" s="28">
        <v>5</v>
      </c>
      <c r="X11" s="345" t="s">
        <v>47</v>
      </c>
      <c r="Y11" s="32"/>
      <c r="Z11" s="25"/>
      <c r="AA11" s="27"/>
      <c r="AB11" s="28"/>
      <c r="AC11" s="27">
        <v>5</v>
      </c>
      <c r="AD11" s="27"/>
      <c r="AE11" s="33"/>
      <c r="AG11" s="25"/>
      <c r="AH11" s="34"/>
      <c r="AI11" s="27"/>
      <c r="AJ11" s="27"/>
      <c r="AK11" s="27"/>
      <c r="AL11" s="25"/>
      <c r="AM11" s="34"/>
      <c r="AN11" s="27"/>
      <c r="AO11" s="27"/>
      <c r="AP11" s="36"/>
      <c r="AQ11" s="37"/>
      <c r="AR11" s="32"/>
      <c r="AS11" s="25"/>
      <c r="AT11" s="27"/>
      <c r="AU11" s="27"/>
      <c r="AW11" s="25"/>
      <c r="AX11" s="27"/>
      <c r="AY11" s="27"/>
      <c r="AZ11" s="32"/>
      <c r="BA11" s="41"/>
    </row>
    <row r="12" spans="1:53" x14ac:dyDescent="0.2">
      <c r="A12" s="25">
        <v>5</v>
      </c>
      <c r="B12" s="26"/>
      <c r="C12" s="27"/>
      <c r="D12" s="25"/>
      <c r="E12" s="28"/>
      <c r="F12" s="27"/>
      <c r="G12" s="28"/>
      <c r="H12" s="27"/>
      <c r="I12" s="28"/>
      <c r="J12" s="27">
        <v>1.2</v>
      </c>
      <c r="K12" s="29" t="s">
        <v>35</v>
      </c>
      <c r="L12" s="39"/>
      <c r="M12" s="31"/>
      <c r="N12" s="27" t="s">
        <v>40</v>
      </c>
      <c r="P12" s="32"/>
      <c r="Q12" s="25"/>
      <c r="R12" s="27"/>
      <c r="S12" s="27"/>
      <c r="T12" s="28"/>
      <c r="U12" s="27">
        <v>5</v>
      </c>
      <c r="V12" s="27"/>
      <c r="W12" s="28">
        <v>5</v>
      </c>
      <c r="X12" s="346"/>
      <c r="Y12" s="32"/>
      <c r="Z12" s="25"/>
      <c r="AA12" s="27"/>
      <c r="AB12" s="28"/>
      <c r="AC12" s="27">
        <v>5</v>
      </c>
      <c r="AD12" s="27"/>
      <c r="AE12" s="33"/>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6</v>
      </c>
      <c r="B13" s="26"/>
      <c r="C13" s="27"/>
      <c r="D13" s="25"/>
      <c r="E13" s="28"/>
      <c r="F13" s="27"/>
      <c r="G13" s="28"/>
      <c r="H13" s="27"/>
      <c r="I13" s="28"/>
      <c r="J13" s="27">
        <v>1.2</v>
      </c>
      <c r="K13" s="29" t="s">
        <v>35</v>
      </c>
      <c r="L13" s="39"/>
      <c r="M13" s="31"/>
      <c r="N13" s="27" t="s">
        <v>40</v>
      </c>
      <c r="P13" s="32"/>
      <c r="Q13" s="25"/>
      <c r="R13" s="27"/>
      <c r="S13" s="27"/>
      <c r="T13" s="28"/>
      <c r="U13" s="27">
        <v>5</v>
      </c>
      <c r="V13" s="27"/>
      <c r="W13" s="28">
        <v>5</v>
      </c>
      <c r="X13" s="346"/>
      <c r="Y13" s="32"/>
      <c r="Z13" s="25"/>
      <c r="AA13" s="27"/>
      <c r="AB13" s="28"/>
      <c r="AC13" s="27">
        <v>5</v>
      </c>
      <c r="AD13" s="27"/>
      <c r="AE13" s="33"/>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7</v>
      </c>
      <c r="B14" s="26"/>
      <c r="C14" s="27"/>
      <c r="D14" s="25"/>
      <c r="E14" s="28"/>
      <c r="F14" s="27"/>
      <c r="G14" s="28"/>
      <c r="H14" s="27"/>
      <c r="I14" s="28"/>
      <c r="J14" s="27">
        <v>1.2</v>
      </c>
      <c r="K14" s="29" t="s">
        <v>35</v>
      </c>
      <c r="L14" s="39"/>
      <c r="M14" s="31"/>
      <c r="N14" s="27" t="s">
        <v>40</v>
      </c>
      <c r="P14" s="32"/>
      <c r="Q14" s="25"/>
      <c r="R14" s="27"/>
      <c r="S14" s="27"/>
      <c r="T14" s="28"/>
      <c r="U14" s="27">
        <v>5</v>
      </c>
      <c r="V14" s="27"/>
      <c r="W14" s="28">
        <v>5</v>
      </c>
      <c r="X14" s="346"/>
      <c r="Y14" s="32"/>
      <c r="Z14" s="25"/>
      <c r="AA14" s="27"/>
      <c r="AB14" s="28"/>
      <c r="AC14" s="27">
        <v>5</v>
      </c>
      <c r="AD14" s="27"/>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8</v>
      </c>
      <c r="B15" s="26"/>
      <c r="C15" s="27"/>
      <c r="D15" s="25"/>
      <c r="E15" s="28"/>
      <c r="F15" s="27"/>
      <c r="G15" s="28"/>
      <c r="H15" s="27"/>
      <c r="I15" s="28"/>
      <c r="J15" s="27">
        <v>1.2</v>
      </c>
      <c r="K15" s="29" t="s">
        <v>35</v>
      </c>
      <c r="L15" s="39"/>
      <c r="M15" s="31"/>
      <c r="N15" s="27" t="s">
        <v>40</v>
      </c>
      <c r="P15" s="32"/>
      <c r="Q15" s="25"/>
      <c r="R15" s="27"/>
      <c r="S15" s="27"/>
      <c r="T15" s="28"/>
      <c r="U15" s="27">
        <v>5</v>
      </c>
      <c r="V15" s="27"/>
      <c r="W15" s="28">
        <v>5</v>
      </c>
      <c r="X15" s="346"/>
      <c r="Y15" s="32"/>
      <c r="Z15" s="25"/>
      <c r="AA15" s="27"/>
      <c r="AB15" s="28"/>
      <c r="AC15" s="27">
        <v>5</v>
      </c>
      <c r="AD15" s="27"/>
      <c r="AE15" s="33"/>
      <c r="AG15" s="25"/>
      <c r="AH15" s="34"/>
      <c r="AI15" s="27"/>
      <c r="AJ15" s="27"/>
      <c r="AK15" s="27"/>
      <c r="AL15" s="25"/>
      <c r="AM15" s="34"/>
      <c r="AN15" s="27"/>
      <c r="AO15" s="27"/>
      <c r="AP15" s="36"/>
      <c r="AQ15" s="37"/>
      <c r="AR15" s="32"/>
      <c r="AS15" s="25"/>
      <c r="AT15" s="27"/>
      <c r="AU15" s="27"/>
      <c r="AW15" s="25"/>
      <c r="AX15" s="27"/>
      <c r="AY15" s="27"/>
      <c r="AZ15" s="32"/>
      <c r="BA15" s="41"/>
    </row>
    <row r="16" spans="1:53" ht="16" thickBot="1" x14ac:dyDescent="0.25">
      <c r="A16" s="25">
        <v>9</v>
      </c>
      <c r="B16" s="26"/>
      <c r="C16" s="27"/>
      <c r="D16" s="25"/>
      <c r="E16" s="28"/>
      <c r="F16" s="27"/>
      <c r="G16" s="28"/>
      <c r="H16" s="27"/>
      <c r="I16" s="28"/>
      <c r="J16" s="27">
        <v>1.2</v>
      </c>
      <c r="K16" s="29" t="s">
        <v>35</v>
      </c>
      <c r="L16" s="39"/>
      <c r="M16" s="31"/>
      <c r="N16" s="27" t="s">
        <v>40</v>
      </c>
      <c r="P16" s="32"/>
      <c r="Q16" s="25"/>
      <c r="R16" s="27"/>
      <c r="S16" s="27"/>
      <c r="T16" s="28"/>
      <c r="U16" s="27">
        <v>5</v>
      </c>
      <c r="V16" s="27"/>
      <c r="W16" s="28">
        <v>5</v>
      </c>
      <c r="X16" s="346"/>
      <c r="Y16" s="32"/>
      <c r="Z16" s="25"/>
      <c r="AA16" s="27"/>
      <c r="AB16" s="28"/>
      <c r="AC16" s="27">
        <v>5</v>
      </c>
      <c r="AD16" s="27"/>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10</v>
      </c>
      <c r="B17" s="26"/>
      <c r="C17" s="27"/>
      <c r="D17" s="25"/>
      <c r="E17" s="28"/>
      <c r="F17" s="27"/>
      <c r="G17" s="28"/>
      <c r="H17" s="27"/>
      <c r="I17" s="28"/>
      <c r="J17" s="27">
        <v>1.2</v>
      </c>
      <c r="K17" s="29" t="s">
        <v>35</v>
      </c>
      <c r="L17" s="39"/>
      <c r="M17" s="31"/>
      <c r="N17" s="27" t="s">
        <v>40</v>
      </c>
      <c r="O17" s="49"/>
      <c r="P17" s="32"/>
      <c r="Q17" s="25"/>
      <c r="R17" s="27"/>
      <c r="S17" s="27"/>
      <c r="T17" s="28"/>
      <c r="U17" s="27">
        <v>5</v>
      </c>
      <c r="V17" s="27"/>
      <c r="W17" s="28">
        <v>5</v>
      </c>
      <c r="X17" s="346"/>
      <c r="Y17" s="32"/>
      <c r="Z17" s="25"/>
      <c r="AA17" s="27"/>
      <c r="AB17" s="28"/>
      <c r="AC17" s="27">
        <v>10</v>
      </c>
      <c r="AD17" s="27"/>
      <c r="AE17" s="50"/>
      <c r="AF17" s="51"/>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11</v>
      </c>
      <c r="B18" s="26"/>
      <c r="C18" s="27"/>
      <c r="D18" s="25"/>
      <c r="E18" s="28"/>
      <c r="F18" s="27"/>
      <c r="G18" s="28"/>
      <c r="H18" s="27"/>
      <c r="I18" s="28"/>
      <c r="J18" s="27">
        <v>1.2</v>
      </c>
      <c r="K18" s="29" t="s">
        <v>35</v>
      </c>
      <c r="L18" s="52"/>
      <c r="M18" s="31"/>
      <c r="N18" s="27" t="s">
        <v>40</v>
      </c>
      <c r="P18" s="32"/>
      <c r="Q18" s="25"/>
      <c r="R18" s="27"/>
      <c r="S18" s="27"/>
      <c r="T18" s="28"/>
      <c r="U18" s="27">
        <v>5</v>
      </c>
      <c r="V18" s="27"/>
      <c r="W18" s="28">
        <v>5</v>
      </c>
      <c r="X18" s="347"/>
      <c r="Y18" s="32"/>
      <c r="Z18" s="25"/>
      <c r="AA18" s="27"/>
      <c r="AB18" s="28"/>
      <c r="AC18" s="27">
        <v>10</v>
      </c>
      <c r="AD18" s="27"/>
      <c r="AE18" s="33"/>
      <c r="AF18" s="46"/>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12</v>
      </c>
      <c r="B19" s="26"/>
      <c r="C19" s="27"/>
      <c r="D19" s="25"/>
      <c r="E19" s="28"/>
      <c r="F19" s="27"/>
      <c r="G19" s="28"/>
      <c r="H19" s="27"/>
      <c r="I19" s="28"/>
      <c r="J19" s="27">
        <v>1.2</v>
      </c>
      <c r="K19" s="29" t="s">
        <v>35</v>
      </c>
      <c r="L19" s="53"/>
      <c r="M19" s="31"/>
      <c r="N19" s="27" t="s">
        <v>40</v>
      </c>
      <c r="P19" s="32"/>
      <c r="Q19" s="25"/>
      <c r="R19" s="27"/>
      <c r="S19" s="27"/>
      <c r="T19" s="28"/>
      <c r="U19" s="27">
        <v>5</v>
      </c>
      <c r="V19" s="27"/>
      <c r="W19" s="28">
        <v>5</v>
      </c>
      <c r="X19" s="54" t="s">
        <v>49</v>
      </c>
      <c r="Y19" s="32"/>
      <c r="Z19" s="25"/>
      <c r="AA19" s="27"/>
      <c r="AB19" s="28"/>
      <c r="AC19" s="27">
        <v>15</v>
      </c>
      <c r="AD19" s="27"/>
      <c r="AE19" s="33"/>
      <c r="AG19" s="25"/>
      <c r="AH19" s="34"/>
      <c r="AI19" s="27"/>
      <c r="AJ19" s="27"/>
      <c r="AK19" s="27"/>
      <c r="AL19" s="25"/>
      <c r="AM19" s="34"/>
      <c r="AN19" s="27"/>
      <c r="AO19" s="27"/>
      <c r="AP19" s="36"/>
      <c r="AQ19" s="37"/>
      <c r="AR19" s="32"/>
      <c r="AS19" s="25"/>
      <c r="AT19" s="27"/>
      <c r="AU19" s="27"/>
      <c r="AW19" s="25"/>
      <c r="AX19" s="27"/>
      <c r="AY19" s="27"/>
      <c r="AZ19" s="32"/>
      <c r="BA19" s="41"/>
    </row>
    <row r="20" spans="1:53" ht="16" thickBot="1" x14ac:dyDescent="0.25">
      <c r="A20" s="25">
        <v>13</v>
      </c>
      <c r="B20" s="26"/>
      <c r="C20" s="27"/>
      <c r="D20" s="25"/>
      <c r="E20" s="28"/>
      <c r="F20" s="27"/>
      <c r="G20" s="28"/>
      <c r="H20" s="27"/>
      <c r="I20" s="28"/>
      <c r="J20" s="27">
        <v>1.2</v>
      </c>
      <c r="K20" s="29" t="s">
        <v>35</v>
      </c>
      <c r="L20" s="39"/>
      <c r="M20" s="31"/>
      <c r="N20" s="27" t="s">
        <v>40</v>
      </c>
      <c r="P20" s="32"/>
      <c r="Q20" s="25"/>
      <c r="R20" s="27"/>
      <c r="S20" s="27"/>
      <c r="T20" s="28"/>
      <c r="U20" s="27">
        <v>1</v>
      </c>
      <c r="V20" s="27"/>
      <c r="W20" s="28">
        <v>1</v>
      </c>
      <c r="X20" s="33">
        <v>1</v>
      </c>
      <c r="Y20" s="32"/>
      <c r="Z20" s="55"/>
      <c r="AA20" s="56"/>
      <c r="AB20" s="57"/>
      <c r="AC20" s="27">
        <v>15</v>
      </c>
      <c r="AD20" s="27"/>
      <c r="AE20" s="33"/>
      <c r="AG20" s="25"/>
      <c r="AH20" s="34"/>
      <c r="AI20" s="27"/>
      <c r="AJ20" s="27"/>
      <c r="AK20" s="27"/>
      <c r="AL20" s="25"/>
      <c r="AM20" s="34"/>
      <c r="AN20" s="27"/>
      <c r="AO20" s="27"/>
      <c r="AP20" s="36"/>
      <c r="AQ20" s="37"/>
      <c r="AR20" s="32"/>
      <c r="AS20" s="131"/>
      <c r="AT20" s="132"/>
      <c r="AU20" s="133"/>
      <c r="AW20" s="25"/>
      <c r="AX20" s="27"/>
      <c r="AY20" s="27"/>
      <c r="AZ20" s="32"/>
      <c r="BA20" s="41"/>
    </row>
    <row r="21" spans="1:53" ht="16" thickBot="1" x14ac:dyDescent="0.25">
      <c r="A21" s="25">
        <v>14</v>
      </c>
      <c r="B21" s="26"/>
      <c r="C21" s="27"/>
      <c r="D21" s="25"/>
      <c r="E21" s="28"/>
      <c r="F21" s="27"/>
      <c r="G21" s="28"/>
      <c r="H21" s="27"/>
      <c r="I21" s="28"/>
      <c r="J21" s="27">
        <v>1.2</v>
      </c>
      <c r="K21" s="29" t="s">
        <v>35</v>
      </c>
      <c r="L21" s="39"/>
      <c r="M21" s="31"/>
      <c r="N21" s="27" t="s">
        <v>40</v>
      </c>
      <c r="P21" s="32"/>
      <c r="Q21" s="25"/>
      <c r="R21" s="27"/>
      <c r="S21" s="27"/>
      <c r="T21" s="28"/>
      <c r="U21" s="27">
        <v>1</v>
      </c>
      <c r="V21" s="27"/>
      <c r="W21" s="27">
        <v>1</v>
      </c>
      <c r="X21" s="33"/>
      <c r="Y21" s="32"/>
      <c r="Z21" s="59"/>
      <c r="AA21" s="60"/>
      <c r="AB21" s="61"/>
      <c r="AC21" s="27">
        <v>15</v>
      </c>
      <c r="AD21" s="27"/>
      <c r="AE21" s="33"/>
      <c r="AG21" s="25"/>
      <c r="AH21" s="34"/>
      <c r="AI21" s="27"/>
      <c r="AJ21" s="27"/>
      <c r="AK21" s="27"/>
      <c r="AL21" s="25"/>
      <c r="AM21" s="34"/>
      <c r="AN21" s="27"/>
      <c r="AO21" s="27"/>
      <c r="AP21" s="36"/>
      <c r="AQ21" s="37"/>
      <c r="AR21" s="32"/>
      <c r="AS21" s="131"/>
      <c r="AT21" s="132"/>
      <c r="AU21" s="134"/>
      <c r="AW21" s="25"/>
      <c r="AX21" s="27"/>
      <c r="AY21" s="27"/>
      <c r="AZ21" s="32"/>
      <c r="BA21" s="62"/>
    </row>
    <row r="22" spans="1:53" ht="16" thickBot="1" x14ac:dyDescent="0.25">
      <c r="A22" s="25">
        <v>15</v>
      </c>
      <c r="B22" s="26"/>
      <c r="C22" s="27"/>
      <c r="D22" s="25"/>
      <c r="E22" s="28"/>
      <c r="F22" s="27"/>
      <c r="G22" s="28"/>
      <c r="H22" s="27"/>
      <c r="I22" s="28"/>
      <c r="J22" s="27">
        <v>1.2</v>
      </c>
      <c r="K22" s="29" t="s">
        <v>35</v>
      </c>
      <c r="L22" s="39"/>
      <c r="M22" s="31"/>
      <c r="N22" s="27" t="s">
        <v>40</v>
      </c>
      <c r="P22" s="32"/>
      <c r="Q22" s="25"/>
      <c r="R22" s="27"/>
      <c r="S22" s="27"/>
      <c r="T22" s="28"/>
      <c r="U22" s="27">
        <v>1</v>
      </c>
      <c r="V22" s="27"/>
      <c r="W22" s="28">
        <v>1</v>
      </c>
      <c r="X22" s="33"/>
      <c r="Y22" s="32"/>
      <c r="Z22" s="25"/>
      <c r="AA22" s="27"/>
      <c r="AB22" s="28"/>
      <c r="AC22" s="27">
        <v>15</v>
      </c>
      <c r="AD22" s="27"/>
      <c r="AE22" s="33"/>
      <c r="AG22" s="25"/>
      <c r="AH22" s="34"/>
      <c r="AI22" s="27"/>
      <c r="AJ22" s="27"/>
      <c r="AK22" s="27"/>
      <c r="AL22" s="25"/>
      <c r="AM22" s="34"/>
      <c r="AN22" s="27"/>
      <c r="AO22" s="27"/>
      <c r="AP22" s="36"/>
      <c r="AQ22" s="37"/>
      <c r="AR22" s="46"/>
      <c r="AS22" s="131"/>
      <c r="AT22" s="132"/>
      <c r="AU22" s="133"/>
      <c r="AW22" s="25"/>
      <c r="AX22" s="27"/>
      <c r="AY22" s="27"/>
      <c r="AZ22" s="32"/>
      <c r="BA22" s="41"/>
    </row>
    <row r="23" spans="1:53" ht="16" thickBot="1" x14ac:dyDescent="0.25">
      <c r="A23" s="25">
        <v>16</v>
      </c>
      <c r="B23" s="26"/>
      <c r="C23" s="27"/>
      <c r="D23" s="25"/>
      <c r="E23" s="28"/>
      <c r="F23" s="27"/>
      <c r="G23" s="28"/>
      <c r="H23" s="27"/>
      <c r="I23" s="28"/>
      <c r="J23" s="27">
        <v>1.2</v>
      </c>
      <c r="K23" s="29" t="s">
        <v>35</v>
      </c>
      <c r="L23" s="44" t="s">
        <v>59</v>
      </c>
      <c r="M23" s="31"/>
      <c r="N23" s="27" t="s">
        <v>40</v>
      </c>
      <c r="P23" s="32"/>
      <c r="Q23" s="25"/>
      <c r="R23" s="27"/>
      <c r="S23" s="27"/>
      <c r="T23" s="28"/>
      <c r="U23" s="27">
        <v>1</v>
      </c>
      <c r="V23" s="27"/>
      <c r="W23" s="28">
        <v>1</v>
      </c>
      <c r="X23" s="63" t="s">
        <v>60</v>
      </c>
      <c r="Y23" s="46" t="s">
        <v>61</v>
      </c>
      <c r="AB23" s="28"/>
      <c r="AC23" s="27">
        <v>15</v>
      </c>
      <c r="AD23" s="27"/>
      <c r="AE23" s="33"/>
      <c r="AG23" s="25"/>
      <c r="AH23" s="34"/>
      <c r="AI23" s="27"/>
      <c r="AJ23" s="27"/>
      <c r="AK23" s="27"/>
      <c r="AL23" s="25"/>
      <c r="AM23" s="34"/>
      <c r="AN23" s="27"/>
      <c r="AO23" s="27"/>
      <c r="AP23" s="36"/>
      <c r="AQ23" s="64"/>
      <c r="AR23" s="65"/>
      <c r="AS23" s="131"/>
      <c r="AT23" s="132"/>
      <c r="AU23" s="132"/>
      <c r="AW23" s="25"/>
      <c r="AX23" s="27"/>
      <c r="AY23" s="27"/>
      <c r="AZ23" s="32"/>
      <c r="BA23" s="41"/>
    </row>
    <row r="24" spans="1:53" x14ac:dyDescent="0.2">
      <c r="A24" s="25">
        <v>17</v>
      </c>
      <c r="B24" s="26"/>
      <c r="C24" s="27"/>
      <c r="D24" s="25"/>
      <c r="E24" s="28"/>
      <c r="F24" s="27"/>
      <c r="G24" s="28"/>
      <c r="H24" s="27"/>
      <c r="I24" s="28"/>
      <c r="J24" s="27">
        <v>1.2</v>
      </c>
      <c r="K24" s="29" t="s">
        <v>35</v>
      </c>
      <c r="L24" s="39"/>
      <c r="M24" s="31"/>
      <c r="N24" s="27" t="s">
        <v>40</v>
      </c>
      <c r="P24" s="32"/>
      <c r="Q24" s="25"/>
      <c r="R24" s="27"/>
      <c r="S24" s="27"/>
      <c r="T24" s="28"/>
      <c r="U24" s="27" t="s">
        <v>55</v>
      </c>
      <c r="V24" s="27" t="s">
        <v>154</v>
      </c>
      <c r="W24" s="28" t="s">
        <v>55</v>
      </c>
      <c r="X24" s="33" t="s">
        <v>155</v>
      </c>
      <c r="Y24" s="32"/>
      <c r="Z24" s="25"/>
      <c r="AA24" s="27"/>
      <c r="AB24" s="28"/>
      <c r="AC24" s="27">
        <v>15</v>
      </c>
      <c r="AD24" s="27"/>
      <c r="AE24" s="33"/>
      <c r="AG24" s="25"/>
      <c r="AH24" s="34"/>
      <c r="AI24" s="27"/>
      <c r="AJ24" s="27"/>
      <c r="AK24" s="27"/>
      <c r="AL24" s="25"/>
      <c r="AM24" s="34"/>
      <c r="AN24" s="27"/>
      <c r="AO24" s="27"/>
      <c r="AP24" s="36"/>
      <c r="AQ24" s="37"/>
      <c r="AR24" s="32"/>
      <c r="AS24" s="131"/>
      <c r="AT24" s="132"/>
      <c r="AU24" s="132"/>
      <c r="AW24" s="25"/>
      <c r="AX24" s="27"/>
      <c r="AY24" s="27"/>
      <c r="AZ24" s="32"/>
      <c r="BA24" s="41"/>
    </row>
    <row r="25" spans="1:53" ht="16" thickBot="1" x14ac:dyDescent="0.25">
      <c r="A25" s="25">
        <v>18</v>
      </c>
      <c r="B25" s="26"/>
      <c r="C25" s="27"/>
      <c r="D25" s="25"/>
      <c r="E25" s="28"/>
      <c r="F25" s="27"/>
      <c r="G25" s="28"/>
      <c r="H25" s="27"/>
      <c r="I25" s="28"/>
      <c r="J25" s="27">
        <v>1.2</v>
      </c>
      <c r="K25" s="29" t="s">
        <v>35</v>
      </c>
      <c r="L25" s="39"/>
      <c r="M25" s="31"/>
      <c r="N25" s="27" t="s">
        <v>40</v>
      </c>
      <c r="P25" s="66"/>
      <c r="Q25" s="25"/>
      <c r="R25" s="27"/>
      <c r="S25" s="27"/>
      <c r="T25" s="28"/>
      <c r="U25" s="27">
        <v>0</v>
      </c>
      <c r="V25" s="27" t="s">
        <v>154</v>
      </c>
      <c r="W25" s="28">
        <v>0</v>
      </c>
      <c r="X25" s="33" t="s">
        <v>62</v>
      </c>
      <c r="Y25" s="32"/>
      <c r="Z25" s="25"/>
      <c r="AA25" s="27"/>
      <c r="AB25" s="28"/>
      <c r="AC25" s="27">
        <v>15</v>
      </c>
      <c r="AD25" s="27"/>
      <c r="AE25" s="33"/>
      <c r="AG25" s="25">
        <v>2.5000000000000001E-2</v>
      </c>
      <c r="AH25" s="34">
        <v>2.5000000000000001E-2</v>
      </c>
      <c r="AI25" s="27"/>
      <c r="AJ25" s="27"/>
      <c r="AK25" s="27"/>
      <c r="AL25" s="25"/>
      <c r="AM25" s="34"/>
      <c r="AN25" s="27"/>
      <c r="AO25" s="27"/>
      <c r="AP25" s="36"/>
      <c r="AQ25" s="67" t="s">
        <v>63</v>
      </c>
      <c r="AR25" s="46" t="s">
        <v>64</v>
      </c>
      <c r="AS25" s="131"/>
      <c r="AT25" s="132"/>
      <c r="AU25" s="134"/>
      <c r="AW25" s="25"/>
      <c r="AX25" s="27"/>
      <c r="AY25" s="27"/>
      <c r="AZ25" s="32"/>
      <c r="BA25" s="41"/>
    </row>
    <row r="26" spans="1:53" ht="16" thickBot="1" x14ac:dyDescent="0.25">
      <c r="A26" s="25">
        <v>19</v>
      </c>
      <c r="B26" s="26"/>
      <c r="C26" s="27"/>
      <c r="D26" s="25"/>
      <c r="E26" s="28"/>
      <c r="F26" s="27"/>
      <c r="G26" s="28"/>
      <c r="H26" s="27"/>
      <c r="I26" s="28"/>
      <c r="J26" s="27">
        <v>1.2</v>
      </c>
      <c r="K26" s="29" t="s">
        <v>35</v>
      </c>
      <c r="L26" s="39"/>
      <c r="M26" s="31"/>
      <c r="N26" s="27" t="s">
        <v>40</v>
      </c>
      <c r="P26" s="32"/>
      <c r="Q26" s="25"/>
      <c r="R26" s="27"/>
      <c r="S26" s="27"/>
      <c r="T26" s="28"/>
      <c r="U26" s="27"/>
      <c r="V26" s="27" t="s">
        <v>154</v>
      </c>
      <c r="W26" s="28"/>
      <c r="X26" s="33"/>
      <c r="Y26" s="32"/>
      <c r="Z26" s="25"/>
      <c r="AA26" s="27"/>
      <c r="AB26" s="28"/>
      <c r="AC26" s="27">
        <v>15</v>
      </c>
      <c r="AD26" s="27"/>
      <c r="AE26" s="33"/>
      <c r="AG26" s="25">
        <v>2.5000000000000001E-2</v>
      </c>
      <c r="AH26" s="34">
        <v>2.5000000000000001E-2</v>
      </c>
      <c r="AI26" s="27"/>
      <c r="AJ26" s="27"/>
      <c r="AK26" s="27"/>
      <c r="AL26" s="25"/>
      <c r="AM26" s="34"/>
      <c r="AN26" s="27"/>
      <c r="AO26" s="27"/>
      <c r="AP26" s="36"/>
      <c r="AQ26" s="68" t="s">
        <v>65</v>
      </c>
      <c r="AR26" s="32" t="s">
        <v>64</v>
      </c>
      <c r="AS26" s="131"/>
      <c r="AT26" s="132"/>
      <c r="AU26" s="132"/>
      <c r="AW26" s="25"/>
      <c r="AX26" s="27"/>
      <c r="AY26" s="27"/>
      <c r="AZ26" s="32"/>
      <c r="BA26" s="62"/>
    </row>
    <row r="27" spans="1:53" x14ac:dyDescent="0.2">
      <c r="A27" s="25">
        <v>20</v>
      </c>
      <c r="B27" s="26"/>
      <c r="C27" s="27"/>
      <c r="D27" s="25"/>
      <c r="E27" s="28"/>
      <c r="F27" s="27"/>
      <c r="G27" s="28"/>
      <c r="H27" s="27"/>
      <c r="I27" s="28"/>
      <c r="J27" s="27">
        <v>1.2</v>
      </c>
      <c r="K27" s="29" t="s">
        <v>35</v>
      </c>
      <c r="L27" s="39"/>
      <c r="M27" s="69"/>
      <c r="N27" s="27" t="s">
        <v>40</v>
      </c>
      <c r="O27" s="306" t="s">
        <v>66</v>
      </c>
      <c r="P27" s="32"/>
      <c r="Q27" s="25"/>
      <c r="R27" s="27"/>
      <c r="S27" s="27"/>
      <c r="T27" s="28"/>
      <c r="U27" s="27"/>
      <c r="V27" s="27" t="s">
        <v>154</v>
      </c>
      <c r="W27" s="28"/>
      <c r="X27" s="33"/>
      <c r="Y27" s="32"/>
      <c r="Z27" s="25"/>
      <c r="AA27" s="27"/>
      <c r="AB27" s="28"/>
      <c r="AC27" s="27">
        <v>15</v>
      </c>
      <c r="AD27" s="27"/>
      <c r="AE27" s="33"/>
      <c r="AG27" s="25"/>
      <c r="AH27" s="34"/>
      <c r="AI27" s="27"/>
      <c r="AJ27" s="27"/>
      <c r="AK27" s="27"/>
      <c r="AL27" s="25"/>
      <c r="AM27" s="34"/>
      <c r="AN27" s="27"/>
      <c r="AO27" s="27"/>
      <c r="AP27" s="36"/>
      <c r="AQ27" s="37"/>
      <c r="AR27" s="32"/>
      <c r="AS27" s="131"/>
      <c r="AT27" s="132"/>
      <c r="AU27" s="132"/>
      <c r="AW27" s="25"/>
      <c r="AX27" s="27"/>
      <c r="AY27" s="27"/>
      <c r="AZ27" s="32"/>
      <c r="BA27" s="41"/>
    </row>
    <row r="28" spans="1:53" ht="16" thickBot="1" x14ac:dyDescent="0.25">
      <c r="A28" s="70">
        <v>21</v>
      </c>
      <c r="B28" s="26"/>
      <c r="C28" s="71"/>
      <c r="D28" s="70"/>
      <c r="E28" s="72"/>
      <c r="F28" s="71"/>
      <c r="G28" s="72"/>
      <c r="H28" s="71"/>
      <c r="I28" s="72"/>
      <c r="J28" s="27">
        <v>1.2</v>
      </c>
      <c r="K28" s="29" t="s">
        <v>35</v>
      </c>
      <c r="L28" s="39"/>
      <c r="M28" s="73"/>
      <c r="N28" s="27" t="s">
        <v>40</v>
      </c>
      <c r="O28" s="307"/>
      <c r="P28" s="74"/>
      <c r="Q28" s="70"/>
      <c r="R28" s="71"/>
      <c r="S28" s="71"/>
      <c r="T28" s="72"/>
      <c r="U28" s="71"/>
      <c r="V28" s="71" t="s">
        <v>154</v>
      </c>
      <c r="W28" s="72"/>
      <c r="X28" s="33"/>
      <c r="Y28" s="75"/>
      <c r="Z28" s="70"/>
      <c r="AA28" s="71"/>
      <c r="AB28" s="72"/>
      <c r="AC28" s="27">
        <v>15</v>
      </c>
      <c r="AD28" s="71"/>
      <c r="AE28" s="33"/>
      <c r="AF28" s="76"/>
      <c r="AG28" s="70"/>
      <c r="AH28" s="77"/>
      <c r="AI28" s="71"/>
      <c r="AJ28" s="71"/>
      <c r="AK28" s="71"/>
      <c r="AL28" s="70"/>
      <c r="AM28" s="77"/>
      <c r="AN28" s="27"/>
      <c r="AO28" s="71"/>
      <c r="AP28" s="78"/>
      <c r="AQ28" s="37"/>
      <c r="AR28" s="75"/>
      <c r="AS28" s="135"/>
      <c r="AT28" s="132"/>
      <c r="AU28" s="136"/>
      <c r="AV28" s="76"/>
      <c r="AW28" s="70"/>
      <c r="AX28" s="71"/>
      <c r="AY28" s="71"/>
      <c r="AZ28" s="75"/>
      <c r="BA28" s="79"/>
    </row>
    <row r="29" spans="1:53" ht="16" thickBot="1" x14ac:dyDescent="0.25">
      <c r="A29" s="25">
        <v>22</v>
      </c>
      <c r="B29" s="26"/>
      <c r="C29" s="27"/>
      <c r="D29" s="25"/>
      <c r="E29" s="28"/>
      <c r="F29" s="27"/>
      <c r="G29" s="28"/>
      <c r="H29" s="27"/>
      <c r="I29" s="28"/>
      <c r="J29" s="27">
        <v>1.2</v>
      </c>
      <c r="K29" s="29" t="s">
        <v>35</v>
      </c>
      <c r="L29" s="39"/>
      <c r="M29" s="69"/>
      <c r="N29" s="27" t="s">
        <v>40</v>
      </c>
      <c r="O29" s="307"/>
      <c r="P29" s="46" t="s">
        <v>67</v>
      </c>
      <c r="Q29" s="43"/>
      <c r="R29" s="27"/>
      <c r="S29" s="27"/>
      <c r="T29" s="28"/>
      <c r="U29" s="27"/>
      <c r="V29" s="27" t="s">
        <v>154</v>
      </c>
      <c r="W29" s="28"/>
      <c r="X29" s="33"/>
      <c r="Y29" s="32"/>
      <c r="Z29" s="60"/>
      <c r="AA29" s="60"/>
      <c r="AB29" s="61"/>
      <c r="AC29" s="27">
        <v>15</v>
      </c>
      <c r="AD29" s="27"/>
      <c r="AE29" s="33"/>
      <c r="AG29" s="25"/>
      <c r="AH29" s="34"/>
      <c r="AI29" s="27"/>
      <c r="AJ29" s="27"/>
      <c r="AK29" s="27"/>
      <c r="AL29" s="25"/>
      <c r="AM29" s="34"/>
      <c r="AN29" s="27"/>
      <c r="AO29" s="27"/>
      <c r="AP29" s="36"/>
      <c r="AQ29" s="37"/>
      <c r="AR29" s="32"/>
      <c r="AS29" s="131"/>
      <c r="AT29" s="132"/>
      <c r="AU29" s="132"/>
      <c r="AW29" s="25"/>
      <c r="AX29" s="27"/>
      <c r="AY29" s="27"/>
      <c r="AZ29" s="32"/>
      <c r="BA29" s="80" t="s">
        <v>68</v>
      </c>
    </row>
    <row r="30" spans="1:53" ht="16" thickBot="1" x14ac:dyDescent="0.25">
      <c r="A30" s="25">
        <v>23</v>
      </c>
      <c r="B30" s="26"/>
      <c r="C30" s="27"/>
      <c r="D30" s="25"/>
      <c r="E30" s="28"/>
      <c r="F30" s="27"/>
      <c r="G30" s="28"/>
      <c r="H30" s="27"/>
      <c r="I30" s="28"/>
      <c r="J30" s="27">
        <v>1.2</v>
      </c>
      <c r="K30" s="29" t="s">
        <v>35</v>
      </c>
      <c r="L30" s="39"/>
      <c r="M30" s="31"/>
      <c r="N30" s="27" t="s">
        <v>40</v>
      </c>
      <c r="O30" s="307"/>
      <c r="P30" s="32" t="s">
        <v>69</v>
      </c>
      <c r="Q30" s="25"/>
      <c r="R30" s="27"/>
      <c r="S30" s="27"/>
      <c r="T30" s="28"/>
      <c r="U30" s="27"/>
      <c r="V30" s="27" t="s">
        <v>154</v>
      </c>
      <c r="W30" s="28"/>
      <c r="X30" s="33"/>
      <c r="Y30" s="32"/>
      <c r="Z30" s="25"/>
      <c r="AA30" s="27"/>
      <c r="AB30" s="28"/>
      <c r="AC30" s="27">
        <v>15</v>
      </c>
      <c r="AD30" s="27"/>
      <c r="AE30" s="33"/>
      <c r="AG30" s="25">
        <v>2.5000000000000001E-2</v>
      </c>
      <c r="AH30" s="34">
        <v>2.5000000000000001E-2</v>
      </c>
      <c r="AI30" s="27"/>
      <c r="AJ30" s="27"/>
      <c r="AK30" s="27"/>
      <c r="AL30" s="25"/>
      <c r="AM30" s="34"/>
      <c r="AN30" s="27"/>
      <c r="AO30" s="27"/>
      <c r="AP30" s="36"/>
      <c r="AQ30" s="37"/>
      <c r="AR30" s="32"/>
      <c r="AS30" s="131"/>
      <c r="AT30" s="132"/>
      <c r="AU30" s="133"/>
      <c r="AW30" s="25"/>
      <c r="AX30" s="27"/>
      <c r="AY30" s="27"/>
      <c r="AZ30" s="32"/>
      <c r="BA30" s="41"/>
    </row>
    <row r="31" spans="1:53" ht="16" thickBot="1" x14ac:dyDescent="0.25">
      <c r="A31" s="25">
        <v>24</v>
      </c>
      <c r="B31" s="26"/>
      <c r="C31" s="27"/>
      <c r="D31" s="25"/>
      <c r="E31" s="28"/>
      <c r="F31" s="27"/>
      <c r="G31" s="28"/>
      <c r="H31" s="27"/>
      <c r="I31" s="28"/>
      <c r="J31" s="27">
        <v>1.2</v>
      </c>
      <c r="K31" s="29" t="s">
        <v>35</v>
      </c>
      <c r="L31" s="44" t="s">
        <v>71</v>
      </c>
      <c r="M31" s="31"/>
      <c r="N31" s="27" t="s">
        <v>40</v>
      </c>
      <c r="O31" s="307"/>
      <c r="P31" s="32"/>
      <c r="Q31" s="25"/>
      <c r="R31" s="27"/>
      <c r="S31" s="27"/>
      <c r="T31" s="28"/>
      <c r="U31" s="27"/>
      <c r="V31" s="27" t="s">
        <v>154</v>
      </c>
      <c r="W31" s="28"/>
      <c r="X31" s="33"/>
      <c r="Y31" s="32"/>
      <c r="Z31" s="25"/>
      <c r="AA31" s="27"/>
      <c r="AB31" s="28"/>
      <c r="AC31" s="27">
        <v>15</v>
      </c>
      <c r="AD31" s="27"/>
      <c r="AE31" s="50"/>
      <c r="AF31" s="46"/>
      <c r="AG31" s="25"/>
      <c r="AH31" s="34"/>
      <c r="AI31" s="27"/>
      <c r="AJ31" s="27"/>
      <c r="AK31" s="27"/>
      <c r="AL31" s="25"/>
      <c r="AM31" s="34"/>
      <c r="AN31" s="27"/>
      <c r="AO31" s="27"/>
      <c r="AP31" s="36"/>
      <c r="AQ31" s="37"/>
      <c r="AR31" s="46"/>
      <c r="AS31" s="25" t="s">
        <v>72</v>
      </c>
      <c r="AT31" s="27" t="s">
        <v>52</v>
      </c>
      <c r="AU31" s="58" t="s">
        <v>73</v>
      </c>
      <c r="AW31" s="25"/>
      <c r="AX31" s="27"/>
      <c r="AY31" s="27"/>
      <c r="AZ31" s="32"/>
      <c r="BA31" s="41"/>
    </row>
    <row r="32" spans="1:53" ht="16" thickBot="1" x14ac:dyDescent="0.25">
      <c r="A32" s="25">
        <v>25</v>
      </c>
      <c r="B32" s="26"/>
      <c r="C32" s="27"/>
      <c r="D32" s="25"/>
      <c r="E32" s="28"/>
      <c r="F32" s="27"/>
      <c r="G32" s="28"/>
      <c r="H32" s="27"/>
      <c r="I32" s="28"/>
      <c r="J32" s="27">
        <v>1.2</v>
      </c>
      <c r="K32" s="29" t="s">
        <v>35</v>
      </c>
      <c r="L32" s="39"/>
      <c r="M32" s="31"/>
      <c r="N32" s="27" t="s">
        <v>40</v>
      </c>
      <c r="O32" s="307"/>
      <c r="P32" s="81" t="s">
        <v>74</v>
      </c>
      <c r="Q32" s="43"/>
      <c r="R32" s="27"/>
      <c r="S32" s="27"/>
      <c r="T32" s="28"/>
      <c r="U32" s="27"/>
      <c r="V32" s="27" t="s">
        <v>154</v>
      </c>
      <c r="W32" s="28"/>
      <c r="X32" s="33"/>
      <c r="Y32" s="32"/>
      <c r="Z32" s="27"/>
      <c r="AA32" s="27"/>
      <c r="AB32" s="28"/>
      <c r="AC32" s="27"/>
      <c r="AD32" s="27"/>
      <c r="AE32" s="33"/>
      <c r="AG32" s="25"/>
      <c r="AH32" s="34"/>
      <c r="AI32" s="27"/>
      <c r="AJ32" s="27"/>
      <c r="AK32" s="27"/>
      <c r="AL32" s="25"/>
      <c r="AM32" s="34"/>
      <c r="AN32" s="27"/>
      <c r="AO32" s="27"/>
      <c r="AP32" s="36"/>
      <c r="AQ32" s="37"/>
      <c r="AR32" s="32" t="s">
        <v>64</v>
      </c>
      <c r="AS32" s="25" t="s">
        <v>72</v>
      </c>
      <c r="AT32" s="27" t="s">
        <v>52</v>
      </c>
      <c r="AW32" s="25"/>
      <c r="AX32" s="27"/>
      <c r="AY32" s="27"/>
      <c r="AZ32" s="32"/>
      <c r="BA32" s="41"/>
    </row>
    <row r="33" spans="1:53" ht="16" thickBot="1" x14ac:dyDescent="0.25">
      <c r="A33" s="25">
        <v>26</v>
      </c>
      <c r="B33" s="26"/>
      <c r="C33" s="27"/>
      <c r="D33" s="25"/>
      <c r="E33" s="28"/>
      <c r="F33" s="27"/>
      <c r="G33" s="28"/>
      <c r="H33" s="27"/>
      <c r="I33" s="28"/>
      <c r="J33" s="27">
        <v>1.2</v>
      </c>
      <c r="K33" s="29" t="s">
        <v>35</v>
      </c>
      <c r="L33" s="39"/>
      <c r="M33" s="31"/>
      <c r="N33" s="27" t="s">
        <v>40</v>
      </c>
      <c r="O33" s="307"/>
      <c r="P33" s="32"/>
      <c r="Q33" s="25"/>
      <c r="R33" s="27"/>
      <c r="S33" s="27"/>
      <c r="T33" s="28"/>
      <c r="U33" s="27"/>
      <c r="V33" s="27" t="s">
        <v>154</v>
      </c>
      <c r="W33" s="28"/>
      <c r="X33" s="33"/>
      <c r="Y33" s="32"/>
      <c r="Z33" s="25"/>
      <c r="AA33" s="27"/>
      <c r="AB33" s="28"/>
      <c r="AC33" s="27"/>
      <c r="AD33" s="27"/>
      <c r="AE33" s="33"/>
      <c r="AG33" s="25"/>
      <c r="AH33" s="34"/>
      <c r="AI33" s="27"/>
      <c r="AJ33" s="27"/>
      <c r="AK33" s="27"/>
      <c r="AL33" s="25"/>
      <c r="AM33" s="34"/>
      <c r="AN33" s="27"/>
      <c r="AO33" s="27"/>
      <c r="AP33" s="36"/>
      <c r="AQ33" s="37"/>
      <c r="AR33" s="32" t="s">
        <v>64</v>
      </c>
      <c r="AS33" s="25" t="s">
        <v>72</v>
      </c>
      <c r="AT33" s="27" t="s">
        <v>52</v>
      </c>
      <c r="AW33" s="25"/>
      <c r="AX33" s="27"/>
      <c r="AY33" s="27"/>
      <c r="AZ33" s="32"/>
      <c r="BA33" s="41"/>
    </row>
    <row r="34" spans="1:53" ht="16" thickBot="1" x14ac:dyDescent="0.25">
      <c r="A34" s="25">
        <v>27</v>
      </c>
      <c r="B34" s="26"/>
      <c r="C34" s="27"/>
      <c r="D34" s="25"/>
      <c r="E34" s="28"/>
      <c r="F34" s="27"/>
      <c r="G34" s="28"/>
      <c r="H34" s="27"/>
      <c r="I34" s="28"/>
      <c r="J34" s="27">
        <v>1.2</v>
      </c>
      <c r="K34" s="29" t="s">
        <v>35</v>
      </c>
      <c r="L34" s="39"/>
      <c r="M34" s="31"/>
      <c r="N34" s="27" t="s">
        <v>40</v>
      </c>
      <c r="O34" s="307"/>
      <c r="P34" s="32"/>
      <c r="Q34" s="25"/>
      <c r="R34" s="27"/>
      <c r="S34" s="27"/>
      <c r="T34" s="28"/>
      <c r="U34" s="27"/>
      <c r="V34" s="27" t="s">
        <v>154</v>
      </c>
      <c r="W34" s="28"/>
      <c r="X34" s="33"/>
      <c r="Y34" s="32"/>
      <c r="Z34" s="25"/>
      <c r="AA34" s="27"/>
      <c r="AB34" s="28"/>
      <c r="AC34" s="27"/>
      <c r="AD34" s="27"/>
      <c r="AE34" s="33"/>
      <c r="AG34" s="25"/>
      <c r="AH34" s="34"/>
      <c r="AI34" s="27"/>
      <c r="AJ34" s="27"/>
      <c r="AK34" s="27"/>
      <c r="AL34" s="25"/>
      <c r="AM34" s="34"/>
      <c r="AN34" s="27"/>
      <c r="AO34" s="27"/>
      <c r="AP34" s="36"/>
      <c r="AQ34" s="82"/>
      <c r="AR34" s="32" t="s">
        <v>75</v>
      </c>
      <c r="AS34" s="25" t="s">
        <v>72</v>
      </c>
      <c r="AT34" s="27" t="s">
        <v>52</v>
      </c>
      <c r="AU34" s="27"/>
      <c r="AW34" s="25"/>
      <c r="AX34" s="27"/>
      <c r="AY34" s="27"/>
      <c r="AZ34" s="32"/>
      <c r="BA34" s="41"/>
    </row>
    <row r="35" spans="1:53" x14ac:dyDescent="0.2">
      <c r="A35" s="25">
        <v>28</v>
      </c>
      <c r="B35" s="26"/>
      <c r="C35" s="27"/>
      <c r="D35" s="25"/>
      <c r="E35" s="28"/>
      <c r="F35" s="27"/>
      <c r="G35" s="28"/>
      <c r="H35" s="27"/>
      <c r="I35" s="28"/>
      <c r="J35" s="27">
        <v>1.2</v>
      </c>
      <c r="K35" s="29" t="s">
        <v>35</v>
      </c>
      <c r="L35" s="39"/>
      <c r="M35" s="31"/>
      <c r="N35" s="27" t="s">
        <v>40</v>
      </c>
      <c r="O35" s="307"/>
      <c r="P35" s="32"/>
      <c r="Q35" s="25"/>
      <c r="R35" s="27"/>
      <c r="S35" s="27"/>
      <c r="T35" s="28"/>
      <c r="U35" s="27"/>
      <c r="V35" s="27" t="s">
        <v>154</v>
      </c>
      <c r="W35" s="28"/>
      <c r="Y35" s="32"/>
      <c r="Z35" s="25"/>
      <c r="AA35" s="27"/>
      <c r="AB35" s="28"/>
      <c r="AC35" s="27"/>
      <c r="AD35" s="27"/>
      <c r="AE35" s="33"/>
      <c r="AG35" s="25"/>
      <c r="AH35" s="34"/>
      <c r="AI35" s="27"/>
      <c r="AJ35" s="27"/>
      <c r="AK35" s="27"/>
      <c r="AL35" s="25"/>
      <c r="AM35" s="34"/>
      <c r="AN35" s="27">
        <v>2.5000000000000001E-2</v>
      </c>
      <c r="AO35" s="27"/>
      <c r="AP35" s="36"/>
      <c r="AR35" s="32" t="s">
        <v>75</v>
      </c>
      <c r="AS35" s="25" t="s">
        <v>72</v>
      </c>
      <c r="AT35" s="27" t="s">
        <v>52</v>
      </c>
      <c r="AU35" s="27"/>
      <c r="AW35" s="25"/>
      <c r="AX35" s="27"/>
      <c r="AY35" s="27"/>
      <c r="AZ35" s="32"/>
      <c r="BA35" s="41"/>
    </row>
    <row r="36" spans="1:53" ht="17.25" customHeight="1" thickBot="1" x14ac:dyDescent="0.25">
      <c r="A36" s="25">
        <v>29</v>
      </c>
      <c r="B36" s="26"/>
      <c r="C36" s="27"/>
      <c r="D36" s="25"/>
      <c r="E36" s="28"/>
      <c r="F36" s="27"/>
      <c r="G36" s="28"/>
      <c r="H36" s="27"/>
      <c r="I36" s="28"/>
      <c r="J36" s="27">
        <v>1.2</v>
      </c>
      <c r="K36" s="29" t="s">
        <v>35</v>
      </c>
      <c r="L36" s="39"/>
      <c r="M36" s="31"/>
      <c r="N36" s="27" t="s">
        <v>40</v>
      </c>
      <c r="O36" s="307"/>
      <c r="P36" s="32"/>
      <c r="Q36" s="25"/>
      <c r="R36" s="27"/>
      <c r="S36" s="27"/>
      <c r="T36" s="28"/>
      <c r="U36" s="27"/>
      <c r="V36" s="27" t="s">
        <v>154</v>
      </c>
      <c r="W36" s="28"/>
      <c r="X36" s="33"/>
      <c r="Y36" s="32"/>
      <c r="Z36" s="25"/>
      <c r="AA36" s="27"/>
      <c r="AB36" s="28"/>
      <c r="AC36" s="27"/>
      <c r="AD36" s="27"/>
      <c r="AE36" s="33"/>
      <c r="AG36" s="25"/>
      <c r="AH36" s="34"/>
      <c r="AI36" s="27"/>
      <c r="AJ36" s="27"/>
      <c r="AK36" s="27"/>
      <c r="AL36" s="25"/>
      <c r="AM36" s="34"/>
      <c r="AN36" s="27"/>
      <c r="AO36" s="27"/>
      <c r="AP36" s="36"/>
      <c r="AQ36" s="37"/>
      <c r="AR36" s="32"/>
      <c r="AS36" s="25" t="s">
        <v>72</v>
      </c>
      <c r="AT36" s="27" t="s">
        <v>52</v>
      </c>
      <c r="AU36" s="27"/>
      <c r="AW36" s="25"/>
      <c r="AX36" s="27"/>
      <c r="AY36" s="27"/>
      <c r="AZ36" s="32"/>
      <c r="BA36" s="41"/>
    </row>
    <row r="37" spans="1:53" s="87" customFormat="1" ht="16" thickBot="1" x14ac:dyDescent="0.25">
      <c r="A37" s="83">
        <v>30</v>
      </c>
      <c r="B37" s="26"/>
      <c r="C37" s="83"/>
      <c r="D37" s="83"/>
      <c r="E37" s="83"/>
      <c r="F37" s="83"/>
      <c r="G37" s="83"/>
      <c r="H37" s="83"/>
      <c r="I37" s="83"/>
      <c r="J37" s="83">
        <v>1.2</v>
      </c>
      <c r="K37" s="85" t="s">
        <v>35</v>
      </c>
      <c r="L37" s="86"/>
      <c r="M37" s="86"/>
      <c r="N37" s="83" t="s">
        <v>40</v>
      </c>
      <c r="O37" s="307"/>
      <c r="Q37" s="83"/>
      <c r="R37" s="83"/>
      <c r="S37" s="83"/>
      <c r="T37" s="83"/>
      <c r="U37" s="83"/>
      <c r="V37" s="83" t="s">
        <v>154</v>
      </c>
      <c r="W37" s="83"/>
      <c r="X37" s="83"/>
      <c r="Z37" s="83"/>
      <c r="AA37" s="83"/>
      <c r="AB37" s="83"/>
      <c r="AC37" s="83"/>
      <c r="AD37" s="83"/>
      <c r="AE37" s="83"/>
      <c r="AG37" s="83"/>
      <c r="AH37" s="83"/>
      <c r="AI37" s="83"/>
      <c r="AJ37" s="83"/>
      <c r="AK37" s="83"/>
      <c r="AL37" s="83"/>
      <c r="AM37" s="83"/>
      <c r="AN37" s="83"/>
      <c r="AO37" s="83"/>
      <c r="AP37" s="83"/>
      <c r="AS37" s="83" t="s">
        <v>72</v>
      </c>
      <c r="AT37" s="83" t="s">
        <v>52</v>
      </c>
      <c r="AU37" s="83"/>
      <c r="AW37" s="83"/>
      <c r="AX37" s="83"/>
      <c r="AY37" s="83"/>
      <c r="BA37" s="83"/>
    </row>
    <row r="38" spans="1:53" x14ac:dyDescent="0.2">
      <c r="A38" s="25">
        <v>31</v>
      </c>
      <c r="B38" s="26"/>
      <c r="C38" s="27"/>
      <c r="D38" s="25"/>
      <c r="E38" s="28"/>
      <c r="F38" s="27"/>
      <c r="G38" s="28"/>
      <c r="H38" s="27"/>
      <c r="I38" s="28"/>
      <c r="J38" s="27">
        <v>1.2</v>
      </c>
      <c r="K38" s="29" t="s">
        <v>35</v>
      </c>
      <c r="L38" s="39"/>
      <c r="M38" s="31"/>
      <c r="N38" s="27" t="s">
        <v>76</v>
      </c>
      <c r="O38" s="307"/>
      <c r="P38" s="32"/>
      <c r="Q38" s="25"/>
      <c r="R38" s="27"/>
      <c r="S38" s="27"/>
      <c r="T38" s="28"/>
      <c r="U38" s="27"/>
      <c r="V38" s="27" t="s">
        <v>154</v>
      </c>
      <c r="W38" s="28"/>
      <c r="X38" s="33"/>
      <c r="Y38" s="32"/>
      <c r="Z38" s="25"/>
      <c r="AA38" s="27"/>
      <c r="AB38" s="28"/>
      <c r="AC38" s="27"/>
      <c r="AD38" s="27"/>
      <c r="AE38" s="33"/>
      <c r="AG38" s="25"/>
      <c r="AH38" s="34"/>
      <c r="AI38" s="27"/>
      <c r="AJ38" s="27"/>
      <c r="AK38" s="27"/>
      <c r="AL38" s="25"/>
      <c r="AM38" s="34"/>
      <c r="AN38" s="27"/>
      <c r="AO38" s="27"/>
      <c r="AP38" s="36"/>
      <c r="AQ38" s="37"/>
      <c r="AR38" s="46"/>
      <c r="AS38" s="25" t="s">
        <v>72</v>
      </c>
      <c r="AT38" s="27" t="s">
        <v>52</v>
      </c>
      <c r="AU38" s="27"/>
      <c r="AW38" s="25"/>
      <c r="AX38" s="27"/>
      <c r="AY38" s="27"/>
      <c r="AZ38" s="32"/>
      <c r="BA38" s="41"/>
    </row>
    <row r="39" spans="1:53" x14ac:dyDescent="0.2">
      <c r="A39" s="25">
        <v>32</v>
      </c>
      <c r="B39" s="26"/>
      <c r="C39" s="27"/>
      <c r="D39" s="25"/>
      <c r="E39" s="28"/>
      <c r="F39" s="27"/>
      <c r="G39" s="28"/>
      <c r="H39" s="27"/>
      <c r="I39" s="28"/>
      <c r="J39" s="27">
        <v>1.2</v>
      </c>
      <c r="K39" s="29" t="s">
        <v>35</v>
      </c>
      <c r="L39" s="39"/>
      <c r="M39" s="31"/>
      <c r="N39" s="27" t="s">
        <v>76</v>
      </c>
      <c r="O39" s="307"/>
      <c r="P39" s="32"/>
      <c r="Q39" s="25"/>
      <c r="R39" s="27"/>
      <c r="S39" s="27"/>
      <c r="T39" s="28"/>
      <c r="U39" s="27"/>
      <c r="V39" s="27" t="s">
        <v>154</v>
      </c>
      <c r="W39" s="28"/>
      <c r="X39" s="33"/>
      <c r="Y39" s="32"/>
      <c r="Z39" s="25"/>
      <c r="AA39" s="27"/>
      <c r="AB39" s="28"/>
      <c r="AC39" s="27"/>
      <c r="AD39" s="27"/>
      <c r="AE39" s="33"/>
      <c r="AG39" s="25">
        <v>2.5000000000000001E-2</v>
      </c>
      <c r="AH39" s="34">
        <v>2.5000000000000001E-2</v>
      </c>
      <c r="AI39" s="27"/>
      <c r="AJ39" s="27"/>
      <c r="AK39" s="27"/>
      <c r="AL39" s="25"/>
      <c r="AM39" s="34"/>
      <c r="AN39" s="27">
        <v>2.5000000000000001E-2</v>
      </c>
      <c r="AO39" s="27">
        <v>2.5000000000000001E-2</v>
      </c>
      <c r="AP39" s="36">
        <v>2.5000000000000001E-2</v>
      </c>
      <c r="AQ39" s="37"/>
      <c r="AR39" s="32"/>
      <c r="AS39" s="25" t="s">
        <v>72</v>
      </c>
      <c r="AT39" s="27" t="s">
        <v>52</v>
      </c>
      <c r="AU39" s="27"/>
      <c r="AW39" s="25"/>
      <c r="AX39" s="27"/>
      <c r="AY39" s="27"/>
      <c r="AZ39" s="32"/>
      <c r="BA39" s="41"/>
    </row>
    <row r="40" spans="1:53" x14ac:dyDescent="0.2">
      <c r="A40" s="25">
        <v>33</v>
      </c>
      <c r="B40" s="26"/>
      <c r="C40" s="27"/>
      <c r="D40" s="25"/>
      <c r="E40" s="28"/>
      <c r="F40" s="27"/>
      <c r="G40" s="28"/>
      <c r="H40" s="27"/>
      <c r="I40" s="28"/>
      <c r="J40" s="27">
        <v>1.2</v>
      </c>
      <c r="K40" s="29" t="s">
        <v>35</v>
      </c>
      <c r="L40" s="39"/>
      <c r="M40" s="31"/>
      <c r="N40" s="27" t="s">
        <v>76</v>
      </c>
      <c r="O40" s="307"/>
      <c r="P40" s="32"/>
      <c r="Q40" s="25"/>
      <c r="R40" s="27"/>
      <c r="S40" s="27"/>
      <c r="T40" s="28"/>
      <c r="U40" s="27"/>
      <c r="V40" s="27" t="s">
        <v>154</v>
      </c>
      <c r="W40" s="28"/>
      <c r="X40" s="33"/>
      <c r="Y40" s="32"/>
      <c r="Z40" s="25"/>
      <c r="AA40" s="27"/>
      <c r="AB40" s="28"/>
      <c r="AC40" s="27"/>
      <c r="AD40" s="27"/>
      <c r="AE40" s="33"/>
      <c r="AG40" s="25">
        <v>2.5000000000000001E-2</v>
      </c>
      <c r="AH40" s="34">
        <v>2.5000000000000001E-2</v>
      </c>
      <c r="AI40" s="27"/>
      <c r="AJ40" s="27"/>
      <c r="AK40" s="27"/>
      <c r="AL40" s="25"/>
      <c r="AM40" s="34"/>
      <c r="AN40" s="27">
        <v>2.5000000000000001E-2</v>
      </c>
      <c r="AO40" s="27">
        <v>2.5000000000000001E-2</v>
      </c>
      <c r="AP40" s="36"/>
      <c r="AQ40" s="37"/>
      <c r="AR40" s="32"/>
      <c r="AS40" s="25" t="s">
        <v>72</v>
      </c>
      <c r="AT40" s="27" t="s">
        <v>52</v>
      </c>
      <c r="AW40" s="25"/>
      <c r="AX40" s="27"/>
      <c r="AY40" s="27"/>
      <c r="AZ40" s="32"/>
      <c r="BA40" s="41"/>
    </row>
    <row r="41" spans="1:53" ht="16" thickBot="1" x14ac:dyDescent="0.25">
      <c r="A41" s="25">
        <v>34</v>
      </c>
      <c r="B41" s="26"/>
      <c r="C41" s="27"/>
      <c r="D41" s="25"/>
      <c r="E41" s="28"/>
      <c r="F41" s="27"/>
      <c r="G41" s="28"/>
      <c r="H41" s="27"/>
      <c r="I41" s="28"/>
      <c r="J41" s="27">
        <v>1.2</v>
      </c>
      <c r="K41" s="29" t="s">
        <v>35</v>
      </c>
      <c r="L41" s="39"/>
      <c r="M41" s="31"/>
      <c r="N41" s="27" t="s">
        <v>76</v>
      </c>
      <c r="O41" s="307"/>
      <c r="P41" s="32"/>
      <c r="Q41" s="25"/>
      <c r="R41" s="27"/>
      <c r="S41" s="27"/>
      <c r="T41" s="28"/>
      <c r="U41" s="27"/>
      <c r="V41" s="27" t="s">
        <v>154</v>
      </c>
      <c r="W41" s="28"/>
      <c r="X41" s="33"/>
      <c r="Y41" s="32"/>
      <c r="Z41" s="25"/>
      <c r="AA41" s="27"/>
      <c r="AB41" s="28"/>
      <c r="AC41" s="27"/>
      <c r="AD41" s="27"/>
      <c r="AE41" s="33"/>
      <c r="AG41" s="25"/>
      <c r="AH41" s="34"/>
      <c r="AI41" s="27"/>
      <c r="AJ41" s="27"/>
      <c r="AK41" s="27"/>
      <c r="AL41" s="25"/>
      <c r="AM41" s="34"/>
      <c r="AN41" s="27"/>
      <c r="AO41" s="27"/>
      <c r="AP41" s="36"/>
      <c r="AQ41" s="37"/>
      <c r="AR41" s="32"/>
      <c r="AS41" s="25" t="s">
        <v>72</v>
      </c>
      <c r="AT41" s="27" t="s">
        <v>52</v>
      </c>
      <c r="AU41" s="27"/>
      <c r="AW41" s="25"/>
      <c r="AX41" s="27"/>
      <c r="AY41" s="27"/>
      <c r="AZ41" s="32"/>
      <c r="BA41" s="41"/>
    </row>
    <row r="42" spans="1:53" ht="16" thickBot="1" x14ac:dyDescent="0.25">
      <c r="A42" s="25">
        <v>35</v>
      </c>
      <c r="B42" s="26"/>
      <c r="C42" s="27"/>
      <c r="D42" s="25"/>
      <c r="E42" s="28"/>
      <c r="F42" s="27"/>
      <c r="G42" s="28"/>
      <c r="H42" s="27"/>
      <c r="I42" s="28"/>
      <c r="J42" s="27">
        <v>1.2</v>
      </c>
      <c r="K42" s="29" t="s">
        <v>35</v>
      </c>
      <c r="L42" s="39"/>
      <c r="M42" s="31"/>
      <c r="N42" s="27" t="s">
        <v>76</v>
      </c>
      <c r="O42" s="307"/>
      <c r="P42" s="32"/>
      <c r="Q42" s="25"/>
      <c r="R42" s="27"/>
      <c r="S42" s="27"/>
      <c r="T42" s="28"/>
      <c r="U42" s="27"/>
      <c r="V42" s="27" t="s">
        <v>154</v>
      </c>
      <c r="W42" s="28"/>
      <c r="X42" s="33"/>
      <c r="Y42" s="32"/>
      <c r="Z42" s="25"/>
      <c r="AA42" s="27"/>
      <c r="AB42" s="28"/>
      <c r="AC42" s="27"/>
      <c r="AD42" s="27"/>
      <c r="AE42" s="33"/>
      <c r="AG42" s="25"/>
      <c r="AH42" s="34"/>
      <c r="AI42" s="27"/>
      <c r="AJ42" s="27"/>
      <c r="AK42" s="27"/>
      <c r="AL42" s="25"/>
      <c r="AM42" s="34"/>
      <c r="AN42" s="27"/>
      <c r="AO42" s="27"/>
      <c r="AP42" s="36"/>
      <c r="AQ42" s="37"/>
      <c r="AR42" s="32"/>
      <c r="AS42" s="25" t="s">
        <v>72</v>
      </c>
      <c r="AT42" s="27" t="s">
        <v>52</v>
      </c>
      <c r="AU42" s="58" t="s">
        <v>77</v>
      </c>
      <c r="AW42" s="25"/>
      <c r="AX42" s="27"/>
      <c r="AY42" s="27"/>
      <c r="AZ42" s="32"/>
      <c r="BA42" s="41"/>
    </row>
    <row r="43" spans="1:53" ht="16" thickBot="1" x14ac:dyDescent="0.25">
      <c r="A43" s="25">
        <v>36</v>
      </c>
      <c r="B43" s="26"/>
      <c r="C43" s="27"/>
      <c r="D43" s="25"/>
      <c r="E43" s="28"/>
      <c r="F43" s="27"/>
      <c r="G43" s="28"/>
      <c r="H43" s="27"/>
      <c r="I43" s="28"/>
      <c r="J43" s="27">
        <v>1.2</v>
      </c>
      <c r="K43" s="29" t="s">
        <v>35</v>
      </c>
      <c r="L43" s="53"/>
      <c r="M43" s="31"/>
      <c r="N43" s="27" t="s">
        <v>76</v>
      </c>
      <c r="O43" s="307"/>
      <c r="P43" s="32"/>
      <c r="Q43" s="25"/>
      <c r="R43" s="27"/>
      <c r="S43" s="27"/>
      <c r="T43" s="28"/>
      <c r="U43" s="27"/>
      <c r="V43" s="27" t="s">
        <v>154</v>
      </c>
      <c r="W43" s="28"/>
      <c r="X43" s="33"/>
      <c r="Y43" s="32"/>
      <c r="Z43" s="25"/>
      <c r="AA43" s="27"/>
      <c r="AB43" s="28"/>
      <c r="AC43" s="27"/>
      <c r="AD43" s="27"/>
      <c r="AE43" s="33"/>
      <c r="AG43" s="25">
        <v>2.5000000000000001E-2</v>
      </c>
      <c r="AH43" s="34">
        <v>2.5000000000000001E-2</v>
      </c>
      <c r="AI43" s="27"/>
      <c r="AJ43" s="27"/>
      <c r="AK43" s="27"/>
      <c r="AL43" s="25"/>
      <c r="AM43" s="34"/>
      <c r="AN43" s="27">
        <v>0.25</v>
      </c>
      <c r="AO43" s="27">
        <v>2.5000000000000001E-2</v>
      </c>
      <c r="AP43" s="36"/>
      <c r="AQ43" s="37"/>
      <c r="AR43" s="32"/>
      <c r="AS43" s="25" t="s">
        <v>78</v>
      </c>
      <c r="AT43" s="27" t="s">
        <v>52</v>
      </c>
      <c r="AW43" s="25"/>
      <c r="AX43" s="27"/>
      <c r="AY43" s="27"/>
      <c r="AZ43" s="32"/>
      <c r="BA43" s="41"/>
    </row>
    <row r="44" spans="1:53" ht="16" thickBot="1" x14ac:dyDescent="0.25">
      <c r="A44" s="25">
        <v>37</v>
      </c>
      <c r="B44" s="26"/>
      <c r="C44" s="27"/>
      <c r="D44" s="25"/>
      <c r="E44" s="28"/>
      <c r="F44" s="27"/>
      <c r="G44" s="28"/>
      <c r="H44" s="27"/>
      <c r="I44" s="28"/>
      <c r="J44" s="27">
        <v>1.2</v>
      </c>
      <c r="K44" s="29" t="s">
        <v>35</v>
      </c>
      <c r="L44" s="53"/>
      <c r="M44" s="31"/>
      <c r="N44" s="27" t="s">
        <v>76</v>
      </c>
      <c r="O44" s="307"/>
      <c r="P44" s="32"/>
      <c r="Q44" s="25"/>
      <c r="R44" s="27"/>
      <c r="S44" s="27"/>
      <c r="T44" s="28"/>
      <c r="U44" s="27"/>
      <c r="V44" s="27" t="s">
        <v>154</v>
      </c>
      <c r="W44" s="28"/>
      <c r="X44" s="33"/>
      <c r="Y44" s="32"/>
      <c r="Z44" s="59"/>
      <c r="AA44" s="60"/>
      <c r="AB44" s="61"/>
      <c r="AC44" s="27"/>
      <c r="AD44" s="27"/>
      <c r="AE44" s="33"/>
      <c r="AG44" s="25"/>
      <c r="AH44" s="34"/>
      <c r="AI44" s="27"/>
      <c r="AJ44" s="27"/>
      <c r="AK44" s="27"/>
      <c r="AL44" s="25"/>
      <c r="AM44" s="34"/>
      <c r="AN44" s="27"/>
      <c r="AO44" s="27"/>
      <c r="AP44" s="36"/>
      <c r="AQ44" s="37"/>
      <c r="AR44" s="32"/>
      <c r="AS44" s="25" t="s">
        <v>78</v>
      </c>
      <c r="AT44" s="27" t="s">
        <v>52</v>
      </c>
      <c r="AU44" s="27"/>
      <c r="AW44" s="25"/>
      <c r="AX44" s="27"/>
      <c r="AY44" s="27"/>
      <c r="AZ44" s="32"/>
      <c r="BA44" s="41"/>
    </row>
    <row r="45" spans="1:53" x14ac:dyDescent="0.2">
      <c r="A45" s="25">
        <v>38</v>
      </c>
      <c r="B45" s="26"/>
      <c r="C45" s="27"/>
      <c r="D45" s="25"/>
      <c r="E45" s="28"/>
      <c r="F45" s="27"/>
      <c r="G45" s="28"/>
      <c r="H45" s="27"/>
      <c r="I45" s="28"/>
      <c r="J45" s="27">
        <v>1.2</v>
      </c>
      <c r="K45" s="29" t="s">
        <v>35</v>
      </c>
      <c r="L45" s="39"/>
      <c r="M45" s="31"/>
      <c r="N45" s="27" t="s">
        <v>76</v>
      </c>
      <c r="O45" s="307"/>
      <c r="P45" s="32"/>
      <c r="Q45" s="25"/>
      <c r="R45" s="27"/>
      <c r="S45" s="27"/>
      <c r="T45" s="28"/>
      <c r="U45" s="27"/>
      <c r="V45" s="27" t="s">
        <v>154</v>
      </c>
      <c r="W45" s="28"/>
      <c r="X45" s="33"/>
      <c r="Y45" s="32"/>
      <c r="Z45" s="25"/>
      <c r="AA45" s="27"/>
      <c r="AB45" s="28"/>
      <c r="AC45" s="27"/>
      <c r="AD45" s="27"/>
      <c r="AE45" s="33"/>
      <c r="AG45" s="25">
        <v>0.05</v>
      </c>
      <c r="AH45" s="34">
        <v>0.05</v>
      </c>
      <c r="AI45" s="27"/>
      <c r="AJ45" s="27"/>
      <c r="AK45" s="27"/>
      <c r="AL45" s="25"/>
      <c r="AM45" s="34"/>
      <c r="AN45" s="27">
        <v>0.05</v>
      </c>
      <c r="AO45" s="27">
        <v>0.05</v>
      </c>
      <c r="AP45" s="36">
        <v>0.05</v>
      </c>
      <c r="AQ45" s="37"/>
      <c r="AR45" s="32"/>
      <c r="AS45" s="25" t="s">
        <v>78</v>
      </c>
      <c r="AT45" s="27" t="s">
        <v>52</v>
      </c>
      <c r="AU45" s="27"/>
      <c r="AW45" s="25"/>
      <c r="AX45" s="27"/>
      <c r="AY45" s="27"/>
      <c r="AZ45" s="32"/>
      <c r="BA45" s="41"/>
    </row>
    <row r="46" spans="1:53" ht="16" thickBot="1" x14ac:dyDescent="0.25">
      <c r="A46" s="25">
        <v>39</v>
      </c>
      <c r="B46" s="26"/>
      <c r="C46" s="27"/>
      <c r="D46" s="25"/>
      <c r="E46" s="28"/>
      <c r="F46" s="27"/>
      <c r="G46" s="28"/>
      <c r="H46" s="27"/>
      <c r="I46" s="28"/>
      <c r="J46" s="27">
        <v>1.2</v>
      </c>
      <c r="K46" s="29" t="s">
        <v>35</v>
      </c>
      <c r="M46" s="31"/>
      <c r="N46" s="27" t="s">
        <v>76</v>
      </c>
      <c r="O46" s="307"/>
      <c r="P46" s="32"/>
      <c r="Q46" s="25"/>
      <c r="R46" s="27"/>
      <c r="S46" s="27"/>
      <c r="T46" s="28"/>
      <c r="U46" s="27"/>
      <c r="V46" s="27" t="s">
        <v>154</v>
      </c>
      <c r="W46" s="28"/>
      <c r="X46" s="33"/>
      <c r="Y46" s="32"/>
      <c r="Z46" s="25"/>
      <c r="AA46" s="27"/>
      <c r="AB46" s="28"/>
      <c r="AC46" s="27"/>
      <c r="AD46" s="27"/>
      <c r="AE46" s="33"/>
      <c r="AG46" s="25">
        <v>0.05</v>
      </c>
      <c r="AH46" s="34">
        <v>0.05</v>
      </c>
      <c r="AI46" s="27"/>
      <c r="AJ46" s="27"/>
      <c r="AK46" s="27"/>
      <c r="AL46" s="25"/>
      <c r="AM46" s="34"/>
      <c r="AN46" s="27">
        <v>0.05</v>
      </c>
      <c r="AO46" s="27">
        <v>0.05</v>
      </c>
      <c r="AP46" s="36">
        <v>0.05</v>
      </c>
      <c r="AQ46" s="37"/>
      <c r="AR46" s="32"/>
      <c r="AS46" s="25" t="s">
        <v>78</v>
      </c>
      <c r="AT46" s="27" t="s">
        <v>52</v>
      </c>
      <c r="AU46" s="27"/>
      <c r="AW46" s="25"/>
      <c r="AX46" s="27"/>
      <c r="AY46" s="27"/>
      <c r="AZ46" s="32"/>
      <c r="BA46" s="41"/>
    </row>
    <row r="47" spans="1:53" ht="16" thickBot="1" x14ac:dyDescent="0.25">
      <c r="A47" s="25">
        <v>40</v>
      </c>
      <c r="B47" s="26"/>
      <c r="C47" s="27"/>
      <c r="D47" s="25"/>
      <c r="E47" s="28"/>
      <c r="F47" s="27"/>
      <c r="G47" s="28"/>
      <c r="H47" s="27"/>
      <c r="I47" s="28"/>
      <c r="J47" s="27">
        <v>1.2</v>
      </c>
      <c r="K47" s="29" t="s">
        <v>35</v>
      </c>
      <c r="L47" s="53"/>
      <c r="M47" s="31"/>
      <c r="N47" s="27" t="s">
        <v>76</v>
      </c>
      <c r="O47" s="308"/>
      <c r="Q47" s="25"/>
      <c r="R47" s="27"/>
      <c r="S47" s="27"/>
      <c r="T47" s="28"/>
      <c r="U47" s="27"/>
      <c r="V47" s="27" t="s">
        <v>154</v>
      </c>
      <c r="W47" s="28"/>
      <c r="X47" s="33"/>
      <c r="Y47" s="32"/>
      <c r="Z47" s="59"/>
      <c r="AA47" s="60"/>
      <c r="AB47" s="61"/>
      <c r="AC47" s="27"/>
      <c r="AD47" s="27"/>
      <c r="AE47" s="33"/>
      <c r="AG47" s="25">
        <v>0.05</v>
      </c>
      <c r="AH47" s="34">
        <v>0.05</v>
      </c>
      <c r="AI47" s="27"/>
      <c r="AJ47" s="27"/>
      <c r="AK47" s="27"/>
      <c r="AL47" s="25"/>
      <c r="AM47" s="34"/>
      <c r="AN47" s="27">
        <v>0.05</v>
      </c>
      <c r="AO47" s="27">
        <v>0.05</v>
      </c>
      <c r="AP47" s="36">
        <v>0.05</v>
      </c>
      <c r="AQ47" s="37"/>
      <c r="AR47" s="32"/>
      <c r="AS47" s="25" t="s">
        <v>79</v>
      </c>
      <c r="AT47" s="27" t="s">
        <v>52</v>
      </c>
      <c r="AU47" s="58" t="s">
        <v>80</v>
      </c>
      <c r="AW47" s="25"/>
      <c r="AX47" s="27"/>
      <c r="AY47" s="27"/>
      <c r="AZ47" s="32"/>
      <c r="BA47" s="41"/>
    </row>
    <row r="48" spans="1:53" x14ac:dyDescent="0.2">
      <c r="A48" s="25">
        <v>41</v>
      </c>
      <c r="B48" s="26"/>
      <c r="C48" s="27"/>
      <c r="D48" s="25"/>
      <c r="E48" s="28"/>
      <c r="F48" s="27"/>
      <c r="G48" s="28"/>
      <c r="H48" s="27"/>
      <c r="I48" s="28"/>
      <c r="J48" s="27">
        <v>1.2</v>
      </c>
      <c r="K48" s="29" t="s">
        <v>35</v>
      </c>
      <c r="M48" s="31"/>
      <c r="N48" s="27" t="s">
        <v>76</v>
      </c>
      <c r="P48" s="32"/>
      <c r="Q48" s="25"/>
      <c r="R48" s="27"/>
      <c r="S48" s="27"/>
      <c r="T48" s="28"/>
      <c r="U48" s="27"/>
      <c r="V48" s="27" t="s">
        <v>154</v>
      </c>
      <c r="W48" s="28"/>
      <c r="X48" s="33"/>
      <c r="Y48" s="32"/>
      <c r="Z48" s="25"/>
      <c r="AA48" s="27"/>
      <c r="AB48" s="28"/>
      <c r="AC48" s="27"/>
      <c r="AD48" s="27"/>
      <c r="AE48" s="33"/>
      <c r="AG48" s="25">
        <v>0.05</v>
      </c>
      <c r="AH48" s="34">
        <v>0.05</v>
      </c>
      <c r="AI48" s="27"/>
      <c r="AJ48" s="27"/>
      <c r="AK48" s="27"/>
      <c r="AL48" s="25"/>
      <c r="AM48" s="34"/>
      <c r="AN48" s="27">
        <v>0.05</v>
      </c>
      <c r="AO48" s="27">
        <v>0.05</v>
      </c>
      <c r="AP48" s="36">
        <v>0.05</v>
      </c>
      <c r="AQ48" s="37"/>
      <c r="AR48" s="32"/>
      <c r="AS48" s="25" t="s">
        <v>79</v>
      </c>
      <c r="AT48" s="27" t="s">
        <v>52</v>
      </c>
      <c r="AU48" s="27"/>
      <c r="AW48" s="25"/>
      <c r="AX48" s="27"/>
      <c r="AY48" s="27"/>
      <c r="AZ48" s="32"/>
      <c r="BA48" s="41"/>
    </row>
    <row r="49" spans="1:53" x14ac:dyDescent="0.2">
      <c r="A49" s="25">
        <v>42</v>
      </c>
      <c r="B49" s="26"/>
      <c r="C49" s="27"/>
      <c r="D49" s="25"/>
      <c r="E49" s="28"/>
      <c r="F49" s="27"/>
      <c r="G49" s="28"/>
      <c r="H49" s="27"/>
      <c r="I49" s="28"/>
      <c r="J49" s="27">
        <v>1.2</v>
      </c>
      <c r="K49" s="29" t="s">
        <v>35</v>
      </c>
      <c r="L49" s="39"/>
      <c r="M49" s="31"/>
      <c r="N49" s="27" t="s">
        <v>76</v>
      </c>
      <c r="P49" s="32"/>
      <c r="Q49" s="25"/>
      <c r="R49" s="27"/>
      <c r="S49" s="27"/>
      <c r="T49" s="28"/>
      <c r="U49" s="27"/>
      <c r="V49" s="27" t="s">
        <v>154</v>
      </c>
      <c r="W49" s="28"/>
      <c r="X49" s="33"/>
      <c r="Y49" s="32"/>
      <c r="Z49" s="25"/>
      <c r="AA49" s="27"/>
      <c r="AB49" s="28"/>
      <c r="AC49" s="27"/>
      <c r="AD49" s="27"/>
      <c r="AE49" s="33"/>
      <c r="AG49" s="25">
        <v>0.05</v>
      </c>
      <c r="AH49" s="34">
        <v>0.05</v>
      </c>
      <c r="AI49" s="27"/>
      <c r="AJ49" s="27"/>
      <c r="AK49" s="27"/>
      <c r="AL49" s="25"/>
      <c r="AM49" s="34"/>
      <c r="AN49" s="27">
        <v>0.05</v>
      </c>
      <c r="AO49" s="27">
        <v>0.05</v>
      </c>
      <c r="AP49" s="36">
        <v>0.05</v>
      </c>
      <c r="AQ49" s="37"/>
      <c r="AR49" s="32"/>
      <c r="AS49" s="25" t="s">
        <v>79</v>
      </c>
      <c r="AT49" s="27" t="s">
        <v>52</v>
      </c>
      <c r="AU49" s="27"/>
      <c r="AW49" s="25"/>
      <c r="AX49" s="27"/>
      <c r="AY49" s="27"/>
      <c r="AZ49" s="32"/>
      <c r="BA49" s="41"/>
    </row>
    <row r="50" spans="1:53" ht="16" thickBot="1" x14ac:dyDescent="0.25">
      <c r="A50" s="25">
        <v>43</v>
      </c>
      <c r="B50" s="26"/>
      <c r="C50" s="27"/>
      <c r="D50" s="25"/>
      <c r="E50" s="28"/>
      <c r="F50" s="27"/>
      <c r="G50" s="28"/>
      <c r="H50" s="27"/>
      <c r="I50" s="28"/>
      <c r="J50" s="27">
        <v>1.2</v>
      </c>
      <c r="K50" s="29" t="s">
        <v>35</v>
      </c>
      <c r="L50" s="39"/>
      <c r="M50" s="31"/>
      <c r="N50" s="27" t="s">
        <v>76</v>
      </c>
      <c r="P50" s="32"/>
      <c r="Q50" s="25"/>
      <c r="R50" s="27"/>
      <c r="S50" s="27"/>
      <c r="T50" s="28"/>
      <c r="U50" s="27"/>
      <c r="V50" s="27" t="s">
        <v>154</v>
      </c>
      <c r="W50" s="28"/>
      <c r="X50" s="33"/>
      <c r="Y50" s="32"/>
      <c r="Z50" s="25"/>
      <c r="AA50" s="27"/>
      <c r="AB50" s="28"/>
      <c r="AC50" s="27"/>
      <c r="AD50" s="27"/>
      <c r="AE50" s="33"/>
      <c r="AG50" s="25">
        <v>0.05</v>
      </c>
      <c r="AH50" s="34">
        <v>0.05</v>
      </c>
      <c r="AI50" s="27"/>
      <c r="AJ50" s="27"/>
      <c r="AK50" s="27"/>
      <c r="AL50" s="25"/>
      <c r="AM50" s="34"/>
      <c r="AN50" s="27">
        <v>0.05</v>
      </c>
      <c r="AO50" s="27">
        <v>0.05</v>
      </c>
      <c r="AP50" s="36">
        <v>0.05</v>
      </c>
      <c r="AQ50" s="37"/>
      <c r="AR50" s="32"/>
      <c r="AS50" s="25" t="s">
        <v>79</v>
      </c>
      <c r="AT50" s="27" t="s">
        <v>52</v>
      </c>
      <c r="AU50" s="27"/>
      <c r="AW50" s="25"/>
      <c r="AX50" s="27"/>
      <c r="AY50" s="27"/>
      <c r="AZ50" s="32"/>
      <c r="BA50" s="41"/>
    </row>
    <row r="51" spans="1:53" ht="16" thickBot="1" x14ac:dyDescent="0.25">
      <c r="A51" s="25">
        <v>44</v>
      </c>
      <c r="B51" s="26"/>
      <c r="C51" s="27"/>
      <c r="D51" s="25"/>
      <c r="E51" s="28"/>
      <c r="F51" s="27"/>
      <c r="G51" s="28"/>
      <c r="H51" s="27"/>
      <c r="I51" s="28"/>
      <c r="J51" s="27">
        <v>1.2</v>
      </c>
      <c r="K51" s="29" t="s">
        <v>35</v>
      </c>
      <c r="L51" s="39"/>
      <c r="M51" s="31"/>
      <c r="N51" s="27" t="s">
        <v>76</v>
      </c>
      <c r="P51" s="32"/>
      <c r="Q51" s="27"/>
      <c r="R51" s="27"/>
      <c r="S51" s="27"/>
      <c r="T51" s="28"/>
      <c r="U51" s="27"/>
      <c r="V51" s="27" t="s">
        <v>154</v>
      </c>
      <c r="W51" s="28"/>
      <c r="X51" s="33"/>
      <c r="Y51" s="32"/>
      <c r="Z51" s="59"/>
      <c r="AA51" s="60"/>
      <c r="AB51" s="61"/>
      <c r="AC51" s="27"/>
      <c r="AD51" s="27"/>
      <c r="AE51" s="33"/>
      <c r="AG51" s="25">
        <v>0.05</v>
      </c>
      <c r="AH51" s="34">
        <v>0.05</v>
      </c>
      <c r="AI51" s="27"/>
      <c r="AJ51" s="27"/>
      <c r="AK51" s="27"/>
      <c r="AL51" s="25"/>
      <c r="AM51" s="34"/>
      <c r="AN51" s="27">
        <v>0.05</v>
      </c>
      <c r="AO51" s="27">
        <v>0.05</v>
      </c>
      <c r="AP51" s="36">
        <v>0.05</v>
      </c>
      <c r="AQ51" s="37"/>
      <c r="AR51" s="32"/>
      <c r="AS51" s="25" t="s">
        <v>79</v>
      </c>
      <c r="AT51" s="27" t="s">
        <v>52</v>
      </c>
      <c r="AU51" s="58" t="s">
        <v>81</v>
      </c>
      <c r="AW51" s="25"/>
      <c r="AX51" s="27"/>
      <c r="AY51" s="27"/>
      <c r="AZ51" s="32"/>
      <c r="BA51" s="41"/>
    </row>
    <row r="52" spans="1:53" x14ac:dyDescent="0.2">
      <c r="A52" s="25">
        <v>45</v>
      </c>
      <c r="B52" s="26"/>
      <c r="C52" s="27"/>
      <c r="D52" s="25"/>
      <c r="E52" s="28"/>
      <c r="F52" s="27"/>
      <c r="G52" s="28"/>
      <c r="H52" s="27"/>
      <c r="I52" s="28"/>
      <c r="J52" s="27">
        <v>1.2</v>
      </c>
      <c r="K52" s="29" t="s">
        <v>35</v>
      </c>
      <c r="L52" s="39"/>
      <c r="M52" s="31"/>
      <c r="N52" s="27" t="s">
        <v>76</v>
      </c>
      <c r="P52" s="32"/>
      <c r="Q52" s="25"/>
      <c r="R52" s="27"/>
      <c r="S52" s="27"/>
      <c r="T52" s="28"/>
      <c r="U52" s="27"/>
      <c r="V52" s="27" t="s">
        <v>154</v>
      </c>
      <c r="W52" s="28"/>
      <c r="X52" s="33"/>
      <c r="Y52" s="32"/>
      <c r="Z52" s="25"/>
      <c r="AA52" s="27"/>
      <c r="AB52" s="28"/>
      <c r="AC52" s="27"/>
      <c r="AD52" s="27"/>
      <c r="AE52" s="33"/>
      <c r="AG52" s="25">
        <v>0.05</v>
      </c>
      <c r="AH52" s="34">
        <v>0.05</v>
      </c>
      <c r="AI52" s="27"/>
      <c r="AJ52" s="27"/>
      <c r="AK52" s="27"/>
      <c r="AL52" s="25"/>
      <c r="AM52" s="34"/>
      <c r="AN52" s="27">
        <v>0.05</v>
      </c>
      <c r="AO52" s="27">
        <v>0.05</v>
      </c>
      <c r="AP52" s="36">
        <v>0.05</v>
      </c>
      <c r="AQ52" s="37"/>
      <c r="AR52" s="32"/>
      <c r="AS52" s="25" t="s">
        <v>82</v>
      </c>
      <c r="AT52" s="27" t="s">
        <v>52</v>
      </c>
      <c r="AW52" s="25"/>
      <c r="AX52" s="27"/>
      <c r="AY52" s="27"/>
      <c r="AZ52" s="32"/>
      <c r="BA52" s="41"/>
    </row>
    <row r="53" spans="1:53" x14ac:dyDescent="0.2">
      <c r="A53" s="25">
        <v>46</v>
      </c>
      <c r="B53" s="26"/>
      <c r="C53" s="27"/>
      <c r="D53" s="25"/>
      <c r="E53" s="28"/>
      <c r="F53" s="27"/>
      <c r="G53" s="28"/>
      <c r="H53" s="27"/>
      <c r="I53" s="28"/>
      <c r="J53" s="27">
        <v>1.2</v>
      </c>
      <c r="K53" s="29" t="s">
        <v>35</v>
      </c>
      <c r="L53" s="39"/>
      <c r="M53" s="31"/>
      <c r="N53" s="27" t="s">
        <v>76</v>
      </c>
      <c r="P53" s="32"/>
      <c r="Q53" s="25"/>
      <c r="R53" s="27"/>
      <c r="S53" s="27"/>
      <c r="T53" s="28"/>
      <c r="U53" s="27"/>
      <c r="V53" s="27" t="s">
        <v>154</v>
      </c>
      <c r="W53" s="28"/>
      <c r="X53" s="33"/>
      <c r="Y53" s="32"/>
      <c r="Z53" s="25"/>
      <c r="AA53" s="27"/>
      <c r="AB53" s="28"/>
      <c r="AC53" s="27"/>
      <c r="AD53" s="27"/>
      <c r="AE53" s="33"/>
      <c r="AG53" s="25">
        <v>0.05</v>
      </c>
      <c r="AH53" s="34">
        <v>0.05</v>
      </c>
      <c r="AI53" s="27"/>
      <c r="AJ53" s="27"/>
      <c r="AK53" s="27"/>
      <c r="AL53" s="25"/>
      <c r="AM53" s="34"/>
      <c r="AN53" s="27">
        <v>0.05</v>
      </c>
      <c r="AO53" s="27">
        <v>0.05</v>
      </c>
      <c r="AP53" s="36">
        <v>0.05</v>
      </c>
      <c r="AQ53" s="37"/>
      <c r="AR53" s="32"/>
      <c r="AS53" s="25" t="s">
        <v>82</v>
      </c>
      <c r="AT53" s="27" t="s">
        <v>52</v>
      </c>
      <c r="AU53" s="27"/>
      <c r="AW53" s="25"/>
      <c r="AX53" s="27"/>
      <c r="AY53" s="27"/>
      <c r="AZ53" s="32"/>
      <c r="BA53" s="41"/>
    </row>
    <row r="54" spans="1:53" x14ac:dyDescent="0.2">
      <c r="A54" s="25">
        <v>47</v>
      </c>
      <c r="B54" s="26"/>
      <c r="C54" s="27"/>
      <c r="D54" s="25"/>
      <c r="E54" s="28"/>
      <c r="F54" s="27"/>
      <c r="G54" s="28"/>
      <c r="H54" s="27"/>
      <c r="I54" s="28"/>
      <c r="J54" s="27">
        <v>1.2</v>
      </c>
      <c r="K54" s="29" t="s">
        <v>35</v>
      </c>
      <c r="L54" s="39"/>
      <c r="M54" s="31"/>
      <c r="N54" s="27" t="s">
        <v>76</v>
      </c>
      <c r="P54" s="32"/>
      <c r="Q54" s="25"/>
      <c r="R54" s="27"/>
      <c r="S54" s="27"/>
      <c r="T54" s="28"/>
      <c r="U54" s="27"/>
      <c r="V54" s="27" t="s">
        <v>154</v>
      </c>
      <c r="W54" s="28"/>
      <c r="X54" s="33"/>
      <c r="Y54" s="32"/>
      <c r="Z54" s="25"/>
      <c r="AA54" s="27"/>
      <c r="AB54" s="28"/>
      <c r="AC54" s="27"/>
      <c r="AD54" s="27"/>
      <c r="AE54" s="33"/>
      <c r="AG54" s="25">
        <v>0.05</v>
      </c>
      <c r="AH54" s="34">
        <v>0.05</v>
      </c>
      <c r="AI54" s="27"/>
      <c r="AJ54" s="27"/>
      <c r="AK54" s="27"/>
      <c r="AL54" s="25"/>
      <c r="AM54" s="34"/>
      <c r="AN54" s="27">
        <v>0.05</v>
      </c>
      <c r="AO54" s="27">
        <v>0.05</v>
      </c>
      <c r="AP54" s="36">
        <v>0.05</v>
      </c>
      <c r="AQ54" s="37"/>
      <c r="AR54" s="32"/>
      <c r="AS54" s="25" t="s">
        <v>82</v>
      </c>
      <c r="AT54" s="27" t="s">
        <v>52</v>
      </c>
      <c r="AU54" s="27"/>
      <c r="AW54" s="25"/>
      <c r="AX54" s="27"/>
      <c r="AY54" s="27"/>
      <c r="AZ54" s="32"/>
      <c r="BA54" s="41"/>
    </row>
    <row r="55" spans="1:53" x14ac:dyDescent="0.2">
      <c r="A55" s="25">
        <v>48</v>
      </c>
      <c r="B55" s="26"/>
      <c r="C55" s="27"/>
      <c r="D55" s="25"/>
      <c r="E55" s="28"/>
      <c r="F55" s="27"/>
      <c r="G55" s="28"/>
      <c r="H55" s="27"/>
      <c r="I55" s="28"/>
      <c r="J55" s="27">
        <v>1.2</v>
      </c>
      <c r="K55" s="29" t="s">
        <v>35</v>
      </c>
      <c r="M55" s="31"/>
      <c r="N55" s="27" t="s">
        <v>76</v>
      </c>
      <c r="P55" s="32"/>
      <c r="Q55" s="25"/>
      <c r="R55" s="27"/>
      <c r="S55" s="27"/>
      <c r="T55" s="28"/>
      <c r="U55" s="27"/>
      <c r="V55" s="27" t="s">
        <v>154</v>
      </c>
      <c r="W55" s="28"/>
      <c r="X55" s="33"/>
      <c r="Y55" s="32"/>
      <c r="Z55" s="25"/>
      <c r="AA55" s="27"/>
      <c r="AB55" s="28"/>
      <c r="AC55" s="27"/>
      <c r="AD55" s="27"/>
      <c r="AE55" s="33"/>
      <c r="AG55" s="25">
        <v>0.05</v>
      </c>
      <c r="AH55" s="34">
        <v>0.05</v>
      </c>
      <c r="AI55" s="27"/>
      <c r="AJ55" s="27"/>
      <c r="AK55" s="27"/>
      <c r="AL55" s="25"/>
      <c r="AM55" s="34"/>
      <c r="AN55" s="27">
        <v>0.05</v>
      </c>
      <c r="AO55" s="27">
        <v>0.05</v>
      </c>
      <c r="AP55" s="36">
        <v>0.05</v>
      </c>
      <c r="AQ55" s="37"/>
      <c r="AR55" s="32"/>
      <c r="AS55" s="25" t="s">
        <v>82</v>
      </c>
      <c r="AT55" s="27" t="s">
        <v>52</v>
      </c>
      <c r="AU55" s="27"/>
      <c r="AW55" s="25"/>
      <c r="AX55" s="27"/>
      <c r="AY55" s="27"/>
      <c r="AZ55" s="32"/>
      <c r="BA55" s="41"/>
    </row>
    <row r="56" spans="1:53" ht="16" thickBot="1" x14ac:dyDescent="0.25">
      <c r="A56" s="25">
        <v>49</v>
      </c>
      <c r="B56" s="26"/>
      <c r="C56" s="27"/>
      <c r="D56" s="25"/>
      <c r="E56" s="28"/>
      <c r="F56" s="27"/>
      <c r="G56" s="28"/>
      <c r="H56" s="27"/>
      <c r="I56" s="28"/>
      <c r="J56" s="27">
        <v>1.2</v>
      </c>
      <c r="K56" s="29" t="s">
        <v>35</v>
      </c>
      <c r="L56" s="39"/>
      <c r="M56" s="31"/>
      <c r="N56" s="27" t="s">
        <v>76</v>
      </c>
      <c r="P56" s="32"/>
      <c r="Q56" s="25"/>
      <c r="R56" s="27"/>
      <c r="S56" s="27"/>
      <c r="T56" s="28"/>
      <c r="U56" s="27"/>
      <c r="V56" s="27" t="s">
        <v>154</v>
      </c>
      <c r="W56" s="28"/>
      <c r="X56" s="33"/>
      <c r="Y56" s="32"/>
      <c r="Z56" s="25"/>
      <c r="AA56" s="27"/>
      <c r="AB56" s="28"/>
      <c r="AC56" s="27"/>
      <c r="AD56" s="27"/>
      <c r="AE56" s="33"/>
      <c r="AG56" s="25">
        <v>0.05</v>
      </c>
      <c r="AH56" s="34">
        <v>0.05</v>
      </c>
      <c r="AI56" s="27"/>
      <c r="AJ56" s="27"/>
      <c r="AK56" s="27"/>
      <c r="AL56" s="25"/>
      <c r="AM56" s="34"/>
      <c r="AN56" s="27">
        <v>0.05</v>
      </c>
      <c r="AO56" s="27">
        <v>0.05</v>
      </c>
      <c r="AP56" s="36">
        <v>0.05</v>
      </c>
      <c r="AQ56" s="37"/>
      <c r="AR56" s="32"/>
      <c r="AS56" s="25" t="s">
        <v>82</v>
      </c>
      <c r="AT56" s="27" t="s">
        <v>52</v>
      </c>
      <c r="AU56" s="27"/>
      <c r="AW56" s="25"/>
      <c r="AX56" s="27"/>
      <c r="AY56" s="27"/>
      <c r="AZ56" s="32"/>
      <c r="BA56" s="41"/>
    </row>
    <row r="57" spans="1:53" ht="16" thickBot="1" x14ac:dyDescent="0.25">
      <c r="A57" s="25">
        <v>50</v>
      </c>
      <c r="B57" s="26"/>
      <c r="C57" s="27"/>
      <c r="D57" s="25"/>
      <c r="E57" s="28"/>
      <c r="F57" s="27"/>
      <c r="G57" s="28"/>
      <c r="H57" s="27"/>
      <c r="I57" s="28"/>
      <c r="J57" s="27">
        <v>1.2</v>
      </c>
      <c r="K57" s="29" t="s">
        <v>35</v>
      </c>
      <c r="L57" s="44" t="s">
        <v>83</v>
      </c>
      <c r="M57" s="31"/>
      <c r="N57" s="27" t="s">
        <v>76</v>
      </c>
      <c r="O57" s="45" t="s">
        <v>84</v>
      </c>
      <c r="P57" s="46" t="s">
        <v>85</v>
      </c>
      <c r="Q57" s="25"/>
      <c r="R57" s="27"/>
      <c r="S57" s="27"/>
      <c r="T57" s="28"/>
      <c r="U57" s="27"/>
      <c r="V57" s="27" t="s">
        <v>154</v>
      </c>
      <c r="W57" s="28"/>
      <c r="X57" s="33"/>
      <c r="Y57" s="32"/>
      <c r="Z57" s="25"/>
      <c r="AA57" s="27"/>
      <c r="AB57" s="28"/>
      <c r="AC57" s="27"/>
      <c r="AD57" s="27"/>
      <c r="AE57" s="33"/>
      <c r="AG57" s="25">
        <v>0.05</v>
      </c>
      <c r="AH57" s="34">
        <v>0.05</v>
      </c>
      <c r="AI57" s="27"/>
      <c r="AJ57" s="27"/>
      <c r="AK57" s="27"/>
      <c r="AL57" s="25"/>
      <c r="AM57" s="34"/>
      <c r="AN57" s="27">
        <v>0.05</v>
      </c>
      <c r="AO57" s="27">
        <v>0.05</v>
      </c>
      <c r="AP57" s="36">
        <v>0.05</v>
      </c>
      <c r="AQ57" s="37"/>
      <c r="AR57" s="32"/>
      <c r="AS57" s="25" t="s">
        <v>86</v>
      </c>
      <c r="AT57" s="27" t="s">
        <v>87</v>
      </c>
      <c r="AU57" s="58" t="s">
        <v>88</v>
      </c>
      <c r="AW57" s="25"/>
      <c r="AX57" s="27"/>
      <c r="AY57" s="27"/>
      <c r="AZ57" s="32"/>
      <c r="BA57" s="41"/>
    </row>
    <row r="58" spans="1:53" ht="16" thickBot="1" x14ac:dyDescent="0.25">
      <c r="A58" s="25">
        <v>51</v>
      </c>
      <c r="B58" s="26"/>
      <c r="C58" s="27"/>
      <c r="D58" s="25"/>
      <c r="E58" s="28"/>
      <c r="F58" s="27"/>
      <c r="G58" s="28"/>
      <c r="H58" s="27"/>
      <c r="I58" s="28"/>
      <c r="J58" s="27">
        <v>2</v>
      </c>
      <c r="K58" s="29" t="s">
        <v>35</v>
      </c>
      <c r="L58" s="88" t="s">
        <v>89</v>
      </c>
      <c r="M58" s="31"/>
      <c r="N58" s="27"/>
      <c r="P58" s="46"/>
      <c r="Q58" s="27"/>
      <c r="R58" s="27"/>
      <c r="S58" s="27"/>
      <c r="T58" s="28"/>
      <c r="U58" s="27"/>
      <c r="V58" s="27" t="s">
        <v>154</v>
      </c>
      <c r="W58" s="28"/>
      <c r="X58" s="33"/>
      <c r="Y58" s="32"/>
      <c r="Z58" s="25"/>
      <c r="AA58" s="27"/>
      <c r="AB58" s="28"/>
      <c r="AC58" s="27"/>
      <c r="AD58" s="27"/>
      <c r="AE58" s="33"/>
      <c r="AG58" s="25"/>
      <c r="AH58" s="34"/>
      <c r="AI58" s="27"/>
      <c r="AJ58" s="27"/>
      <c r="AK58" s="27"/>
      <c r="AL58" s="25"/>
      <c r="AM58" s="34"/>
      <c r="AN58" s="27"/>
      <c r="AO58" s="27"/>
      <c r="AP58" s="36"/>
      <c r="AQ58" s="37"/>
      <c r="AR58" s="32"/>
      <c r="AS58" s="25" t="s">
        <v>86</v>
      </c>
      <c r="AT58" s="27" t="s">
        <v>87</v>
      </c>
      <c r="AU58" s="27"/>
      <c r="AW58" s="25"/>
      <c r="AX58" s="27"/>
      <c r="AY58" s="27"/>
      <c r="AZ58" s="32"/>
      <c r="BA58" s="41"/>
    </row>
    <row r="59" spans="1:53" ht="16" thickBot="1" x14ac:dyDescent="0.25">
      <c r="A59" s="25">
        <v>52</v>
      </c>
      <c r="B59" s="26"/>
      <c r="C59" s="27"/>
      <c r="D59" s="25"/>
      <c r="E59" s="28"/>
      <c r="F59" s="27"/>
      <c r="G59" s="28"/>
      <c r="H59" s="27"/>
      <c r="I59" s="28"/>
      <c r="J59" s="27">
        <v>2</v>
      </c>
      <c r="K59" s="29" t="s">
        <v>35</v>
      </c>
      <c r="L59" s="39"/>
      <c r="M59" s="31"/>
      <c r="N59" s="27"/>
      <c r="P59" s="32"/>
      <c r="Q59" s="25"/>
      <c r="R59" s="27"/>
      <c r="S59" s="27"/>
      <c r="T59" s="28"/>
      <c r="U59" s="27"/>
      <c r="V59" s="27" t="s">
        <v>154</v>
      </c>
      <c r="W59" s="28"/>
      <c r="X59" s="33"/>
      <c r="Y59" s="32"/>
      <c r="Z59" s="25"/>
      <c r="AA59" s="27"/>
      <c r="AB59" s="28"/>
      <c r="AC59" s="27"/>
      <c r="AD59" s="27"/>
      <c r="AE59" s="33"/>
      <c r="AG59" s="25">
        <v>0.05</v>
      </c>
      <c r="AH59" s="34">
        <v>0.05</v>
      </c>
      <c r="AI59" s="27"/>
      <c r="AJ59" s="27"/>
      <c r="AK59" s="27"/>
      <c r="AL59" s="25"/>
      <c r="AM59" s="34"/>
      <c r="AN59" s="27">
        <v>0.05</v>
      </c>
      <c r="AO59" s="27">
        <v>0.05</v>
      </c>
      <c r="AP59" s="36">
        <v>0.05</v>
      </c>
      <c r="AQ59" s="37"/>
      <c r="AR59" s="32"/>
      <c r="AS59" s="25" t="s">
        <v>86</v>
      </c>
      <c r="AT59" s="27" t="s">
        <v>87</v>
      </c>
      <c r="AW59" s="25"/>
      <c r="AX59" s="27"/>
      <c r="AY59" s="27"/>
      <c r="AZ59" s="32"/>
      <c r="BA59" s="41"/>
    </row>
    <row r="60" spans="1:53" ht="16" thickBot="1" x14ac:dyDescent="0.25">
      <c r="A60" s="25">
        <v>53</v>
      </c>
      <c r="B60" s="26"/>
      <c r="C60" s="27"/>
      <c r="D60" s="25"/>
      <c r="E60" s="28"/>
      <c r="F60" s="27"/>
      <c r="G60" s="28"/>
      <c r="H60" s="27"/>
      <c r="I60" s="28"/>
      <c r="J60" s="27">
        <v>2</v>
      </c>
      <c r="K60" s="29" t="s">
        <v>35</v>
      </c>
      <c r="L60" s="39"/>
      <c r="M60" s="31"/>
      <c r="N60" s="27"/>
      <c r="P60" s="32"/>
      <c r="Q60" s="25"/>
      <c r="R60" s="27"/>
      <c r="S60" s="27"/>
      <c r="T60" s="28"/>
      <c r="U60" s="27"/>
      <c r="V60" s="27" t="s">
        <v>154</v>
      </c>
      <c r="W60" s="28"/>
      <c r="X60" s="33"/>
      <c r="Y60" s="32"/>
      <c r="Z60" s="25"/>
      <c r="AA60" s="27"/>
      <c r="AB60" s="28"/>
      <c r="AC60" s="27"/>
      <c r="AD60" s="27"/>
      <c r="AE60" s="33"/>
      <c r="AG60" s="25">
        <v>0.05</v>
      </c>
      <c r="AH60" s="34">
        <v>0.05</v>
      </c>
      <c r="AI60" s="27"/>
      <c r="AJ60" s="27"/>
      <c r="AK60" s="27"/>
      <c r="AL60" s="25"/>
      <c r="AM60" s="34"/>
      <c r="AN60" s="27">
        <v>0.05</v>
      </c>
      <c r="AO60" s="27">
        <v>0.05</v>
      </c>
      <c r="AP60" s="36">
        <v>0.1</v>
      </c>
      <c r="AQ60" s="37"/>
      <c r="AR60" s="32"/>
      <c r="AS60" s="25" t="s">
        <v>86</v>
      </c>
      <c r="AT60" s="27" t="s">
        <v>87</v>
      </c>
      <c r="AU60" s="27"/>
      <c r="AW60" s="25" t="s">
        <v>90</v>
      </c>
      <c r="AX60" s="27" t="s">
        <v>91</v>
      </c>
      <c r="AY60" s="89" t="s">
        <v>92</v>
      </c>
      <c r="AZ60" s="32"/>
      <c r="BA60" s="41"/>
    </row>
    <row r="61" spans="1:53" ht="16" thickBot="1" x14ac:dyDescent="0.25">
      <c r="A61" s="25">
        <v>54</v>
      </c>
      <c r="B61" s="26"/>
      <c r="C61" s="27"/>
      <c r="D61" s="25"/>
      <c r="E61" s="28"/>
      <c r="F61" s="27"/>
      <c r="G61" s="28"/>
      <c r="H61" s="27"/>
      <c r="I61" s="28"/>
      <c r="J61" s="27">
        <v>2</v>
      </c>
      <c r="K61" s="29" t="s">
        <v>35</v>
      </c>
      <c r="L61" s="39"/>
      <c r="M61" s="31"/>
      <c r="N61" s="27"/>
      <c r="P61" s="32"/>
      <c r="Q61" s="25"/>
      <c r="R61" s="27"/>
      <c r="S61" s="27"/>
      <c r="T61" s="28"/>
      <c r="U61" s="27"/>
      <c r="V61" s="27" t="s">
        <v>154</v>
      </c>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U61" s="27"/>
      <c r="AW61" s="25" t="s">
        <v>90</v>
      </c>
      <c r="AX61" s="27" t="s">
        <v>91</v>
      </c>
      <c r="AY61" s="27"/>
      <c r="AZ61" s="32"/>
      <c r="BA61" s="41"/>
    </row>
    <row r="62" spans="1:53" ht="16" thickBot="1" x14ac:dyDescent="0.25">
      <c r="A62" s="25">
        <v>55</v>
      </c>
      <c r="B62" s="26"/>
      <c r="C62" s="27"/>
      <c r="D62" s="25"/>
      <c r="E62" s="28"/>
      <c r="F62" s="27"/>
      <c r="G62" s="28"/>
      <c r="H62" s="27"/>
      <c r="I62" s="28"/>
      <c r="J62" s="27">
        <v>2</v>
      </c>
      <c r="K62" s="29" t="s">
        <v>35</v>
      </c>
      <c r="L62" s="39"/>
      <c r="M62" s="31"/>
      <c r="N62" s="27"/>
      <c r="P62" s="32"/>
      <c r="Q62" s="25"/>
      <c r="R62" s="27"/>
      <c r="S62" s="27"/>
      <c r="T62" s="28"/>
      <c r="U62" s="27"/>
      <c r="V62" s="27" t="s">
        <v>154</v>
      </c>
      <c r="W62" s="28"/>
      <c r="X62" s="33"/>
      <c r="Y62" s="32"/>
      <c r="Z62" s="25"/>
      <c r="AA62" s="27"/>
      <c r="AB62" s="28"/>
      <c r="AC62" s="27"/>
      <c r="AD62" s="27"/>
      <c r="AE62" s="33"/>
      <c r="AG62" s="25"/>
      <c r="AH62" s="34"/>
      <c r="AI62" s="27"/>
      <c r="AJ62" s="27"/>
      <c r="AK62" s="27"/>
      <c r="AL62" s="25"/>
      <c r="AM62" s="34"/>
      <c r="AN62" s="27"/>
      <c r="AO62" s="27"/>
      <c r="AP62" s="36"/>
      <c r="AQ62" s="82" t="s">
        <v>93</v>
      </c>
      <c r="AR62" s="32"/>
      <c r="AS62" s="25" t="s">
        <v>86</v>
      </c>
      <c r="AT62" s="27" t="s">
        <v>87</v>
      </c>
      <c r="AW62" s="25" t="s">
        <v>90</v>
      </c>
      <c r="AX62" s="27" t="s">
        <v>91</v>
      </c>
      <c r="AY62" s="27"/>
      <c r="AZ62" s="32"/>
      <c r="BA62" s="41"/>
    </row>
    <row r="63" spans="1:53" x14ac:dyDescent="0.2">
      <c r="A63" s="25">
        <v>56</v>
      </c>
      <c r="B63" s="26"/>
      <c r="C63" s="27"/>
      <c r="D63" s="25"/>
      <c r="E63" s="28"/>
      <c r="F63" s="27"/>
      <c r="G63" s="28"/>
      <c r="H63" s="27"/>
      <c r="I63" s="28"/>
      <c r="J63" s="27">
        <v>2</v>
      </c>
      <c r="K63" s="29" t="s">
        <v>35</v>
      </c>
      <c r="L63" s="39"/>
      <c r="M63" s="31"/>
      <c r="N63" s="27"/>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c r="AO63" s="27"/>
      <c r="AP63" s="36"/>
      <c r="AQ63" s="37"/>
      <c r="AR63" s="32"/>
      <c r="AS63" s="25" t="s">
        <v>86</v>
      </c>
      <c r="AT63" s="27" t="s">
        <v>87</v>
      </c>
      <c r="AU63" s="27"/>
      <c r="AW63" s="25" t="s">
        <v>90</v>
      </c>
      <c r="AX63" s="27" t="s">
        <v>91</v>
      </c>
      <c r="AY63" s="27"/>
      <c r="AZ63" s="32"/>
      <c r="BA63" s="41"/>
    </row>
    <row r="64" spans="1:53" ht="16" thickBot="1" x14ac:dyDescent="0.25">
      <c r="A64" s="25">
        <v>57</v>
      </c>
      <c r="B64" s="26"/>
      <c r="C64" s="27"/>
      <c r="D64" s="25"/>
      <c r="E64" s="28"/>
      <c r="F64" s="27"/>
      <c r="G64" s="28"/>
      <c r="H64" s="27"/>
      <c r="I64" s="28"/>
      <c r="J64" s="27">
        <v>2</v>
      </c>
      <c r="K64" s="29" t="s">
        <v>35</v>
      </c>
      <c r="L64" s="39"/>
      <c r="M64" s="31"/>
      <c r="N64" s="27"/>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c r="AO64" s="27"/>
      <c r="AP64" s="36"/>
      <c r="AQ64" s="37"/>
      <c r="AR64" s="32"/>
      <c r="AS64" s="25" t="s">
        <v>86</v>
      </c>
      <c r="AT64" s="27" t="s">
        <v>87</v>
      </c>
      <c r="AU64" s="27"/>
      <c r="AW64" s="25" t="s">
        <v>90</v>
      </c>
      <c r="AX64" s="27" t="s">
        <v>91</v>
      </c>
      <c r="AY64" s="27"/>
      <c r="AZ64" s="32"/>
      <c r="BA64" s="41"/>
    </row>
    <row r="65" spans="1:53" ht="16" thickBot="1" x14ac:dyDescent="0.25">
      <c r="A65" s="25">
        <v>58</v>
      </c>
      <c r="B65" s="26"/>
      <c r="C65" s="27"/>
      <c r="D65" s="25"/>
      <c r="E65" s="28"/>
      <c r="F65" s="27"/>
      <c r="G65" s="28"/>
      <c r="H65" s="27"/>
      <c r="I65" s="28"/>
      <c r="J65" s="27">
        <v>2</v>
      </c>
      <c r="K65" s="29" t="s">
        <v>35</v>
      </c>
      <c r="L65" s="39"/>
      <c r="M65" s="31"/>
      <c r="N65" s="27"/>
      <c r="P65" s="32"/>
      <c r="Q65" s="25"/>
      <c r="R65" s="27"/>
      <c r="S65" s="27"/>
      <c r="T65" s="28"/>
      <c r="U65" s="27"/>
      <c r="V65" s="27" t="s">
        <v>154</v>
      </c>
      <c r="W65" s="28"/>
      <c r="X65" s="33"/>
      <c r="Y65" s="32"/>
      <c r="Z65" s="25"/>
      <c r="AA65" s="27"/>
      <c r="AB65" s="28"/>
      <c r="AC65" s="27"/>
      <c r="AD65" s="27"/>
      <c r="AE65" s="33"/>
      <c r="AG65" s="25">
        <v>0.05</v>
      </c>
      <c r="AH65" s="34">
        <v>0.05</v>
      </c>
      <c r="AI65" s="27"/>
      <c r="AJ65" s="27"/>
      <c r="AK65" s="27"/>
      <c r="AL65" s="25"/>
      <c r="AM65" s="34"/>
      <c r="AN65" s="27">
        <v>0.05</v>
      </c>
      <c r="AO65" s="27">
        <v>0.05</v>
      </c>
      <c r="AP65" s="36">
        <v>0.05</v>
      </c>
      <c r="AQ65" s="37"/>
      <c r="AR65" s="32"/>
      <c r="AS65" s="25" t="s">
        <v>86</v>
      </c>
      <c r="AT65" s="27" t="s">
        <v>87</v>
      </c>
      <c r="AU65" s="27"/>
      <c r="AW65" s="25" t="s">
        <v>90</v>
      </c>
      <c r="AX65" s="27" t="s">
        <v>91</v>
      </c>
      <c r="AY65" s="89" t="s">
        <v>94</v>
      </c>
      <c r="AZ65" s="32"/>
      <c r="BA65" s="41"/>
    </row>
    <row r="66" spans="1:53" ht="16" thickBot="1" x14ac:dyDescent="0.25">
      <c r="A66" s="25">
        <v>59</v>
      </c>
      <c r="B66" s="26"/>
      <c r="C66" s="27"/>
      <c r="D66" s="25"/>
      <c r="E66" s="28"/>
      <c r="F66" s="27"/>
      <c r="G66" s="28"/>
      <c r="H66" s="27"/>
      <c r="I66" s="28"/>
      <c r="J66" s="27">
        <v>2</v>
      </c>
      <c r="K66" s="29" t="s">
        <v>35</v>
      </c>
      <c r="L66" s="39"/>
      <c r="M66" s="31"/>
      <c r="N66" s="27"/>
      <c r="P66" s="32"/>
      <c r="Q66" s="25"/>
      <c r="R66" s="27"/>
      <c r="S66" s="27"/>
      <c r="T66" s="28"/>
      <c r="U66" s="27"/>
      <c r="V66" s="27" t="s">
        <v>154</v>
      </c>
      <c r="W66" s="28"/>
      <c r="X66" s="33"/>
      <c r="Y66" s="32"/>
      <c r="Z66" s="25"/>
      <c r="AA66" s="27"/>
      <c r="AB66" s="28"/>
      <c r="AC66" s="27"/>
      <c r="AD66" s="27"/>
      <c r="AE66" s="33"/>
      <c r="AG66" s="25">
        <v>0.05</v>
      </c>
      <c r="AH66" s="34">
        <v>0.05</v>
      </c>
      <c r="AI66" s="27"/>
      <c r="AJ66" s="27"/>
      <c r="AK66" s="27"/>
      <c r="AL66" s="25"/>
      <c r="AM66" s="34"/>
      <c r="AN66" s="27">
        <v>0.1</v>
      </c>
      <c r="AO66" s="27">
        <v>0.1</v>
      </c>
      <c r="AP66" s="36">
        <v>0.1</v>
      </c>
      <c r="AQ66" s="37"/>
      <c r="AR66" s="32"/>
      <c r="AS66" s="25" t="s">
        <v>86</v>
      </c>
      <c r="AT66" s="27" t="s">
        <v>87</v>
      </c>
      <c r="AU66" s="27"/>
      <c r="AW66" s="25" t="s">
        <v>90</v>
      </c>
      <c r="AX66" s="27" t="s">
        <v>95</v>
      </c>
      <c r="AY66" s="27"/>
      <c r="AZ66" s="32"/>
      <c r="BA66" s="41"/>
    </row>
    <row r="67" spans="1:53" ht="16" thickBot="1" x14ac:dyDescent="0.25">
      <c r="A67" s="25">
        <v>60</v>
      </c>
      <c r="B67" s="26"/>
      <c r="C67" s="27"/>
      <c r="D67" s="25"/>
      <c r="E67" s="28"/>
      <c r="F67" s="27"/>
      <c r="G67" s="28"/>
      <c r="H67" s="27"/>
      <c r="I67" s="28"/>
      <c r="J67" s="27">
        <v>2</v>
      </c>
      <c r="K67" s="29" t="s">
        <v>35</v>
      </c>
      <c r="L67" s="39"/>
      <c r="M67" s="31"/>
      <c r="N67" s="27"/>
      <c r="P67" s="32"/>
      <c r="Q67" s="25"/>
      <c r="R67" s="27"/>
      <c r="S67" s="27"/>
      <c r="T67" s="28"/>
      <c r="U67" s="27"/>
      <c r="V67" s="27" t="s">
        <v>154</v>
      </c>
      <c r="W67" s="28"/>
      <c r="X67" s="33"/>
      <c r="Y67" s="32"/>
      <c r="Z67" s="25"/>
      <c r="AA67" s="27"/>
      <c r="AB67" s="28"/>
      <c r="AC67" s="27"/>
      <c r="AD67" s="27"/>
      <c r="AE67" s="33"/>
      <c r="AG67" s="25">
        <v>0.05</v>
      </c>
      <c r="AH67" s="34">
        <v>0.05</v>
      </c>
      <c r="AI67" s="27"/>
      <c r="AJ67" s="27"/>
      <c r="AK67" s="27"/>
      <c r="AL67" s="25"/>
      <c r="AM67" s="34"/>
      <c r="AN67" s="27">
        <v>0.1</v>
      </c>
      <c r="AO67" s="27">
        <v>0.1</v>
      </c>
      <c r="AP67" s="36">
        <v>0.1</v>
      </c>
      <c r="AQ67" s="37"/>
      <c r="AR67" s="32"/>
      <c r="AS67" s="25" t="s">
        <v>96</v>
      </c>
      <c r="AT67" s="27" t="s">
        <v>87</v>
      </c>
      <c r="AU67" s="58" t="s">
        <v>97</v>
      </c>
      <c r="AW67" s="25" t="s">
        <v>90</v>
      </c>
      <c r="AX67" s="27" t="s">
        <v>95</v>
      </c>
      <c r="AY67" s="27"/>
      <c r="AZ67" s="32"/>
      <c r="BA67" s="41"/>
    </row>
    <row r="68" spans="1:53" x14ac:dyDescent="0.2">
      <c r="A68" s="25">
        <v>61</v>
      </c>
      <c r="B68" s="26"/>
      <c r="C68" s="27"/>
      <c r="D68" s="25"/>
      <c r="E68" s="28"/>
      <c r="F68" s="27"/>
      <c r="G68" s="28"/>
      <c r="H68" s="27"/>
      <c r="I68" s="28"/>
      <c r="J68" s="27">
        <v>2</v>
      </c>
      <c r="K68" s="29" t="s">
        <v>35</v>
      </c>
      <c r="L68" s="39"/>
      <c r="M68" s="31"/>
      <c r="N68" s="27"/>
      <c r="P68" s="32"/>
      <c r="Q68" s="25"/>
      <c r="R68" s="27"/>
      <c r="S68" s="27"/>
      <c r="T68" s="28"/>
      <c r="U68" s="27"/>
      <c r="V68" s="27" t="s">
        <v>154</v>
      </c>
      <c r="W68" s="28"/>
      <c r="X68" s="33"/>
      <c r="Y68" s="32"/>
      <c r="Z68" s="25"/>
      <c r="AA68" s="27"/>
      <c r="AB68" s="28"/>
      <c r="AC68" s="27"/>
      <c r="AD68" s="27"/>
      <c r="AE68" s="33"/>
      <c r="AG68" s="25">
        <v>0.05</v>
      </c>
      <c r="AH68" s="34">
        <v>0.05</v>
      </c>
      <c r="AI68" s="27"/>
      <c r="AJ68" s="27"/>
      <c r="AK68" s="27"/>
      <c r="AL68" s="25"/>
      <c r="AM68" s="34"/>
      <c r="AN68" s="27">
        <v>0.1</v>
      </c>
      <c r="AO68" s="27">
        <v>0.1</v>
      </c>
      <c r="AP68" s="36">
        <v>0.1</v>
      </c>
      <c r="AQ68" s="37"/>
      <c r="AR68" s="32"/>
      <c r="AS68" s="25" t="s">
        <v>96</v>
      </c>
      <c r="AT68" s="27" t="s">
        <v>87</v>
      </c>
      <c r="AU68" s="27"/>
      <c r="AW68" s="25" t="s">
        <v>90</v>
      </c>
      <c r="AX68" s="27" t="s">
        <v>95</v>
      </c>
      <c r="AY68" s="27"/>
      <c r="AZ68" s="32"/>
      <c r="BA68" s="41"/>
    </row>
    <row r="69" spans="1:53" x14ac:dyDescent="0.2">
      <c r="A69" s="25">
        <v>62</v>
      </c>
      <c r="B69" s="26"/>
      <c r="C69" s="27"/>
      <c r="D69" s="25"/>
      <c r="E69" s="28"/>
      <c r="F69" s="27"/>
      <c r="G69" s="28"/>
      <c r="H69" s="27"/>
      <c r="I69" s="28"/>
      <c r="J69" s="27">
        <v>2</v>
      </c>
      <c r="K69" s="29" t="s">
        <v>35</v>
      </c>
      <c r="L69" s="39"/>
      <c r="M69" s="31"/>
      <c r="N69" s="27"/>
      <c r="P69" s="32"/>
      <c r="Q69" s="25"/>
      <c r="R69" s="27"/>
      <c r="S69" s="27"/>
      <c r="T69" s="28"/>
      <c r="U69" s="27"/>
      <c r="V69" s="27" t="s">
        <v>154</v>
      </c>
      <c r="W69" s="28"/>
      <c r="X69" s="33"/>
      <c r="Y69" s="32"/>
      <c r="Z69" s="25"/>
      <c r="AA69" s="27"/>
      <c r="AB69" s="28"/>
      <c r="AC69" s="27"/>
      <c r="AD69" s="27"/>
      <c r="AE69" s="33"/>
      <c r="AG69" s="25">
        <v>0.05</v>
      </c>
      <c r="AH69" s="34">
        <v>0.05</v>
      </c>
      <c r="AI69" s="27"/>
      <c r="AJ69" s="27"/>
      <c r="AK69" s="27"/>
      <c r="AL69" s="25"/>
      <c r="AM69" s="34"/>
      <c r="AN69" s="27">
        <v>0.1</v>
      </c>
      <c r="AO69" s="27">
        <v>0.1</v>
      </c>
      <c r="AP69" s="36">
        <v>0.1</v>
      </c>
      <c r="AQ69" s="37"/>
      <c r="AR69" s="32"/>
      <c r="AS69" s="25" t="s">
        <v>96</v>
      </c>
      <c r="AT69" s="27" t="s">
        <v>87</v>
      </c>
      <c r="AU69" s="27"/>
      <c r="AW69" s="25" t="s">
        <v>90</v>
      </c>
      <c r="AX69" s="27" t="s">
        <v>95</v>
      </c>
      <c r="AY69" s="27"/>
      <c r="AZ69" s="32"/>
      <c r="BA69" s="41"/>
    </row>
    <row r="70" spans="1:53" x14ac:dyDescent="0.2">
      <c r="A70" s="25">
        <v>63</v>
      </c>
      <c r="B70" s="26"/>
      <c r="C70" s="27"/>
      <c r="D70" s="25"/>
      <c r="E70" s="28"/>
      <c r="F70" s="27"/>
      <c r="G70" s="28"/>
      <c r="H70" s="27"/>
      <c r="I70" s="28"/>
      <c r="J70" s="27">
        <v>2</v>
      </c>
      <c r="K70" s="29" t="s">
        <v>35</v>
      </c>
      <c r="L70" s="39"/>
      <c r="M70" s="31"/>
      <c r="N70" s="27"/>
      <c r="P70" s="32"/>
      <c r="Q70" s="25"/>
      <c r="R70" s="27"/>
      <c r="S70" s="27"/>
      <c r="T70" s="28"/>
      <c r="U70" s="27"/>
      <c r="V70" s="27" t="s">
        <v>154</v>
      </c>
      <c r="W70" s="28"/>
      <c r="X70" s="33"/>
      <c r="Y70" s="32"/>
      <c r="Z70" s="25"/>
      <c r="AA70" s="27"/>
      <c r="AB70" s="28"/>
      <c r="AC70" s="27"/>
      <c r="AD70" s="27"/>
      <c r="AE70" s="33"/>
      <c r="AG70" s="25">
        <v>0.05</v>
      </c>
      <c r="AH70" s="34">
        <v>0.05</v>
      </c>
      <c r="AI70" s="27"/>
      <c r="AJ70" s="27"/>
      <c r="AK70" s="27"/>
      <c r="AL70" s="25"/>
      <c r="AM70" s="34"/>
      <c r="AN70" s="27">
        <v>0.1</v>
      </c>
      <c r="AO70" s="27">
        <v>0.1</v>
      </c>
      <c r="AP70" s="36">
        <v>0.1</v>
      </c>
      <c r="AQ70" s="37"/>
      <c r="AR70" s="32"/>
      <c r="AS70" s="25" t="s">
        <v>96</v>
      </c>
      <c r="AT70" s="27" t="s">
        <v>87</v>
      </c>
      <c r="AU70" s="27"/>
      <c r="AW70" s="25" t="s">
        <v>90</v>
      </c>
      <c r="AX70" s="27" t="s">
        <v>95</v>
      </c>
      <c r="AY70" s="27"/>
      <c r="AZ70" s="32"/>
      <c r="BA70" s="41"/>
    </row>
    <row r="71" spans="1:53" x14ac:dyDescent="0.2">
      <c r="A71" s="25">
        <v>64</v>
      </c>
      <c r="B71" s="26"/>
      <c r="C71" s="27"/>
      <c r="D71" s="25"/>
      <c r="E71" s="28"/>
      <c r="F71" s="27"/>
      <c r="G71" s="28"/>
      <c r="H71" s="27"/>
      <c r="I71" s="28"/>
      <c r="J71" s="27">
        <v>2</v>
      </c>
      <c r="K71" s="29" t="s">
        <v>35</v>
      </c>
      <c r="L71" s="39"/>
      <c r="M71" s="31"/>
      <c r="N71" s="27"/>
      <c r="P71" s="32"/>
      <c r="Q71" s="25"/>
      <c r="R71" s="27"/>
      <c r="S71" s="27"/>
      <c r="T71" s="28"/>
      <c r="U71" s="27"/>
      <c r="V71" s="27" t="s">
        <v>154</v>
      </c>
      <c r="W71" s="28"/>
      <c r="X71" s="33"/>
      <c r="Y71" s="32"/>
      <c r="Z71" s="25"/>
      <c r="AA71" s="27"/>
      <c r="AB71" s="28"/>
      <c r="AC71" s="27"/>
      <c r="AD71" s="27"/>
      <c r="AE71" s="33"/>
      <c r="AG71" s="25">
        <v>0.05</v>
      </c>
      <c r="AH71" s="34">
        <v>0.05</v>
      </c>
      <c r="AI71" s="27"/>
      <c r="AJ71" s="27"/>
      <c r="AK71" s="27"/>
      <c r="AL71" s="25"/>
      <c r="AM71" s="34"/>
      <c r="AN71" s="27">
        <v>0.1</v>
      </c>
      <c r="AO71" s="27">
        <v>0.1</v>
      </c>
      <c r="AP71" s="36">
        <v>0.1</v>
      </c>
      <c r="AQ71" s="37"/>
      <c r="AR71" s="32"/>
      <c r="AS71" s="25" t="s">
        <v>96</v>
      </c>
      <c r="AT71" s="27" t="s">
        <v>87</v>
      </c>
      <c r="AU71" s="27"/>
      <c r="AW71" s="25" t="s">
        <v>90</v>
      </c>
      <c r="AX71" s="27" t="s">
        <v>95</v>
      </c>
      <c r="AY71" s="27"/>
      <c r="AZ71" s="32"/>
      <c r="BA71" s="41"/>
    </row>
    <row r="72" spans="1:53" x14ac:dyDescent="0.2">
      <c r="A72" s="25">
        <v>65</v>
      </c>
      <c r="B72" s="26"/>
      <c r="C72" s="27"/>
      <c r="D72" s="25"/>
      <c r="E72" s="28"/>
      <c r="F72" s="27"/>
      <c r="G72" s="28"/>
      <c r="H72" s="27"/>
      <c r="I72" s="28"/>
      <c r="J72" s="27">
        <v>2</v>
      </c>
      <c r="K72" s="29" t="s">
        <v>35</v>
      </c>
      <c r="L72" s="39"/>
      <c r="M72" s="31"/>
      <c r="N72" s="27"/>
      <c r="P72" s="32"/>
      <c r="Q72" s="25"/>
      <c r="R72" s="27"/>
      <c r="S72" s="27"/>
      <c r="T72" s="28"/>
      <c r="U72" s="27"/>
      <c r="V72" s="27" t="s">
        <v>154</v>
      </c>
      <c r="W72" s="28"/>
      <c r="X72" s="33"/>
      <c r="Y72" s="32"/>
      <c r="Z72" s="25"/>
      <c r="AA72" s="27"/>
      <c r="AB72" s="28"/>
      <c r="AC72" s="27"/>
      <c r="AD72" s="27"/>
      <c r="AE72" s="33"/>
      <c r="AG72" s="25">
        <v>0.05</v>
      </c>
      <c r="AH72" s="34">
        <v>0.05</v>
      </c>
      <c r="AI72" s="27"/>
      <c r="AJ72" s="27"/>
      <c r="AK72" s="27"/>
      <c r="AL72" s="25"/>
      <c r="AM72" s="34"/>
      <c r="AN72" s="27">
        <v>0.1</v>
      </c>
      <c r="AO72" s="27">
        <v>0.1</v>
      </c>
      <c r="AP72" s="36">
        <v>0.1</v>
      </c>
      <c r="AQ72" s="37"/>
      <c r="AR72" s="32"/>
      <c r="AS72" s="25" t="s">
        <v>96</v>
      </c>
      <c r="AT72" s="27" t="s">
        <v>87</v>
      </c>
      <c r="AU72" s="27"/>
      <c r="AW72" s="25" t="s">
        <v>90</v>
      </c>
      <c r="AX72" s="27" t="s">
        <v>95</v>
      </c>
      <c r="AY72" s="27"/>
      <c r="AZ72" s="32"/>
      <c r="BA72" s="41"/>
    </row>
    <row r="73" spans="1:53" x14ac:dyDescent="0.2">
      <c r="A73" s="25">
        <v>66</v>
      </c>
      <c r="B73" s="26"/>
      <c r="C73" s="27"/>
      <c r="D73" s="25"/>
      <c r="E73" s="28"/>
      <c r="F73" s="27"/>
      <c r="G73" s="28"/>
      <c r="H73" s="27"/>
      <c r="I73" s="28"/>
      <c r="J73" s="27">
        <v>2</v>
      </c>
      <c r="K73" s="29" t="s">
        <v>35</v>
      </c>
      <c r="L73" s="39"/>
      <c r="M73" s="31"/>
      <c r="N73" s="27"/>
      <c r="P73" s="32"/>
      <c r="Q73" s="25"/>
      <c r="R73" s="27"/>
      <c r="S73" s="27"/>
      <c r="T73" s="28"/>
      <c r="U73" s="27"/>
      <c r="V73" s="27" t="s">
        <v>154</v>
      </c>
      <c r="W73" s="28"/>
      <c r="X73" s="33"/>
      <c r="Y73" s="32"/>
      <c r="Z73" s="25"/>
      <c r="AA73" s="27"/>
      <c r="AB73" s="28"/>
      <c r="AC73" s="27"/>
      <c r="AD73" s="27"/>
      <c r="AE73" s="33"/>
      <c r="AG73" s="25">
        <v>0.05</v>
      </c>
      <c r="AH73" s="34">
        <v>0.05</v>
      </c>
      <c r="AI73" s="27"/>
      <c r="AJ73" s="27"/>
      <c r="AK73" s="27"/>
      <c r="AL73" s="25"/>
      <c r="AM73" s="34"/>
      <c r="AN73" s="27">
        <v>0.1</v>
      </c>
      <c r="AO73" s="27">
        <v>0.1</v>
      </c>
      <c r="AP73" s="36">
        <v>0.1</v>
      </c>
      <c r="AQ73" s="37"/>
      <c r="AR73" s="32"/>
      <c r="AS73" s="25" t="s">
        <v>96</v>
      </c>
      <c r="AT73" s="27" t="s">
        <v>87</v>
      </c>
      <c r="AU73" s="27"/>
      <c r="AW73" s="25" t="s">
        <v>90</v>
      </c>
      <c r="AX73" s="27" t="s">
        <v>95</v>
      </c>
      <c r="AY73" s="27"/>
      <c r="AZ73" s="32"/>
      <c r="BA73" s="41"/>
    </row>
    <row r="74" spans="1:53" x14ac:dyDescent="0.2">
      <c r="A74" s="25">
        <v>67</v>
      </c>
      <c r="B74" s="26"/>
      <c r="C74" s="27"/>
      <c r="D74" s="25"/>
      <c r="E74" s="28"/>
      <c r="F74" s="27"/>
      <c r="G74" s="28"/>
      <c r="H74" s="27"/>
      <c r="I74" s="28"/>
      <c r="J74" s="27">
        <v>2</v>
      </c>
      <c r="K74" s="29" t="s">
        <v>35</v>
      </c>
      <c r="L74" s="39"/>
      <c r="M74" s="31"/>
      <c r="N74" s="27"/>
      <c r="P74" s="32"/>
      <c r="Q74" s="25"/>
      <c r="R74" s="27"/>
      <c r="S74" s="27"/>
      <c r="T74" s="28"/>
      <c r="U74" s="27"/>
      <c r="V74" s="27" t="s">
        <v>154</v>
      </c>
      <c r="W74" s="28"/>
      <c r="X74" s="33"/>
      <c r="Y74" s="32"/>
      <c r="Z74" s="25"/>
      <c r="AA74" s="27"/>
      <c r="AB74" s="28"/>
      <c r="AC74" s="27"/>
      <c r="AD74" s="27"/>
      <c r="AE74" s="33"/>
      <c r="AG74" s="25">
        <v>0.05</v>
      </c>
      <c r="AH74" s="34">
        <v>0.05</v>
      </c>
      <c r="AI74" s="27"/>
      <c r="AJ74" s="27"/>
      <c r="AK74" s="27"/>
      <c r="AL74" s="25"/>
      <c r="AM74" s="34"/>
      <c r="AN74" s="27">
        <v>0.1</v>
      </c>
      <c r="AO74" s="27">
        <v>0.1</v>
      </c>
      <c r="AP74" s="36">
        <v>0.1</v>
      </c>
      <c r="AQ74" s="37"/>
      <c r="AR74" s="32"/>
      <c r="AS74" s="25" t="s">
        <v>96</v>
      </c>
      <c r="AT74" s="27" t="s">
        <v>87</v>
      </c>
      <c r="AU74" s="27"/>
      <c r="AW74" s="25" t="s">
        <v>90</v>
      </c>
      <c r="AX74" s="27" t="s">
        <v>95</v>
      </c>
      <c r="AY74" s="27"/>
      <c r="AZ74" s="32"/>
      <c r="BA74" s="41"/>
    </row>
    <row r="75" spans="1:53" x14ac:dyDescent="0.2">
      <c r="A75" s="25">
        <v>68</v>
      </c>
      <c r="B75" s="26"/>
      <c r="C75" s="27"/>
      <c r="D75" s="25"/>
      <c r="E75" s="28"/>
      <c r="F75" s="27"/>
      <c r="G75" s="28"/>
      <c r="H75" s="27"/>
      <c r="I75" s="28"/>
      <c r="J75" s="27">
        <v>2</v>
      </c>
      <c r="K75" s="29" t="s">
        <v>35</v>
      </c>
      <c r="L75" s="39"/>
      <c r="M75" s="31"/>
      <c r="N75" s="27"/>
      <c r="P75" s="32"/>
      <c r="Q75" s="25"/>
      <c r="R75" s="27"/>
      <c r="S75" s="27"/>
      <c r="T75" s="28"/>
      <c r="U75" s="27"/>
      <c r="V75" s="27"/>
      <c r="W75" s="28"/>
      <c r="X75" s="33"/>
      <c r="Y75" s="32"/>
      <c r="Z75" s="25"/>
      <c r="AA75" s="27"/>
      <c r="AB75" s="28"/>
      <c r="AC75" s="27"/>
      <c r="AD75" s="27"/>
      <c r="AE75" s="33"/>
      <c r="AG75" s="25"/>
      <c r="AH75" s="34"/>
      <c r="AI75" s="27"/>
      <c r="AJ75" s="27"/>
      <c r="AK75" s="27"/>
      <c r="AL75" s="25"/>
      <c r="AM75" s="34"/>
      <c r="AN75" s="27">
        <v>0.1</v>
      </c>
      <c r="AO75" s="27">
        <v>0.1</v>
      </c>
      <c r="AP75" s="36">
        <v>0.1</v>
      </c>
      <c r="AQ75" s="37"/>
      <c r="AR75" s="32"/>
      <c r="AS75" s="25" t="s">
        <v>96</v>
      </c>
      <c r="AT75" s="27" t="s">
        <v>87</v>
      </c>
      <c r="AU75" s="27"/>
      <c r="AW75" s="25" t="s">
        <v>90</v>
      </c>
      <c r="AX75" s="27" t="s">
        <v>95</v>
      </c>
      <c r="AY75" s="27"/>
      <c r="AZ75" s="32"/>
      <c r="BA75" s="41"/>
    </row>
    <row r="76" spans="1:53" x14ac:dyDescent="0.2">
      <c r="A76" s="25">
        <v>69</v>
      </c>
      <c r="B76" s="26"/>
      <c r="C76" s="27"/>
      <c r="D76" s="25"/>
      <c r="E76" s="28"/>
      <c r="F76" s="27"/>
      <c r="G76" s="28"/>
      <c r="H76" s="27"/>
      <c r="I76" s="28"/>
      <c r="J76" s="27">
        <v>2</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v>0.1</v>
      </c>
      <c r="AO76" s="27">
        <v>0.1</v>
      </c>
      <c r="AP76" s="36">
        <v>0.1</v>
      </c>
      <c r="AQ76" s="37"/>
      <c r="AR76" s="32"/>
      <c r="AS76" s="25" t="s">
        <v>96</v>
      </c>
      <c r="AT76" s="27" t="s">
        <v>87</v>
      </c>
      <c r="AU76" s="27"/>
      <c r="AW76" s="25" t="s">
        <v>90</v>
      </c>
      <c r="AX76" s="27" t="s">
        <v>95</v>
      </c>
      <c r="AY76" s="27"/>
      <c r="AZ76" s="32"/>
      <c r="BA76" s="41"/>
    </row>
    <row r="77" spans="1:53" x14ac:dyDescent="0.2">
      <c r="A77" s="25">
        <v>70</v>
      </c>
      <c r="B77" s="26"/>
      <c r="C77" s="27"/>
      <c r="D77" s="25"/>
      <c r="E77" s="28"/>
      <c r="F77" s="27"/>
      <c r="G77" s="28"/>
      <c r="H77" s="27"/>
      <c r="I77" s="28"/>
      <c r="J77" s="27">
        <v>2</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v>0.1</v>
      </c>
      <c r="AO77" s="27">
        <v>0.1</v>
      </c>
      <c r="AP77" s="36">
        <v>0.1</v>
      </c>
      <c r="AQ77" s="37"/>
      <c r="AR77" s="32"/>
      <c r="AS77" s="25" t="s">
        <v>96</v>
      </c>
      <c r="AT77" s="27" t="s">
        <v>87</v>
      </c>
      <c r="AU77" s="27"/>
      <c r="AW77" s="25" t="s">
        <v>90</v>
      </c>
      <c r="AX77" s="27" t="s">
        <v>95</v>
      </c>
      <c r="AY77" s="27"/>
      <c r="AZ77" s="32"/>
      <c r="BA77" s="41"/>
    </row>
    <row r="78" spans="1:53" x14ac:dyDescent="0.2">
      <c r="A78" s="25">
        <v>71</v>
      </c>
      <c r="B78" s="26"/>
      <c r="C78" s="27"/>
      <c r="D78" s="25"/>
      <c r="E78" s="28"/>
      <c r="F78" s="27"/>
      <c r="G78" s="28"/>
      <c r="H78" s="27"/>
      <c r="I78" s="28"/>
      <c r="J78" s="27">
        <v>2</v>
      </c>
      <c r="K78" s="29" t="s">
        <v>35</v>
      </c>
      <c r="L78" s="39"/>
      <c r="M78" s="31"/>
      <c r="N78" s="27"/>
      <c r="P78" s="32"/>
      <c r="Q78" s="25"/>
      <c r="R78" s="27"/>
      <c r="S78" s="27"/>
      <c r="T78" s="28"/>
      <c r="U78" s="27"/>
      <c r="V78" s="27"/>
      <c r="W78" s="28"/>
      <c r="X78" s="33"/>
      <c r="Y78" s="32"/>
      <c r="Z78" s="25"/>
      <c r="AA78" s="27"/>
      <c r="AB78" s="28"/>
      <c r="AC78" s="27"/>
      <c r="AD78" s="27"/>
      <c r="AE78" s="33"/>
      <c r="AF78" s="32"/>
      <c r="AG78" s="90"/>
      <c r="AH78" s="91"/>
      <c r="AI78" s="27"/>
      <c r="AJ78" s="27"/>
      <c r="AK78" s="28"/>
      <c r="AL78" s="27"/>
      <c r="AM78" s="27"/>
      <c r="AN78" s="27">
        <v>0.1</v>
      </c>
      <c r="AO78" s="27">
        <v>0.1</v>
      </c>
      <c r="AP78" s="36">
        <v>0.1</v>
      </c>
      <c r="AQ78" s="37"/>
      <c r="AS78" s="25" t="s">
        <v>96</v>
      </c>
      <c r="AT78" s="27" t="s">
        <v>87</v>
      </c>
      <c r="AU78" s="27"/>
      <c r="AW78" s="25" t="s">
        <v>90</v>
      </c>
      <c r="AX78" s="27" t="s">
        <v>95</v>
      </c>
      <c r="AY78" s="27"/>
      <c r="AZ78" s="32"/>
      <c r="BA78" s="41"/>
    </row>
    <row r="79" spans="1:53" x14ac:dyDescent="0.2">
      <c r="A79" s="25">
        <v>72</v>
      </c>
      <c r="B79" s="26"/>
      <c r="C79" s="27"/>
      <c r="D79" s="25"/>
      <c r="E79" s="28"/>
      <c r="F79" s="27"/>
      <c r="G79" s="28"/>
      <c r="H79" s="27"/>
      <c r="I79" s="28"/>
      <c r="J79" s="27">
        <v>2</v>
      </c>
      <c r="K79" s="29" t="s">
        <v>35</v>
      </c>
      <c r="L79" s="39"/>
      <c r="M79" s="31"/>
      <c r="N79" s="27"/>
      <c r="P79" s="32"/>
      <c r="Q79" s="25"/>
      <c r="R79" s="27"/>
      <c r="S79" s="27"/>
      <c r="T79" s="28"/>
      <c r="U79" s="27"/>
      <c r="V79" s="27"/>
      <c r="W79" s="28"/>
      <c r="X79" s="33"/>
      <c r="Y79" s="32"/>
      <c r="Z79" s="25"/>
      <c r="AA79" s="27"/>
      <c r="AB79" s="28"/>
      <c r="AC79" s="27"/>
      <c r="AD79" s="27"/>
      <c r="AE79" s="33"/>
      <c r="AF79" s="32"/>
      <c r="AG79" s="90"/>
      <c r="AH79" s="91"/>
      <c r="AI79" s="27"/>
      <c r="AJ79" s="27"/>
      <c r="AK79" s="28"/>
      <c r="AL79" s="27"/>
      <c r="AM79" s="27"/>
      <c r="AN79" s="27">
        <v>0.1</v>
      </c>
      <c r="AO79" s="27">
        <v>0.1</v>
      </c>
      <c r="AP79" s="36">
        <v>0.1</v>
      </c>
      <c r="AQ79" s="37"/>
      <c r="AS79" s="25" t="s">
        <v>96</v>
      </c>
      <c r="AT79" s="27" t="s">
        <v>87</v>
      </c>
      <c r="AU79" s="27"/>
      <c r="AW79" s="25" t="s">
        <v>90</v>
      </c>
      <c r="AX79" s="27" t="s">
        <v>95</v>
      </c>
      <c r="AY79" s="27"/>
      <c r="AZ79" s="32"/>
      <c r="BA79" s="41"/>
    </row>
    <row r="80" spans="1:53" x14ac:dyDescent="0.2">
      <c r="A80" s="25">
        <v>73</v>
      </c>
      <c r="B80" s="26"/>
      <c r="C80" s="27"/>
      <c r="D80" s="25"/>
      <c r="E80" s="28"/>
      <c r="F80" s="27"/>
      <c r="G80" s="28"/>
      <c r="H80" s="27"/>
      <c r="I80" s="28"/>
      <c r="J80" s="27">
        <v>2</v>
      </c>
      <c r="K80" s="29" t="s">
        <v>35</v>
      </c>
      <c r="L80" s="173"/>
      <c r="M80" s="31"/>
      <c r="N80" s="27"/>
      <c r="P80" s="32"/>
      <c r="Q80" s="25"/>
      <c r="R80" s="27"/>
      <c r="S80" s="27"/>
      <c r="T80" s="28"/>
      <c r="U80" s="27"/>
      <c r="V80" s="27"/>
      <c r="W80" s="28"/>
      <c r="X80" s="33"/>
      <c r="Y80" s="32"/>
      <c r="Z80" s="25"/>
      <c r="AA80" s="27"/>
      <c r="AB80" s="28"/>
      <c r="AC80" s="27"/>
      <c r="AD80" s="27"/>
      <c r="AE80" s="33"/>
      <c r="AF80" s="32"/>
      <c r="AG80" s="90"/>
      <c r="AH80" s="91"/>
      <c r="AI80" s="27"/>
      <c r="AJ80" s="27"/>
      <c r="AK80" s="28"/>
      <c r="AL80" s="27"/>
      <c r="AM80" s="27"/>
      <c r="AN80" s="27">
        <v>0.1</v>
      </c>
      <c r="AO80" s="27">
        <v>0.1</v>
      </c>
      <c r="AP80" s="36">
        <v>0.1</v>
      </c>
      <c r="AQ80" s="37"/>
      <c r="AS80" s="25" t="s">
        <v>96</v>
      </c>
      <c r="AT80" s="27" t="s">
        <v>87</v>
      </c>
      <c r="AU80" s="27"/>
      <c r="AW80" s="25" t="s">
        <v>90</v>
      </c>
      <c r="AX80" s="27" t="s">
        <v>95</v>
      </c>
      <c r="AY80" s="27"/>
      <c r="AZ80" s="32"/>
      <c r="BA80" s="41"/>
    </row>
    <row r="81" spans="1:53" x14ac:dyDescent="0.2">
      <c r="A81" s="25">
        <v>74</v>
      </c>
      <c r="B81" s="26"/>
      <c r="C81" s="27"/>
      <c r="D81" s="25"/>
      <c r="E81" s="28"/>
      <c r="F81" s="27"/>
      <c r="G81" s="28"/>
      <c r="H81" s="27"/>
      <c r="I81" s="28"/>
      <c r="J81" s="27">
        <v>2</v>
      </c>
      <c r="K81" s="29" t="s">
        <v>35</v>
      </c>
      <c r="L81" s="173"/>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v>0.1</v>
      </c>
      <c r="AO81" s="27">
        <v>0.1</v>
      </c>
      <c r="AP81" s="36">
        <v>0.1</v>
      </c>
      <c r="AQ81" s="37"/>
      <c r="AS81" s="25" t="s">
        <v>96</v>
      </c>
      <c r="AT81" s="27" t="s">
        <v>87</v>
      </c>
      <c r="AU81" s="27"/>
      <c r="AW81" s="25" t="s">
        <v>90</v>
      </c>
      <c r="AX81" s="27" t="s">
        <v>95</v>
      </c>
      <c r="AY81" s="27"/>
      <c r="AZ81" s="32"/>
      <c r="BA81" s="41"/>
    </row>
    <row r="82" spans="1:53" x14ac:dyDescent="0.2">
      <c r="A82" s="25">
        <v>75</v>
      </c>
      <c r="B82" s="26"/>
      <c r="C82" s="27"/>
      <c r="D82" s="25"/>
      <c r="E82" s="28"/>
      <c r="F82" s="27"/>
      <c r="G82" s="28"/>
      <c r="H82" s="27"/>
      <c r="I82" s="28"/>
      <c r="J82" s="27">
        <v>2</v>
      </c>
      <c r="K82" s="29" t="s">
        <v>35</v>
      </c>
      <c r="L82" s="173"/>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v>0.1</v>
      </c>
      <c r="AO82" s="27">
        <v>0.1</v>
      </c>
      <c r="AP82" s="36">
        <v>0.1</v>
      </c>
      <c r="AQ82" s="37"/>
      <c r="AR82" s="32"/>
      <c r="AS82" s="25" t="s">
        <v>96</v>
      </c>
      <c r="AT82" s="27" t="s">
        <v>87</v>
      </c>
      <c r="AU82" s="27"/>
      <c r="AW82" s="25" t="s">
        <v>90</v>
      </c>
      <c r="AX82" s="27" t="s">
        <v>95</v>
      </c>
      <c r="AY82" s="27"/>
      <c r="AZ82" s="32"/>
      <c r="BA82" s="41"/>
    </row>
    <row r="83" spans="1:53" x14ac:dyDescent="0.2">
      <c r="A83" s="25">
        <v>76</v>
      </c>
      <c r="B83" s="26"/>
      <c r="C83" s="27"/>
      <c r="D83" s="25"/>
      <c r="E83" s="28"/>
      <c r="F83" s="27"/>
      <c r="G83" s="28"/>
      <c r="H83" s="27"/>
      <c r="I83" s="28"/>
      <c r="J83" s="27">
        <v>2</v>
      </c>
      <c r="K83" s="29" t="s">
        <v>35</v>
      </c>
      <c r="L83" s="173"/>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v>0.1</v>
      </c>
      <c r="AO83" s="27">
        <v>0.1</v>
      </c>
      <c r="AP83" s="36">
        <v>0.1</v>
      </c>
      <c r="AQ83" s="37"/>
      <c r="AR83" s="32"/>
      <c r="AS83" s="25" t="s">
        <v>96</v>
      </c>
      <c r="AT83" s="27" t="s">
        <v>87</v>
      </c>
      <c r="AU83" s="27"/>
      <c r="AW83" s="25" t="s">
        <v>90</v>
      </c>
      <c r="AX83" s="27" t="s">
        <v>95</v>
      </c>
      <c r="AY83" s="27"/>
      <c r="AZ83" s="32"/>
      <c r="BA83" s="41"/>
    </row>
    <row r="84" spans="1:53" x14ac:dyDescent="0.2">
      <c r="A84" s="25">
        <v>77</v>
      </c>
      <c r="B84" s="26"/>
      <c r="C84" s="27"/>
      <c r="D84" s="25"/>
      <c r="E84" s="28"/>
      <c r="F84" s="27"/>
      <c r="G84" s="28"/>
      <c r="H84" s="27"/>
      <c r="I84" s="28"/>
      <c r="J84" s="27">
        <v>2</v>
      </c>
      <c r="K84" s="29" t="s">
        <v>35</v>
      </c>
      <c r="L84" s="173"/>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v>0.1</v>
      </c>
      <c r="AO84" s="27">
        <v>0.1</v>
      </c>
      <c r="AP84" s="36">
        <v>0.1</v>
      </c>
      <c r="AQ84" s="37"/>
      <c r="AR84" s="32"/>
      <c r="AS84" s="25" t="s">
        <v>96</v>
      </c>
      <c r="AT84" s="27" t="s">
        <v>87</v>
      </c>
      <c r="AU84" s="27"/>
      <c r="AW84" s="25" t="s">
        <v>90</v>
      </c>
      <c r="AX84" s="27" t="s">
        <v>95</v>
      </c>
      <c r="AY84" s="27"/>
      <c r="AZ84" s="32"/>
      <c r="BA84" s="41"/>
    </row>
    <row r="85" spans="1:53" x14ac:dyDescent="0.2">
      <c r="A85" s="25">
        <v>78</v>
      </c>
      <c r="B85" s="26"/>
      <c r="C85" s="27"/>
      <c r="D85" s="25"/>
      <c r="E85" s="28"/>
      <c r="F85" s="27"/>
      <c r="G85" s="28"/>
      <c r="H85" s="27"/>
      <c r="I85" s="28"/>
      <c r="J85" s="27">
        <v>2</v>
      </c>
      <c r="K85" s="29" t="s">
        <v>35</v>
      </c>
      <c r="L85" s="173"/>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v>0.1</v>
      </c>
      <c r="AO85" s="27">
        <v>0.1</v>
      </c>
      <c r="AP85" s="36">
        <v>0.1</v>
      </c>
      <c r="AQ85" s="37"/>
      <c r="AR85" s="32"/>
      <c r="AS85" s="25" t="s">
        <v>96</v>
      </c>
      <c r="AT85" s="27" t="s">
        <v>87</v>
      </c>
      <c r="AU85" s="27"/>
      <c r="AW85" s="25" t="s">
        <v>90</v>
      </c>
      <c r="AX85" s="27" t="s">
        <v>95</v>
      </c>
      <c r="AY85" s="27"/>
      <c r="AZ85" s="32"/>
      <c r="BA85" s="41"/>
    </row>
    <row r="86" spans="1:53" x14ac:dyDescent="0.2">
      <c r="A86" s="25">
        <v>79</v>
      </c>
      <c r="B86" s="26"/>
      <c r="C86" s="27"/>
      <c r="D86" s="25"/>
      <c r="E86" s="28"/>
      <c r="F86" s="27"/>
      <c r="G86" s="28"/>
      <c r="H86" s="27"/>
      <c r="I86" s="28"/>
      <c r="J86" s="27">
        <v>2</v>
      </c>
      <c r="K86" s="29" t="s">
        <v>35</v>
      </c>
      <c r="L86" s="173"/>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v>0.1</v>
      </c>
      <c r="AO86" s="27">
        <v>0.1</v>
      </c>
      <c r="AP86" s="36">
        <v>0.1</v>
      </c>
      <c r="AQ86" s="37"/>
      <c r="AR86" s="32"/>
      <c r="AS86" s="25" t="s">
        <v>96</v>
      </c>
      <c r="AT86" s="27" t="s">
        <v>87</v>
      </c>
      <c r="AU86" s="27"/>
      <c r="AW86" s="25" t="s">
        <v>90</v>
      </c>
      <c r="AX86" s="27" t="s">
        <v>95</v>
      </c>
      <c r="AY86" s="27"/>
      <c r="AZ86" s="32"/>
      <c r="BA86" s="41"/>
    </row>
    <row r="87" spans="1:53" x14ac:dyDescent="0.2">
      <c r="A87" s="25">
        <v>80</v>
      </c>
      <c r="B87" s="26"/>
      <c r="C87" s="27"/>
      <c r="D87" s="25"/>
      <c r="E87" s="28"/>
      <c r="F87" s="27"/>
      <c r="G87" s="28"/>
      <c r="H87" s="27"/>
      <c r="I87" s="28"/>
      <c r="J87" s="27">
        <v>2</v>
      </c>
      <c r="K87" s="29" t="s">
        <v>35</v>
      </c>
      <c r="L87" s="173"/>
      <c r="M87" s="31"/>
      <c r="N87" s="27"/>
      <c r="P87" s="32"/>
      <c r="Q87" s="25"/>
      <c r="R87" s="27"/>
      <c r="S87" s="27"/>
      <c r="T87" s="28"/>
      <c r="U87" s="27"/>
      <c r="V87" s="27"/>
      <c r="W87" s="28"/>
      <c r="X87" s="33"/>
      <c r="Y87" s="32"/>
      <c r="Z87" s="25"/>
      <c r="AA87" s="27"/>
      <c r="AB87" s="28"/>
      <c r="AC87" s="27"/>
      <c r="AD87" s="27"/>
      <c r="AE87" s="33"/>
      <c r="AF87" s="32"/>
      <c r="AG87" s="90">
        <v>0.05</v>
      </c>
      <c r="AH87" s="91">
        <v>0.05</v>
      </c>
      <c r="AI87" s="27"/>
      <c r="AJ87" s="27"/>
      <c r="AK87" s="28"/>
      <c r="AL87" s="27"/>
      <c r="AM87" s="27"/>
      <c r="AN87" s="27">
        <v>0.1</v>
      </c>
      <c r="AO87" s="27">
        <v>0.1</v>
      </c>
      <c r="AP87" s="36">
        <v>0.1</v>
      </c>
      <c r="AQ87" s="37"/>
      <c r="AR87" s="32"/>
      <c r="AS87" s="25" t="s">
        <v>96</v>
      </c>
      <c r="AT87" s="27" t="s">
        <v>87</v>
      </c>
      <c r="AU87" s="27"/>
      <c r="AW87" s="25" t="s">
        <v>90</v>
      </c>
      <c r="AX87" s="27" t="s">
        <v>95</v>
      </c>
      <c r="AY87" s="27"/>
      <c r="AZ87" s="32"/>
      <c r="BA87" s="41"/>
    </row>
    <row r="88" spans="1:53" x14ac:dyDescent="0.2">
      <c r="A88" s="25">
        <v>81</v>
      </c>
      <c r="B88" s="26"/>
      <c r="C88" s="27"/>
      <c r="D88" s="25"/>
      <c r="E88" s="28"/>
      <c r="F88" s="27"/>
      <c r="G88" s="28"/>
      <c r="H88" s="27"/>
      <c r="I88" s="28"/>
      <c r="J88" s="27">
        <v>2</v>
      </c>
      <c r="K88" s="29" t="s">
        <v>35</v>
      </c>
      <c r="L88" s="173"/>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v>0.1</v>
      </c>
      <c r="AO88" s="27">
        <v>0.1</v>
      </c>
      <c r="AP88" s="36">
        <v>0.1</v>
      </c>
      <c r="AQ88" s="37"/>
      <c r="AR88" s="32"/>
      <c r="AS88" s="25" t="s">
        <v>96</v>
      </c>
      <c r="AT88" s="27" t="s">
        <v>87</v>
      </c>
      <c r="AU88" s="27" t="s">
        <v>187</v>
      </c>
      <c r="AW88" s="25" t="s">
        <v>90</v>
      </c>
      <c r="AX88" s="27" t="s">
        <v>95</v>
      </c>
      <c r="AY88" s="27"/>
      <c r="AZ88" s="32"/>
      <c r="BA88" s="41"/>
    </row>
    <row r="89" spans="1:53" x14ac:dyDescent="0.2">
      <c r="A89" s="25">
        <v>82</v>
      </c>
      <c r="B89" s="26"/>
      <c r="C89" s="27"/>
      <c r="D89" s="25"/>
      <c r="E89" s="28"/>
      <c r="F89" s="27"/>
      <c r="G89" s="28"/>
      <c r="H89" s="27"/>
      <c r="I89" s="28"/>
      <c r="J89" s="27">
        <v>2</v>
      </c>
      <c r="K89" s="29" t="s">
        <v>35</v>
      </c>
      <c r="L89" s="39"/>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v>0.1</v>
      </c>
      <c r="AO89" s="27">
        <v>0.1</v>
      </c>
      <c r="AP89" s="36">
        <v>0.1</v>
      </c>
      <c r="AQ89" s="37"/>
      <c r="AR89" s="32"/>
      <c r="AS89" s="25" t="s">
        <v>96</v>
      </c>
      <c r="AT89" s="27" t="s">
        <v>87</v>
      </c>
      <c r="AU89" s="27"/>
      <c r="AW89" s="25" t="s">
        <v>90</v>
      </c>
      <c r="AX89" s="27" t="s">
        <v>95</v>
      </c>
      <c r="AY89" s="27"/>
      <c r="AZ89" s="32"/>
      <c r="BA89" s="41"/>
    </row>
    <row r="90" spans="1:53" x14ac:dyDescent="0.2">
      <c r="A90" s="25">
        <v>83</v>
      </c>
      <c r="B90" s="26"/>
      <c r="C90" s="27"/>
      <c r="D90" s="25"/>
      <c r="E90" s="28"/>
      <c r="F90" s="27"/>
      <c r="G90" s="28"/>
      <c r="H90" s="27"/>
      <c r="I90" s="28"/>
      <c r="J90" s="27">
        <v>2</v>
      </c>
      <c r="K90" s="29" t="s">
        <v>35</v>
      </c>
      <c r="L90" s="39"/>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v>0.1</v>
      </c>
      <c r="AO90" s="27">
        <v>0.1</v>
      </c>
      <c r="AP90" s="36">
        <v>0.1</v>
      </c>
      <c r="AQ90" s="37"/>
      <c r="AR90" s="32"/>
      <c r="AS90" s="25" t="s">
        <v>96</v>
      </c>
      <c r="AT90" s="27" t="s">
        <v>87</v>
      </c>
      <c r="AU90" s="27"/>
      <c r="AW90" s="25" t="s">
        <v>90</v>
      </c>
      <c r="AX90" s="27" t="s">
        <v>95</v>
      </c>
      <c r="AY90" s="27"/>
      <c r="AZ90" s="32"/>
      <c r="BA90" s="41"/>
    </row>
    <row r="91" spans="1:53" x14ac:dyDescent="0.2">
      <c r="A91" s="25">
        <v>84</v>
      </c>
      <c r="B91" s="26"/>
      <c r="C91" s="27"/>
      <c r="D91" s="25"/>
      <c r="E91" s="28"/>
      <c r="F91" s="27"/>
      <c r="G91" s="28"/>
      <c r="H91" s="27"/>
      <c r="I91" s="28"/>
      <c r="J91" s="27">
        <v>2</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v>0.1</v>
      </c>
      <c r="AO91" s="27">
        <v>0.1</v>
      </c>
      <c r="AP91" s="36">
        <v>0.1</v>
      </c>
      <c r="AQ91" s="37"/>
      <c r="AR91" s="32"/>
      <c r="AS91" s="25" t="s">
        <v>96</v>
      </c>
      <c r="AT91" s="27" t="s">
        <v>87</v>
      </c>
      <c r="AU91" s="27"/>
      <c r="AW91" s="25" t="s">
        <v>90</v>
      </c>
      <c r="AX91" s="27" t="s">
        <v>95</v>
      </c>
      <c r="AY91" s="27"/>
      <c r="AZ91" s="32"/>
      <c r="BA91" s="41"/>
    </row>
    <row r="92" spans="1:53" x14ac:dyDescent="0.2">
      <c r="A92" s="25">
        <v>85</v>
      </c>
      <c r="B92" s="26"/>
      <c r="C92" s="27"/>
      <c r="D92" s="25"/>
      <c r="E92" s="28"/>
      <c r="F92" s="27"/>
      <c r="G92" s="28"/>
      <c r="H92" s="27"/>
      <c r="I92" s="28"/>
      <c r="J92" s="27">
        <v>2</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v>0.1</v>
      </c>
      <c r="AO92" s="27">
        <v>0.1</v>
      </c>
      <c r="AP92" s="36">
        <v>0.1</v>
      </c>
      <c r="AQ92" s="37"/>
      <c r="AR92" s="32"/>
      <c r="AS92" s="25" t="s">
        <v>96</v>
      </c>
      <c r="AT92" s="27" t="s">
        <v>87</v>
      </c>
      <c r="AU92" s="27"/>
      <c r="AW92" s="25" t="s">
        <v>90</v>
      </c>
      <c r="AX92" s="27" t="s">
        <v>95</v>
      </c>
      <c r="AY92" s="27"/>
      <c r="AZ92" s="32"/>
      <c r="BA92" s="41"/>
    </row>
    <row r="93" spans="1:53" x14ac:dyDescent="0.2">
      <c r="A93" s="25">
        <v>86</v>
      </c>
      <c r="B93" s="26"/>
      <c r="C93" s="27"/>
      <c r="D93" s="25"/>
      <c r="E93" s="28"/>
      <c r="F93" s="27"/>
      <c r="G93" s="28"/>
      <c r="H93" s="27"/>
      <c r="I93" s="28"/>
      <c r="J93" s="27">
        <v>2</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v>0.1</v>
      </c>
      <c r="AO93" s="27">
        <v>0.1</v>
      </c>
      <c r="AP93" s="36">
        <v>0.1</v>
      </c>
      <c r="AQ93" s="37"/>
      <c r="AR93" s="32"/>
      <c r="AS93" s="25" t="s">
        <v>96</v>
      </c>
      <c r="AT93" s="27" t="s">
        <v>87</v>
      </c>
      <c r="AU93" s="27"/>
      <c r="AW93" s="25" t="s">
        <v>90</v>
      </c>
      <c r="AX93" s="27" t="s">
        <v>95</v>
      </c>
      <c r="AY93" s="27"/>
      <c r="AZ93" s="32"/>
      <c r="BA93" s="41"/>
    </row>
    <row r="94" spans="1:53" x14ac:dyDescent="0.2">
      <c r="A94" s="25">
        <v>87</v>
      </c>
      <c r="B94" s="26"/>
      <c r="C94" s="27"/>
      <c r="D94" s="25"/>
      <c r="E94" s="28"/>
      <c r="F94" s="27"/>
      <c r="G94" s="28"/>
      <c r="H94" s="27"/>
      <c r="I94" s="28"/>
      <c r="J94" s="27">
        <v>2</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v>0.1</v>
      </c>
      <c r="AO94" s="27">
        <v>0.1</v>
      </c>
      <c r="AP94" s="36">
        <v>0.1</v>
      </c>
      <c r="AQ94" s="37"/>
      <c r="AR94" s="32"/>
      <c r="AS94" s="25" t="s">
        <v>96</v>
      </c>
      <c r="AT94" s="27" t="s">
        <v>87</v>
      </c>
      <c r="AU94" s="27"/>
      <c r="AW94" s="25" t="s">
        <v>90</v>
      </c>
      <c r="AX94" s="27" t="s">
        <v>95</v>
      </c>
      <c r="AY94" s="27"/>
      <c r="AZ94" s="32"/>
      <c r="BA94" s="41"/>
    </row>
    <row r="95" spans="1:53" x14ac:dyDescent="0.2">
      <c r="A95" s="25">
        <v>88</v>
      </c>
      <c r="B95" s="26"/>
      <c r="C95" s="27"/>
      <c r="D95" s="25"/>
      <c r="E95" s="28"/>
      <c r="F95" s="27"/>
      <c r="G95" s="28"/>
      <c r="H95" s="27"/>
      <c r="I95" s="28"/>
      <c r="J95" s="27">
        <v>2</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t="s">
        <v>96</v>
      </c>
      <c r="AT95" s="27" t="s">
        <v>87</v>
      </c>
      <c r="AU95" s="27"/>
      <c r="AW95" s="25" t="s">
        <v>90</v>
      </c>
      <c r="AX95" s="27" t="s">
        <v>95</v>
      </c>
      <c r="AY95" s="27"/>
      <c r="AZ95" s="32"/>
      <c r="BA95" s="41"/>
    </row>
    <row r="96" spans="1:53" x14ac:dyDescent="0.2">
      <c r="A96" s="25">
        <v>89</v>
      </c>
      <c r="B96" s="26"/>
      <c r="C96" s="27"/>
      <c r="D96" s="25"/>
      <c r="E96" s="28"/>
      <c r="F96" s="27"/>
      <c r="G96" s="28"/>
      <c r="H96" s="27"/>
      <c r="I96" s="28"/>
      <c r="J96" s="27">
        <v>2</v>
      </c>
      <c r="K96" s="29" t="s">
        <v>35</v>
      </c>
      <c r="L96" s="39"/>
      <c r="M96" s="31"/>
      <c r="N96" s="27"/>
      <c r="P96" s="32"/>
      <c r="Q96" s="25"/>
      <c r="R96" s="27"/>
      <c r="S96" s="27"/>
      <c r="T96" s="28"/>
      <c r="U96" s="27"/>
      <c r="V96" s="27"/>
      <c r="W96" s="28"/>
      <c r="X96" s="33"/>
      <c r="Y96" s="32"/>
      <c r="Z96" s="25"/>
      <c r="AA96" s="27"/>
      <c r="AB96" s="28"/>
      <c r="AC96" s="27"/>
      <c r="AD96" s="27"/>
      <c r="AE96" s="33"/>
      <c r="AF96" s="32"/>
      <c r="AG96" s="90">
        <v>0.05</v>
      </c>
      <c r="AH96" s="91">
        <v>0.05</v>
      </c>
      <c r="AI96" s="27"/>
      <c r="AJ96" s="27"/>
      <c r="AK96" s="28"/>
      <c r="AL96" s="27"/>
      <c r="AM96" s="27"/>
      <c r="AN96" s="27">
        <v>0.1</v>
      </c>
      <c r="AO96" s="27">
        <v>0.1</v>
      </c>
      <c r="AP96" s="36">
        <v>0.1</v>
      </c>
      <c r="AQ96" s="37"/>
      <c r="AR96" s="32"/>
      <c r="AS96" s="25" t="s">
        <v>96</v>
      </c>
      <c r="AT96" s="27" t="s">
        <v>87</v>
      </c>
      <c r="AU96" s="27"/>
      <c r="AW96" s="25" t="s">
        <v>90</v>
      </c>
      <c r="AX96" s="27" t="s">
        <v>95</v>
      </c>
      <c r="AY96" s="27"/>
      <c r="AZ96" s="32"/>
      <c r="BA96" s="41"/>
    </row>
    <row r="97" spans="1:53" x14ac:dyDescent="0.2">
      <c r="A97" s="25">
        <v>90</v>
      </c>
      <c r="B97" s="26"/>
      <c r="C97" s="27"/>
      <c r="D97" s="25"/>
      <c r="E97" s="28"/>
      <c r="F97" s="27"/>
      <c r="G97" s="28"/>
      <c r="H97" s="27"/>
      <c r="I97" s="28"/>
      <c r="J97" s="27">
        <v>2</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t="s">
        <v>96</v>
      </c>
      <c r="AT97" s="27" t="s">
        <v>87</v>
      </c>
      <c r="AU97" s="27"/>
      <c r="AW97" s="25" t="s">
        <v>90</v>
      </c>
      <c r="AX97" s="27" t="s">
        <v>95</v>
      </c>
      <c r="AY97" s="27"/>
      <c r="AZ97" s="32"/>
      <c r="BA97" s="41"/>
    </row>
    <row r="98" spans="1:53" x14ac:dyDescent="0.2">
      <c r="A98" s="25">
        <v>91</v>
      </c>
      <c r="B98" s="26"/>
      <c r="C98" s="27"/>
      <c r="AS98" s="25" t="s">
        <v>96</v>
      </c>
      <c r="AT98" s="27" t="s">
        <v>87</v>
      </c>
      <c r="AU98" s="27"/>
      <c r="AW98" s="25" t="s">
        <v>90</v>
      </c>
      <c r="AX98" s="27" t="s">
        <v>95</v>
      </c>
    </row>
    <row r="99" spans="1:53" x14ac:dyDescent="0.2">
      <c r="A99" s="25">
        <v>92</v>
      </c>
      <c r="B99" s="26"/>
      <c r="C99" s="27"/>
      <c r="AS99" s="25" t="s">
        <v>96</v>
      </c>
      <c r="AT99" s="27" t="s">
        <v>87</v>
      </c>
      <c r="AU99" s="27"/>
      <c r="AW99" s="25" t="s">
        <v>90</v>
      </c>
      <c r="AX99" s="27" t="s">
        <v>95</v>
      </c>
    </row>
    <row r="100" spans="1:53" x14ac:dyDescent="0.2">
      <c r="A100" s="25">
        <v>93</v>
      </c>
      <c r="B100" s="26"/>
      <c r="C100" s="27"/>
      <c r="AS100" s="25" t="s">
        <v>96</v>
      </c>
      <c r="AT100" s="27" t="s">
        <v>87</v>
      </c>
      <c r="AU100" s="27"/>
      <c r="AW100" s="25" t="s">
        <v>90</v>
      </c>
      <c r="AX100" s="27" t="s">
        <v>95</v>
      </c>
    </row>
    <row r="101" spans="1:53" x14ac:dyDescent="0.2">
      <c r="A101" s="25">
        <v>94</v>
      </c>
      <c r="B101" s="26"/>
      <c r="C101" s="27"/>
      <c r="AS101" s="25" t="s">
        <v>96</v>
      </c>
      <c r="AT101" s="27" t="s">
        <v>87</v>
      </c>
      <c r="AU101" s="27"/>
      <c r="AW101" s="25" t="s">
        <v>90</v>
      </c>
      <c r="AX101" s="27" t="s">
        <v>95</v>
      </c>
    </row>
    <row r="102" spans="1:53" x14ac:dyDescent="0.2">
      <c r="A102" s="25">
        <v>95</v>
      </c>
      <c r="B102" s="26"/>
      <c r="C102" s="27"/>
      <c r="AS102" s="25" t="s">
        <v>96</v>
      </c>
      <c r="AT102" s="27" t="s">
        <v>87</v>
      </c>
      <c r="AU102" s="27"/>
      <c r="AW102" s="25" t="s">
        <v>90</v>
      </c>
      <c r="AX102" s="27" t="s">
        <v>95</v>
      </c>
    </row>
    <row r="103" spans="1:53" x14ac:dyDescent="0.2">
      <c r="A103" s="25">
        <v>96</v>
      </c>
      <c r="B103" s="26"/>
      <c r="C103" s="27"/>
      <c r="AN103">
        <v>0.1</v>
      </c>
      <c r="AO103">
        <v>0.1</v>
      </c>
      <c r="AP103">
        <v>0.1</v>
      </c>
      <c r="AS103" s="25" t="s">
        <v>96</v>
      </c>
      <c r="AT103" s="27" t="s">
        <v>87</v>
      </c>
      <c r="AU103" s="27"/>
      <c r="AW103" s="25" t="s">
        <v>90</v>
      </c>
      <c r="AX103" s="27" t="s">
        <v>95</v>
      </c>
    </row>
    <row r="104" spans="1:53" x14ac:dyDescent="0.2">
      <c r="A104" s="25">
        <v>97</v>
      </c>
      <c r="B104" s="26"/>
      <c r="C104" s="27"/>
      <c r="AN104">
        <v>0.1</v>
      </c>
      <c r="AO104">
        <v>0.1</v>
      </c>
      <c r="AP104">
        <v>0.1</v>
      </c>
      <c r="AS104" s="25" t="s">
        <v>96</v>
      </c>
      <c r="AT104" s="27" t="s">
        <v>87</v>
      </c>
      <c r="AU104" s="27"/>
      <c r="AW104" s="25" t="s">
        <v>90</v>
      </c>
      <c r="AX104" s="27" t="s">
        <v>95</v>
      </c>
    </row>
    <row r="105" spans="1:53" x14ac:dyDescent="0.2">
      <c r="A105" s="25">
        <v>98</v>
      </c>
      <c r="B105" s="26"/>
      <c r="C105" s="27"/>
      <c r="J105">
        <v>2</v>
      </c>
      <c r="K105" s="172">
        <v>0.5083333333333333</v>
      </c>
      <c r="AG105">
        <v>0.05</v>
      </c>
      <c r="AH105">
        <v>0.05</v>
      </c>
      <c r="AN105">
        <v>0.1</v>
      </c>
      <c r="AO105">
        <v>0.1</v>
      </c>
      <c r="AP105">
        <v>0.1</v>
      </c>
      <c r="AS105" s="25" t="s">
        <v>96</v>
      </c>
      <c r="AT105" s="27" t="s">
        <v>87</v>
      </c>
      <c r="AU105" s="27"/>
      <c r="AW105" s="25" t="s">
        <v>90</v>
      </c>
      <c r="AX105" s="27" t="s">
        <v>95</v>
      </c>
    </row>
    <row r="106" spans="1:53" x14ac:dyDescent="0.2">
      <c r="A106" s="25">
        <v>99</v>
      </c>
      <c r="B106" s="26"/>
      <c r="AS106" s="25" t="s">
        <v>96</v>
      </c>
      <c r="AT106" s="27" t="s">
        <v>87</v>
      </c>
      <c r="AU106" s="27"/>
      <c r="AW106" s="25" t="s">
        <v>90</v>
      </c>
      <c r="AX106" s="27" t="s">
        <v>95</v>
      </c>
    </row>
    <row r="107" spans="1:53" x14ac:dyDescent="0.2">
      <c r="A107" s="25">
        <v>100</v>
      </c>
      <c r="B107" s="26"/>
      <c r="C107" s="27"/>
      <c r="AN107">
        <v>0.1</v>
      </c>
      <c r="AO107">
        <v>0.1</v>
      </c>
      <c r="AP107">
        <v>0.1</v>
      </c>
      <c r="AS107" s="25" t="s">
        <v>96</v>
      </c>
      <c r="AT107" s="27" t="s">
        <v>87</v>
      </c>
      <c r="AU107" s="27"/>
      <c r="AW107" s="25" t="s">
        <v>90</v>
      </c>
      <c r="AX107" s="27" t="s">
        <v>95</v>
      </c>
    </row>
    <row r="108" spans="1:53" x14ac:dyDescent="0.2">
      <c r="A108" s="25">
        <v>101</v>
      </c>
      <c r="B108" s="26"/>
      <c r="C108" s="27"/>
      <c r="AS108" s="25" t="s">
        <v>96</v>
      </c>
      <c r="AT108" s="27" t="s">
        <v>87</v>
      </c>
      <c r="AU108" s="27"/>
      <c r="AW108" s="25" t="s">
        <v>90</v>
      </c>
      <c r="AX108" s="27" t="s">
        <v>95</v>
      </c>
    </row>
    <row r="109" spans="1:53" x14ac:dyDescent="0.2">
      <c r="A109" s="25">
        <v>102</v>
      </c>
      <c r="B109" s="26"/>
      <c r="C109" s="27"/>
      <c r="AS109" s="25" t="s">
        <v>96</v>
      </c>
      <c r="AT109" s="27" t="s">
        <v>87</v>
      </c>
      <c r="AU109" s="27"/>
      <c r="AW109" s="25" t="s">
        <v>90</v>
      </c>
      <c r="AX109" s="27" t="s">
        <v>95</v>
      </c>
    </row>
    <row r="110" spans="1:53" x14ac:dyDescent="0.2">
      <c r="A110" s="25">
        <v>103</v>
      </c>
      <c r="B110" s="26"/>
      <c r="C110" s="27"/>
      <c r="AS110" s="25" t="s">
        <v>96</v>
      </c>
      <c r="AT110" s="27" t="s">
        <v>87</v>
      </c>
      <c r="AU110" s="27"/>
      <c r="AW110" s="25" t="s">
        <v>90</v>
      </c>
      <c r="AX110" s="27" t="s">
        <v>95</v>
      </c>
    </row>
    <row r="111" spans="1:53" x14ac:dyDescent="0.2">
      <c r="A111" s="25">
        <v>104</v>
      </c>
      <c r="B111" s="26"/>
      <c r="C111" s="27"/>
      <c r="AS111" s="25" t="s">
        <v>96</v>
      </c>
      <c r="AT111" s="27" t="s">
        <v>87</v>
      </c>
      <c r="AU111" s="27"/>
      <c r="AW111" s="25" t="s">
        <v>90</v>
      </c>
      <c r="AX111" s="27" t="s">
        <v>95</v>
      </c>
    </row>
    <row r="112" spans="1:53" x14ac:dyDescent="0.2">
      <c r="A112" s="25">
        <v>105</v>
      </c>
      <c r="B112" s="26"/>
      <c r="C112" s="27"/>
      <c r="AS112" s="25" t="s">
        <v>96</v>
      </c>
      <c r="AT112" s="27" t="s">
        <v>87</v>
      </c>
      <c r="AU112" s="27"/>
      <c r="AW112" s="25" t="s">
        <v>90</v>
      </c>
      <c r="AX112" s="27" t="s">
        <v>95</v>
      </c>
    </row>
    <row r="113" spans="1:42" x14ac:dyDescent="0.2">
      <c r="A113" s="25">
        <v>106</v>
      </c>
      <c r="B113" s="26"/>
    </row>
    <row r="114" spans="1:42" x14ac:dyDescent="0.2">
      <c r="A114" s="25">
        <v>107</v>
      </c>
      <c r="B114" s="26"/>
      <c r="C114" s="27"/>
      <c r="AN114">
        <v>0.1</v>
      </c>
      <c r="AO114">
        <v>0.1</v>
      </c>
      <c r="AP114">
        <v>0.1</v>
      </c>
    </row>
    <row r="115" spans="1:42" x14ac:dyDescent="0.2">
      <c r="A115" s="25">
        <v>108</v>
      </c>
      <c r="B115" s="26"/>
      <c r="C115" s="27"/>
    </row>
    <row r="116" spans="1:42" x14ac:dyDescent="0.2">
      <c r="A116" s="25">
        <v>109</v>
      </c>
      <c r="B116" s="26"/>
      <c r="C116" s="27"/>
    </row>
    <row r="117" spans="1:42" x14ac:dyDescent="0.2">
      <c r="A117" s="25">
        <v>110</v>
      </c>
      <c r="B117" s="26"/>
      <c r="C117" s="27"/>
    </row>
    <row r="118" spans="1:42" x14ac:dyDescent="0.2">
      <c r="A118" s="25">
        <v>111</v>
      </c>
      <c r="B118" s="26"/>
      <c r="C118" s="27"/>
    </row>
    <row r="119" spans="1:42" s="173" customFormat="1" ht="13" x14ac:dyDescent="0.15">
      <c r="A119" s="173">
        <v>112</v>
      </c>
    </row>
    <row r="120" spans="1:42" x14ac:dyDescent="0.2">
      <c r="A120" s="25">
        <v>113</v>
      </c>
      <c r="B120" s="26"/>
      <c r="C120" s="27"/>
    </row>
    <row r="121" spans="1:42" x14ac:dyDescent="0.2">
      <c r="A121" s="25">
        <v>114</v>
      </c>
      <c r="B121" s="26"/>
      <c r="C121" s="27"/>
    </row>
    <row r="122" spans="1:42" x14ac:dyDescent="0.2">
      <c r="A122" s="25">
        <v>115</v>
      </c>
      <c r="B122" s="26"/>
      <c r="C122" s="27"/>
    </row>
  </sheetData>
  <mergeCells count="52">
    <mergeCell ref="X11:X18"/>
    <mergeCell ref="AV4:AV6"/>
    <mergeCell ref="AW4:AW6"/>
    <mergeCell ref="AG4:AG5"/>
    <mergeCell ref="X4:X6"/>
    <mergeCell ref="O27:O47"/>
    <mergeCell ref="AR4:AR6"/>
    <mergeCell ref="AS4:AS6"/>
    <mergeCell ref="AT4:AT6"/>
    <mergeCell ref="AU4:AU6"/>
    <mergeCell ref="AH4:AH6"/>
    <mergeCell ref="AI4:AK5"/>
    <mergeCell ref="AL4:AL6"/>
    <mergeCell ref="AM4:AM5"/>
    <mergeCell ref="AN4:AP5"/>
    <mergeCell ref="AQ4:AQ6"/>
    <mergeCell ref="Y4:Y6"/>
    <mergeCell ref="Z4:AB5"/>
    <mergeCell ref="AC4:AD5"/>
    <mergeCell ref="AE4:AE6"/>
    <mergeCell ref="AF4:AF6"/>
    <mergeCell ref="H4:I5"/>
    <mergeCell ref="J4:J6"/>
    <mergeCell ref="K4:K6"/>
    <mergeCell ref="L4:L6"/>
    <mergeCell ref="M4:M6"/>
    <mergeCell ref="N4:N6"/>
    <mergeCell ref="AS1:AV3"/>
    <mergeCell ref="AW1:AZ3"/>
    <mergeCell ref="BA1:BA3"/>
    <mergeCell ref="AG3:AK3"/>
    <mergeCell ref="AM3:AP3"/>
    <mergeCell ref="AG1:AP2"/>
    <mergeCell ref="O4:O6"/>
    <mergeCell ref="P4:P6"/>
    <mergeCell ref="Q4:Q6"/>
    <mergeCell ref="R4:T5"/>
    <mergeCell ref="U4:W5"/>
    <mergeCell ref="AX4:AX6"/>
    <mergeCell ref="AY4:AY6"/>
    <mergeCell ref="AZ4:AZ6"/>
    <mergeCell ref="BA4:BA6"/>
    <mergeCell ref="A4:A6"/>
    <mergeCell ref="B4:B6"/>
    <mergeCell ref="C4:C6"/>
    <mergeCell ref="D4:E5"/>
    <mergeCell ref="F4:G5"/>
    <mergeCell ref="A1:C3"/>
    <mergeCell ref="D1:M3"/>
    <mergeCell ref="N1:P3"/>
    <mergeCell ref="Q1:Y3"/>
    <mergeCell ref="Z1:AF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98"/>
  <sheetViews>
    <sheetView zoomScale="73" zoomScaleNormal="73" workbookViewId="0">
      <pane xSplit="1" topLeftCell="B1" activePane="topRight" state="frozen"/>
      <selection pane="topRight" activeCell="BA32" sqref="BA32:BA36"/>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3.1640625" bestFit="1" customWidth="1"/>
    <col min="32" max="32" width="41.1640625" bestFit="1" customWidth="1"/>
    <col min="33" max="33" width="11.83203125" bestFit="1" customWidth="1"/>
    <col min="34" max="34" width="14" bestFit="1" customWidth="1"/>
    <col min="35" max="35" width="4.5" bestFit="1" customWidth="1"/>
    <col min="36" max="36" width="6.5" bestFit="1" customWidth="1"/>
    <col min="37" max="37" width="4.33203125" bestFit="1" customWidth="1"/>
    <col min="38" max="38" width="16.33203125" bestFit="1" customWidth="1"/>
    <col min="39" max="39" width="11.83203125" bestFit="1" customWidth="1"/>
    <col min="40" max="40" width="6" bestFit="1" customWidth="1"/>
    <col min="41" max="41" width="6.5" bestFit="1" customWidth="1"/>
    <col min="42" max="42" width="4.33203125" bestFit="1"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ht="23" x14ac:dyDescent="0.2">
      <c r="A1" s="209" t="s">
        <v>0</v>
      </c>
      <c r="B1" s="210"/>
      <c r="C1" s="210"/>
      <c r="D1" s="215" t="s">
        <v>1</v>
      </c>
      <c r="E1" s="215"/>
      <c r="F1" s="215"/>
      <c r="G1" s="215"/>
      <c r="H1" s="215"/>
      <c r="I1" s="215"/>
      <c r="J1" s="215"/>
      <c r="K1" s="215"/>
      <c r="L1" s="215"/>
      <c r="M1" s="215"/>
      <c r="N1" s="218" t="s">
        <v>2</v>
      </c>
      <c r="O1" s="218"/>
      <c r="P1" s="219"/>
      <c r="Q1" s="224" t="s">
        <v>3</v>
      </c>
      <c r="R1" s="225"/>
      <c r="S1" s="225"/>
      <c r="T1" s="225"/>
      <c r="U1" s="225"/>
      <c r="V1" s="225"/>
      <c r="W1" s="225"/>
      <c r="X1" s="225"/>
      <c r="Y1" s="226"/>
      <c r="Z1" s="230" t="s">
        <v>4</v>
      </c>
      <c r="AA1" s="231"/>
      <c r="AB1" s="231"/>
      <c r="AC1" s="231"/>
      <c r="AD1" s="231"/>
      <c r="AE1" s="231"/>
      <c r="AF1" s="232"/>
      <c r="AG1" s="271" t="s">
        <v>5</v>
      </c>
      <c r="AH1" s="271"/>
      <c r="AI1" s="271"/>
      <c r="AJ1" s="271"/>
      <c r="AK1" s="271"/>
      <c r="AL1" s="271"/>
      <c r="AM1" s="271"/>
      <c r="AN1" s="271"/>
      <c r="AO1" s="271"/>
      <c r="AP1" s="271"/>
      <c r="AQ1" s="1"/>
      <c r="AR1" s="2"/>
      <c r="AS1" s="251" t="s">
        <v>6</v>
      </c>
      <c r="AT1" s="252"/>
      <c r="AU1" s="252"/>
      <c r="AV1" s="252"/>
      <c r="AW1" s="257" t="s">
        <v>7</v>
      </c>
      <c r="AX1" s="258"/>
      <c r="AY1" s="258"/>
      <c r="AZ1" s="259"/>
      <c r="BA1" s="266" t="s">
        <v>8</v>
      </c>
    </row>
    <row r="2" spans="1:53" ht="23" x14ac:dyDescent="0.2">
      <c r="A2" s="211"/>
      <c r="B2" s="212"/>
      <c r="C2" s="212"/>
      <c r="D2" s="216"/>
      <c r="E2" s="216"/>
      <c r="F2" s="216"/>
      <c r="G2" s="216"/>
      <c r="H2" s="216"/>
      <c r="I2" s="216"/>
      <c r="J2" s="216"/>
      <c r="K2" s="216"/>
      <c r="L2" s="216"/>
      <c r="M2" s="216"/>
      <c r="N2" s="220"/>
      <c r="O2" s="220"/>
      <c r="P2" s="221"/>
      <c r="Q2" s="227"/>
      <c r="R2" s="228"/>
      <c r="S2" s="228"/>
      <c r="T2" s="228"/>
      <c r="U2" s="228"/>
      <c r="V2" s="228"/>
      <c r="W2" s="228"/>
      <c r="X2" s="228"/>
      <c r="Y2" s="229"/>
      <c r="Z2" s="233"/>
      <c r="AA2" s="234"/>
      <c r="AB2" s="234"/>
      <c r="AC2" s="234"/>
      <c r="AD2" s="234"/>
      <c r="AE2" s="234"/>
      <c r="AF2" s="235"/>
      <c r="AG2" s="272"/>
      <c r="AH2" s="272"/>
      <c r="AI2" s="272"/>
      <c r="AJ2" s="272"/>
      <c r="AK2" s="272"/>
      <c r="AL2" s="272"/>
      <c r="AM2" s="272"/>
      <c r="AN2" s="272"/>
      <c r="AO2" s="272"/>
      <c r="AP2" s="272"/>
      <c r="AQ2" s="3"/>
      <c r="AR2" s="4"/>
      <c r="AS2" s="253"/>
      <c r="AT2" s="254"/>
      <c r="AU2" s="254"/>
      <c r="AV2" s="254"/>
      <c r="AW2" s="260"/>
      <c r="AX2" s="261"/>
      <c r="AY2" s="261"/>
      <c r="AZ2" s="262"/>
      <c r="BA2" s="267"/>
    </row>
    <row r="3" spans="1:53" ht="21" thickBot="1" x14ac:dyDescent="0.25">
      <c r="A3" s="213"/>
      <c r="B3" s="214"/>
      <c r="C3" s="214"/>
      <c r="D3" s="217"/>
      <c r="E3" s="217"/>
      <c r="F3" s="217"/>
      <c r="G3" s="217"/>
      <c r="H3" s="217"/>
      <c r="I3" s="217"/>
      <c r="J3" s="217"/>
      <c r="K3" s="217"/>
      <c r="L3" s="217"/>
      <c r="M3" s="217"/>
      <c r="N3" s="222"/>
      <c r="O3" s="222"/>
      <c r="P3" s="223"/>
      <c r="Q3" s="227"/>
      <c r="R3" s="228"/>
      <c r="S3" s="228"/>
      <c r="T3" s="228"/>
      <c r="U3" s="228"/>
      <c r="V3" s="228"/>
      <c r="W3" s="228"/>
      <c r="X3" s="228"/>
      <c r="Y3" s="229"/>
      <c r="Z3" s="233"/>
      <c r="AA3" s="234"/>
      <c r="AB3" s="234"/>
      <c r="AC3" s="234"/>
      <c r="AD3" s="234"/>
      <c r="AE3" s="234"/>
      <c r="AF3" s="235"/>
      <c r="AG3" s="269" t="s">
        <v>9</v>
      </c>
      <c r="AH3" s="269"/>
      <c r="AI3" s="269"/>
      <c r="AJ3" s="269"/>
      <c r="AK3" s="270"/>
      <c r="AL3" s="5"/>
      <c r="AM3" s="269" t="s">
        <v>10</v>
      </c>
      <c r="AN3" s="269"/>
      <c r="AO3" s="269"/>
      <c r="AP3" s="270"/>
      <c r="AQ3" s="6"/>
      <c r="AR3" s="7"/>
      <c r="AS3" s="255"/>
      <c r="AT3" s="256"/>
      <c r="AU3" s="256"/>
      <c r="AV3" s="256"/>
      <c r="AW3" s="263"/>
      <c r="AX3" s="264"/>
      <c r="AY3" s="264"/>
      <c r="AZ3" s="265"/>
      <c r="BA3" s="268"/>
    </row>
    <row r="4" spans="1:53" x14ac:dyDescent="0.2">
      <c r="A4" s="236" t="s">
        <v>11</v>
      </c>
      <c r="B4" s="239" t="s">
        <v>12</v>
      </c>
      <c r="C4" s="239" t="s">
        <v>13</v>
      </c>
      <c r="D4" s="242" t="s">
        <v>14</v>
      </c>
      <c r="E4" s="243"/>
      <c r="F4" s="246" t="s">
        <v>15</v>
      </c>
      <c r="G4" s="243"/>
      <c r="H4" s="292" t="s">
        <v>16</v>
      </c>
      <c r="I4" s="293"/>
      <c r="J4" s="296" t="s">
        <v>17</v>
      </c>
      <c r="K4" s="299" t="s">
        <v>18</v>
      </c>
      <c r="L4" s="292" t="s">
        <v>19</v>
      </c>
      <c r="M4" s="303" t="s">
        <v>20</v>
      </c>
      <c r="N4" s="248" t="s">
        <v>21</v>
      </c>
      <c r="O4" s="248" t="s">
        <v>19</v>
      </c>
      <c r="P4" s="248" t="s">
        <v>20</v>
      </c>
      <c r="Q4" s="273" t="s">
        <v>22</v>
      </c>
      <c r="R4" s="276" t="s">
        <v>23</v>
      </c>
      <c r="S4" s="276"/>
      <c r="T4" s="277"/>
      <c r="U4" s="280" t="s">
        <v>24</v>
      </c>
      <c r="V4" s="280"/>
      <c r="W4" s="281"/>
      <c r="X4" s="353" t="s">
        <v>19</v>
      </c>
      <c r="Y4" s="330" t="s">
        <v>20</v>
      </c>
      <c r="Z4" s="333" t="s">
        <v>23</v>
      </c>
      <c r="AA4" s="334"/>
      <c r="AB4" s="335"/>
      <c r="AC4" s="339" t="s">
        <v>24</v>
      </c>
      <c r="AD4" s="339"/>
      <c r="AE4" s="339" t="s">
        <v>19</v>
      </c>
      <c r="AF4" s="342" t="s">
        <v>20</v>
      </c>
      <c r="AG4" s="351" t="s">
        <v>25</v>
      </c>
      <c r="AH4" s="318" t="s">
        <v>26</v>
      </c>
      <c r="AI4" s="321" t="s">
        <v>24</v>
      </c>
      <c r="AJ4" s="321"/>
      <c r="AK4" s="321"/>
      <c r="AL4" s="323" t="s">
        <v>27</v>
      </c>
      <c r="AM4" s="325" t="s">
        <v>25</v>
      </c>
      <c r="AN4" s="321" t="s">
        <v>24</v>
      </c>
      <c r="AO4" s="321"/>
      <c r="AP4" s="309"/>
      <c r="AQ4" s="327" t="s">
        <v>19</v>
      </c>
      <c r="AR4" s="309" t="s">
        <v>20</v>
      </c>
      <c r="AS4" s="312" t="s">
        <v>28</v>
      </c>
      <c r="AT4" s="315" t="s">
        <v>29</v>
      </c>
      <c r="AU4" s="315" t="s">
        <v>19</v>
      </c>
      <c r="AV4" s="315" t="s">
        <v>20</v>
      </c>
      <c r="AW4" s="348" t="s">
        <v>30</v>
      </c>
      <c r="AX4" s="284" t="s">
        <v>29</v>
      </c>
      <c r="AY4" s="284" t="s">
        <v>19</v>
      </c>
      <c r="AZ4" s="287" t="s">
        <v>20</v>
      </c>
      <c r="BA4" s="290" t="s">
        <v>31</v>
      </c>
    </row>
    <row r="5" spans="1:53" x14ac:dyDescent="0.2">
      <c r="A5" s="237"/>
      <c r="B5" s="240"/>
      <c r="C5" s="240"/>
      <c r="D5" s="244"/>
      <c r="E5" s="245"/>
      <c r="F5" s="247"/>
      <c r="G5" s="245"/>
      <c r="H5" s="294"/>
      <c r="I5" s="295"/>
      <c r="J5" s="297"/>
      <c r="K5" s="300"/>
      <c r="L5" s="294"/>
      <c r="M5" s="304"/>
      <c r="N5" s="249"/>
      <c r="O5" s="249"/>
      <c r="P5" s="249"/>
      <c r="Q5" s="274"/>
      <c r="R5" s="278"/>
      <c r="S5" s="278"/>
      <c r="T5" s="279"/>
      <c r="U5" s="282"/>
      <c r="V5" s="282"/>
      <c r="W5" s="283"/>
      <c r="X5" s="354"/>
      <c r="Y5" s="331"/>
      <c r="Z5" s="336"/>
      <c r="AA5" s="337"/>
      <c r="AB5" s="338"/>
      <c r="AC5" s="340"/>
      <c r="AD5" s="340"/>
      <c r="AE5" s="340"/>
      <c r="AF5" s="343"/>
      <c r="AG5" s="352"/>
      <c r="AH5" s="319"/>
      <c r="AI5" s="322"/>
      <c r="AJ5" s="322"/>
      <c r="AK5" s="322"/>
      <c r="AL5" s="324"/>
      <c r="AM5" s="326"/>
      <c r="AN5" s="322"/>
      <c r="AO5" s="322"/>
      <c r="AP5" s="310"/>
      <c r="AQ5" s="328"/>
      <c r="AR5" s="310"/>
      <c r="AS5" s="313"/>
      <c r="AT5" s="316"/>
      <c r="AU5" s="316"/>
      <c r="AV5" s="316"/>
      <c r="AW5" s="349"/>
      <c r="AX5" s="285"/>
      <c r="AY5" s="285"/>
      <c r="AZ5" s="288"/>
      <c r="BA5" s="290"/>
    </row>
    <row r="6" spans="1:53" ht="16" thickBot="1" x14ac:dyDescent="0.25">
      <c r="A6" s="238"/>
      <c r="B6" s="241"/>
      <c r="C6" s="241"/>
      <c r="D6" s="8" t="s">
        <v>32</v>
      </c>
      <c r="E6" s="9" t="s">
        <v>33</v>
      </c>
      <c r="F6" s="10" t="s">
        <v>32</v>
      </c>
      <c r="G6" s="9" t="s">
        <v>33</v>
      </c>
      <c r="H6" s="11" t="s">
        <v>32</v>
      </c>
      <c r="I6" s="12" t="s">
        <v>33</v>
      </c>
      <c r="J6" s="298"/>
      <c r="K6" s="301"/>
      <c r="L6" s="302"/>
      <c r="M6" s="305"/>
      <c r="N6" s="250"/>
      <c r="O6" s="250"/>
      <c r="P6" s="250"/>
      <c r="Q6" s="275"/>
      <c r="R6" s="13" t="s">
        <v>32</v>
      </c>
      <c r="S6" s="13" t="s">
        <v>34</v>
      </c>
      <c r="T6" s="14" t="s">
        <v>33</v>
      </c>
      <c r="U6" s="15" t="s">
        <v>32</v>
      </c>
      <c r="V6" s="15" t="s">
        <v>34</v>
      </c>
      <c r="W6" s="16" t="s">
        <v>33</v>
      </c>
      <c r="X6" s="355"/>
      <c r="Y6" s="332"/>
      <c r="Z6" s="17" t="s">
        <v>32</v>
      </c>
      <c r="AA6" s="18" t="s">
        <v>34</v>
      </c>
      <c r="AB6" s="19" t="s">
        <v>33</v>
      </c>
      <c r="AC6" s="20" t="s">
        <v>32</v>
      </c>
      <c r="AD6" s="20" t="s">
        <v>34</v>
      </c>
      <c r="AE6" s="341"/>
      <c r="AF6" s="344"/>
      <c r="AG6" s="21" t="s">
        <v>34</v>
      </c>
      <c r="AH6" s="320"/>
      <c r="AI6" s="22" t="s">
        <v>32</v>
      </c>
      <c r="AJ6" s="22" t="s">
        <v>34</v>
      </c>
      <c r="AK6" s="22" t="s">
        <v>33</v>
      </c>
      <c r="AL6" s="324"/>
      <c r="AM6" s="23" t="s">
        <v>33</v>
      </c>
      <c r="AN6" s="22" t="s">
        <v>32</v>
      </c>
      <c r="AO6" s="22" t="s">
        <v>34</v>
      </c>
      <c r="AP6" s="24" t="s">
        <v>33</v>
      </c>
      <c r="AQ6" s="329"/>
      <c r="AR6" s="311"/>
      <c r="AS6" s="314"/>
      <c r="AT6" s="317"/>
      <c r="AU6" s="317"/>
      <c r="AV6" s="317"/>
      <c r="AW6" s="350"/>
      <c r="AX6" s="286"/>
      <c r="AY6" s="286"/>
      <c r="AZ6" s="289"/>
      <c r="BA6" s="291"/>
    </row>
    <row r="7" spans="1:53" ht="16" thickBot="1" x14ac:dyDescent="0.25">
      <c r="A7" s="25">
        <v>0</v>
      </c>
      <c r="B7" s="26"/>
      <c r="C7" s="27"/>
      <c r="D7" s="25"/>
      <c r="E7" s="28"/>
      <c r="F7" s="27"/>
      <c r="G7" s="28"/>
      <c r="H7" s="27"/>
      <c r="I7" s="28"/>
      <c r="J7" s="27">
        <v>0.8</v>
      </c>
      <c r="K7" s="29" t="s">
        <v>35</v>
      </c>
      <c r="L7" s="30" t="s">
        <v>36</v>
      </c>
      <c r="M7" s="31"/>
      <c r="N7" s="27"/>
      <c r="P7" s="32"/>
      <c r="Q7" s="25"/>
      <c r="R7" s="27"/>
      <c r="S7" s="27"/>
      <c r="T7" s="28"/>
      <c r="U7" s="27"/>
      <c r="V7" s="27"/>
      <c r="W7" s="28"/>
      <c r="X7" s="33"/>
      <c r="Y7" s="32"/>
      <c r="Z7" s="25"/>
      <c r="AA7" s="27"/>
      <c r="AB7" s="28"/>
      <c r="AC7" s="27"/>
      <c r="AD7" s="27"/>
      <c r="AE7" s="33"/>
      <c r="AG7" s="25"/>
      <c r="AH7" s="34"/>
      <c r="AI7" s="27"/>
      <c r="AJ7" s="27"/>
      <c r="AK7" s="27"/>
      <c r="AL7" s="25"/>
      <c r="AM7" s="35"/>
      <c r="AN7" s="27"/>
      <c r="AO7" s="27"/>
      <c r="AP7" s="36"/>
      <c r="AQ7" s="37"/>
      <c r="AR7" s="32"/>
      <c r="AS7" s="25"/>
      <c r="AT7" s="27"/>
      <c r="AU7" s="27"/>
      <c r="AW7" s="25"/>
      <c r="AX7" s="27"/>
      <c r="AY7" s="27"/>
      <c r="AZ7" s="32"/>
      <c r="BA7" s="38"/>
    </row>
    <row r="8" spans="1:53" ht="16" thickBot="1" x14ac:dyDescent="0.25">
      <c r="A8" s="25">
        <v>1</v>
      </c>
      <c r="B8" s="26"/>
      <c r="C8" s="27"/>
      <c r="D8" s="25"/>
      <c r="E8" s="28"/>
      <c r="F8" s="27"/>
      <c r="G8" s="28"/>
      <c r="H8" s="27"/>
      <c r="I8" s="28"/>
      <c r="J8" s="27">
        <v>0.8</v>
      </c>
      <c r="K8" s="29" t="s">
        <v>35</v>
      </c>
      <c r="L8" s="39"/>
      <c r="M8" s="31"/>
      <c r="N8" s="27"/>
      <c r="P8" s="32"/>
      <c r="Q8" s="40"/>
      <c r="R8" s="27"/>
      <c r="S8" s="27"/>
      <c r="T8" s="28"/>
      <c r="U8" s="27"/>
      <c r="V8" s="27"/>
      <c r="W8" s="28"/>
      <c r="X8" s="33"/>
      <c r="Y8" s="32"/>
      <c r="Z8" s="25"/>
      <c r="AA8" s="27"/>
      <c r="AB8" s="28"/>
      <c r="AC8" s="27"/>
      <c r="AD8" s="27"/>
      <c r="AE8" s="33"/>
      <c r="AG8" s="25"/>
      <c r="AH8" s="34"/>
      <c r="AI8" s="27"/>
      <c r="AJ8" s="27"/>
      <c r="AK8" s="27"/>
      <c r="AL8" s="25"/>
      <c r="AM8" s="34"/>
      <c r="AN8" s="27"/>
      <c r="AO8" s="27"/>
      <c r="AP8" s="36"/>
      <c r="AQ8" s="37"/>
      <c r="AR8" s="32"/>
      <c r="AS8" s="25"/>
      <c r="AT8" s="27"/>
      <c r="AU8" s="27"/>
      <c r="AW8" s="25"/>
      <c r="AX8" s="27"/>
      <c r="AY8" s="27"/>
      <c r="AZ8" s="32"/>
      <c r="BA8" s="41"/>
    </row>
    <row r="9" spans="1:53" ht="16" thickBot="1" x14ac:dyDescent="0.25">
      <c r="A9" s="25">
        <v>2</v>
      </c>
      <c r="B9" s="26"/>
      <c r="C9" s="27"/>
      <c r="D9" s="25"/>
      <c r="E9" s="28"/>
      <c r="F9" s="27"/>
      <c r="G9" s="28"/>
      <c r="H9" s="27"/>
      <c r="I9" s="28"/>
      <c r="J9" s="27">
        <v>0.8</v>
      </c>
      <c r="K9" s="29" t="s">
        <v>35</v>
      </c>
      <c r="L9" s="39"/>
      <c r="M9" s="31"/>
      <c r="N9" s="27"/>
      <c r="O9" s="42"/>
      <c r="Q9" s="43" t="s">
        <v>37</v>
      </c>
      <c r="R9" s="27"/>
      <c r="S9" s="27"/>
      <c r="T9" s="28"/>
      <c r="U9" s="27"/>
      <c r="V9" s="27"/>
      <c r="W9" s="28"/>
      <c r="X9" s="33"/>
      <c r="Y9" s="32"/>
      <c r="Z9" s="25"/>
      <c r="AA9" s="27"/>
      <c r="AB9" s="28"/>
      <c r="AC9" s="27"/>
      <c r="AD9" s="27"/>
      <c r="AE9" s="33"/>
      <c r="AG9" s="25"/>
      <c r="AH9" s="34"/>
      <c r="AI9" s="27"/>
      <c r="AJ9" s="27"/>
      <c r="AK9" s="27"/>
      <c r="AL9" s="25"/>
      <c r="AM9" s="34"/>
      <c r="AN9" s="27"/>
      <c r="AO9" s="27"/>
      <c r="AP9" s="36"/>
      <c r="AQ9" s="37"/>
      <c r="AR9" s="32"/>
      <c r="AS9" s="25"/>
      <c r="AT9" s="27"/>
      <c r="AU9" s="27"/>
      <c r="AW9" s="25"/>
      <c r="AX9" s="27"/>
      <c r="AY9" s="27"/>
      <c r="AZ9" s="32"/>
      <c r="BA9" s="41"/>
    </row>
    <row r="10" spans="1:53" ht="16" thickBot="1" x14ac:dyDescent="0.25">
      <c r="A10" s="25">
        <v>3</v>
      </c>
      <c r="B10" s="26"/>
      <c r="C10" s="27"/>
      <c r="D10" s="25"/>
      <c r="E10" s="28"/>
      <c r="F10" s="27"/>
      <c r="G10" s="28"/>
      <c r="H10" s="27"/>
      <c r="I10" s="28"/>
      <c r="J10" s="27">
        <v>1.2</v>
      </c>
      <c r="K10" s="29" t="s">
        <v>35</v>
      </c>
      <c r="L10" s="44" t="s">
        <v>38</v>
      </c>
      <c r="M10" s="31" t="s">
        <v>39</v>
      </c>
      <c r="N10" s="27" t="s">
        <v>40</v>
      </c>
      <c r="O10" s="45" t="s">
        <v>41</v>
      </c>
      <c r="P10" s="46"/>
      <c r="Q10" s="25"/>
      <c r="R10" s="27"/>
      <c r="S10" s="27"/>
      <c r="T10" s="28"/>
      <c r="U10" s="27" t="s">
        <v>42</v>
      </c>
      <c r="V10" s="27"/>
      <c r="W10" s="28" t="s">
        <v>42</v>
      </c>
      <c r="X10" s="47" t="s">
        <v>43</v>
      </c>
      <c r="Y10" s="32" t="s">
        <v>44</v>
      </c>
      <c r="Z10" s="25"/>
      <c r="AA10" s="27"/>
      <c r="AB10" s="28"/>
      <c r="AC10" s="27" t="s">
        <v>42</v>
      </c>
      <c r="AD10" s="27"/>
      <c r="AE10" s="48" t="s">
        <v>45</v>
      </c>
      <c r="AG10" s="25"/>
      <c r="AH10" s="34"/>
      <c r="AI10" s="27"/>
      <c r="AJ10" s="27"/>
      <c r="AK10" s="27"/>
      <c r="AL10" s="25"/>
      <c r="AM10" s="34"/>
      <c r="AN10" s="27"/>
      <c r="AO10" s="27"/>
      <c r="AP10" s="36"/>
      <c r="AQ10" s="37"/>
      <c r="AR10" s="32"/>
      <c r="AS10" s="25"/>
      <c r="AT10" s="27"/>
      <c r="AU10" s="27"/>
      <c r="AW10" s="25"/>
      <c r="AX10" s="27"/>
      <c r="AY10" s="27"/>
      <c r="AZ10" s="32"/>
      <c r="BA10" s="41"/>
    </row>
    <row r="11" spans="1:53" x14ac:dyDescent="0.2">
      <c r="A11" s="25">
        <v>4</v>
      </c>
      <c r="B11" s="26"/>
      <c r="C11" s="27"/>
      <c r="D11" s="25"/>
      <c r="E11" s="28"/>
      <c r="F11" s="27"/>
      <c r="G11" s="28"/>
      <c r="H11" s="27"/>
      <c r="I11" s="28"/>
      <c r="J11" s="27">
        <v>1.2</v>
      </c>
      <c r="K11" s="29" t="s">
        <v>35</v>
      </c>
      <c r="L11" s="39"/>
      <c r="M11" s="31"/>
      <c r="N11" s="27" t="s">
        <v>40</v>
      </c>
      <c r="O11" t="s">
        <v>46</v>
      </c>
      <c r="P11" s="32"/>
      <c r="Q11" s="25"/>
      <c r="R11" s="27"/>
      <c r="S11" s="27"/>
      <c r="T11" s="28"/>
      <c r="U11" s="27" t="s">
        <v>42</v>
      </c>
      <c r="V11" s="27"/>
      <c r="W11" s="28" t="s">
        <v>42</v>
      </c>
      <c r="X11" s="345" t="s">
        <v>47</v>
      </c>
      <c r="Y11" s="32"/>
      <c r="Z11" s="25"/>
      <c r="AA11" s="27"/>
      <c r="AB11" s="28"/>
      <c r="AC11" s="27" t="s">
        <v>42</v>
      </c>
      <c r="AD11" s="27"/>
      <c r="AE11" s="33"/>
      <c r="AG11" s="25"/>
      <c r="AH11" s="34"/>
      <c r="AI11" s="27"/>
      <c r="AJ11" s="27"/>
      <c r="AK11" s="27"/>
      <c r="AL11" s="25"/>
      <c r="AM11" s="34"/>
      <c r="AN11" s="27"/>
      <c r="AO11" s="27"/>
      <c r="AP11" s="36"/>
      <c r="AQ11" s="37"/>
      <c r="AR11" s="32"/>
      <c r="AS11" s="25"/>
      <c r="AT11" s="27"/>
      <c r="AU11" s="27"/>
      <c r="AW11" s="25"/>
      <c r="AX11" s="27"/>
      <c r="AY11" s="27"/>
      <c r="AZ11" s="32"/>
      <c r="BA11" s="41"/>
    </row>
    <row r="12" spans="1:53" x14ac:dyDescent="0.2">
      <c r="A12" s="25">
        <v>5</v>
      </c>
      <c r="B12" s="26"/>
      <c r="C12" s="27"/>
      <c r="D12" s="25"/>
      <c r="E12" s="28"/>
      <c r="F12" s="27"/>
      <c r="G12" s="28"/>
      <c r="H12" s="27"/>
      <c r="I12" s="28"/>
      <c r="J12" s="27">
        <v>1.2</v>
      </c>
      <c r="K12" s="29" t="s">
        <v>35</v>
      </c>
      <c r="L12" s="39"/>
      <c r="M12" s="31"/>
      <c r="N12" s="27" t="s">
        <v>40</v>
      </c>
      <c r="P12" s="32"/>
      <c r="Q12" s="25"/>
      <c r="R12" s="27"/>
      <c r="S12" s="27"/>
      <c r="T12" s="28"/>
      <c r="U12" s="27" t="s">
        <v>42</v>
      </c>
      <c r="V12" s="27"/>
      <c r="W12" s="28" t="s">
        <v>42</v>
      </c>
      <c r="X12" s="346"/>
      <c r="Y12" s="32"/>
      <c r="Z12" s="25"/>
      <c r="AA12" s="27"/>
      <c r="AB12" s="28"/>
      <c r="AC12" s="27" t="s">
        <v>42</v>
      </c>
      <c r="AD12" s="27"/>
      <c r="AE12" s="33"/>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6</v>
      </c>
      <c r="B13" s="26"/>
      <c r="C13" s="27"/>
      <c r="D13" s="25"/>
      <c r="E13" s="28"/>
      <c r="F13" s="27"/>
      <c r="G13" s="28"/>
      <c r="H13" s="27"/>
      <c r="I13" s="28"/>
      <c r="J13" s="27">
        <v>1.2</v>
      </c>
      <c r="K13" s="29" t="s">
        <v>35</v>
      </c>
      <c r="L13" s="39"/>
      <c r="M13" s="31"/>
      <c r="N13" s="27" t="s">
        <v>40</v>
      </c>
      <c r="P13" s="32"/>
      <c r="Q13" s="25"/>
      <c r="R13" s="27"/>
      <c r="S13" s="27"/>
      <c r="T13" s="28"/>
      <c r="U13" s="27" t="s">
        <v>42</v>
      </c>
      <c r="V13" s="27"/>
      <c r="W13" s="28" t="s">
        <v>42</v>
      </c>
      <c r="X13" s="346"/>
      <c r="Y13" s="32"/>
      <c r="Z13" s="25"/>
      <c r="AA13" s="27"/>
      <c r="AB13" s="28"/>
      <c r="AC13" s="27" t="s">
        <v>42</v>
      </c>
      <c r="AD13" s="27"/>
      <c r="AE13" s="33"/>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7</v>
      </c>
      <c r="B14" s="26"/>
      <c r="C14" s="27"/>
      <c r="D14" s="25"/>
      <c r="E14" s="28"/>
      <c r="F14" s="27"/>
      <c r="G14" s="28"/>
      <c r="H14" s="27"/>
      <c r="I14" s="28"/>
      <c r="J14" s="27">
        <v>1.2</v>
      </c>
      <c r="K14" s="29" t="s">
        <v>35</v>
      </c>
      <c r="L14" s="39"/>
      <c r="M14" s="31"/>
      <c r="N14" s="27" t="s">
        <v>40</v>
      </c>
      <c r="P14" s="32"/>
      <c r="Q14" s="25"/>
      <c r="R14" s="27"/>
      <c r="S14" s="27"/>
      <c r="T14" s="28"/>
      <c r="U14" s="27" t="s">
        <v>42</v>
      </c>
      <c r="V14" s="27"/>
      <c r="W14" s="28" t="s">
        <v>42</v>
      </c>
      <c r="X14" s="346"/>
      <c r="Y14" s="32"/>
      <c r="Z14" s="25"/>
      <c r="AA14" s="27"/>
      <c r="AB14" s="28"/>
      <c r="AC14" s="27" t="s">
        <v>42</v>
      </c>
      <c r="AD14" s="27"/>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8</v>
      </c>
      <c r="B15" s="26"/>
      <c r="C15" s="27"/>
      <c r="D15" s="25"/>
      <c r="E15" s="28"/>
      <c r="F15" s="27"/>
      <c r="G15" s="28"/>
      <c r="H15" s="27"/>
      <c r="I15" s="28"/>
      <c r="J15" s="27">
        <v>1.2</v>
      </c>
      <c r="K15" s="29" t="s">
        <v>35</v>
      </c>
      <c r="L15" s="39"/>
      <c r="M15" s="31"/>
      <c r="N15" s="27" t="s">
        <v>40</v>
      </c>
      <c r="P15" s="32"/>
      <c r="Q15" s="25"/>
      <c r="R15" s="27"/>
      <c r="S15" s="27"/>
      <c r="T15" s="28"/>
      <c r="U15" s="27" t="s">
        <v>42</v>
      </c>
      <c r="V15" s="27"/>
      <c r="W15" s="28" t="s">
        <v>42</v>
      </c>
      <c r="X15" s="346"/>
      <c r="Y15" s="32"/>
      <c r="Z15" s="25"/>
      <c r="AA15" s="27"/>
      <c r="AB15" s="28"/>
      <c r="AC15" s="27" t="s">
        <v>42</v>
      </c>
      <c r="AD15" s="27"/>
      <c r="AE15" s="33"/>
      <c r="AG15" s="25"/>
      <c r="AH15" s="34"/>
      <c r="AI15" s="27"/>
      <c r="AJ15" s="27"/>
      <c r="AK15" s="27"/>
      <c r="AL15" s="25"/>
      <c r="AM15" s="34"/>
      <c r="AN15" s="27"/>
      <c r="AO15" s="27"/>
      <c r="AP15" s="36"/>
      <c r="AQ15" s="37"/>
      <c r="AR15" s="32"/>
      <c r="AS15" s="25"/>
      <c r="AT15" s="27"/>
      <c r="AU15" s="27"/>
      <c r="AW15" s="25"/>
      <c r="AX15" s="27"/>
      <c r="AY15" s="27"/>
      <c r="AZ15" s="32"/>
      <c r="BA15" s="41"/>
    </row>
    <row r="16" spans="1:53" ht="16" thickBot="1" x14ac:dyDescent="0.25">
      <c r="A16" s="25">
        <v>9</v>
      </c>
      <c r="B16" s="26"/>
      <c r="C16" s="27"/>
      <c r="D16" s="25"/>
      <c r="E16" s="28"/>
      <c r="F16" s="27"/>
      <c r="G16" s="28"/>
      <c r="H16" s="27"/>
      <c r="I16" s="28"/>
      <c r="J16" s="27">
        <v>1.2</v>
      </c>
      <c r="K16" s="29" t="s">
        <v>35</v>
      </c>
      <c r="L16" s="39"/>
      <c r="M16" s="31"/>
      <c r="N16" s="27" t="s">
        <v>40</v>
      </c>
      <c r="P16" s="32"/>
      <c r="Q16" s="25"/>
      <c r="R16" s="27"/>
      <c r="S16" s="27"/>
      <c r="T16" s="28"/>
      <c r="U16" s="27" t="s">
        <v>42</v>
      </c>
      <c r="V16" s="27"/>
      <c r="W16" s="28" t="s">
        <v>42</v>
      </c>
      <c r="X16" s="346"/>
      <c r="Y16" s="32"/>
      <c r="Z16" s="25"/>
      <c r="AA16" s="27"/>
      <c r="AB16" s="28"/>
      <c r="AC16" s="27" t="s">
        <v>48</v>
      </c>
      <c r="AD16" s="27"/>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10</v>
      </c>
      <c r="B17" s="26"/>
      <c r="C17" s="27"/>
      <c r="D17" s="25"/>
      <c r="E17" s="28"/>
      <c r="F17" s="27"/>
      <c r="G17" s="28"/>
      <c r="H17" s="27"/>
      <c r="I17" s="28"/>
      <c r="J17" s="27">
        <v>1.2</v>
      </c>
      <c r="K17" s="29" t="s">
        <v>35</v>
      </c>
      <c r="L17" s="39"/>
      <c r="M17" s="31"/>
      <c r="N17" s="27" t="s">
        <v>40</v>
      </c>
      <c r="O17" s="49"/>
      <c r="P17" s="32"/>
      <c r="Q17" s="25"/>
      <c r="R17" s="27"/>
      <c r="S17" s="27"/>
      <c r="T17" s="28"/>
      <c r="U17" s="27" t="s">
        <v>42</v>
      </c>
      <c r="V17" s="27"/>
      <c r="W17" s="28" t="s">
        <v>42</v>
      </c>
      <c r="X17" s="346"/>
      <c r="Y17" s="32"/>
      <c r="Z17" s="25"/>
      <c r="AA17" s="27"/>
      <c r="AB17" s="28"/>
      <c r="AC17" s="27" t="s">
        <v>48</v>
      </c>
      <c r="AD17" s="27"/>
      <c r="AE17" s="50"/>
      <c r="AF17" s="51"/>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11</v>
      </c>
      <c r="B18" s="26"/>
      <c r="C18" s="27"/>
      <c r="D18" s="25"/>
      <c r="E18" s="28"/>
      <c r="F18" s="27"/>
      <c r="G18" s="28"/>
      <c r="H18" s="27"/>
      <c r="I18" s="28"/>
      <c r="J18" s="27">
        <v>1.2</v>
      </c>
      <c r="K18" s="29" t="s">
        <v>35</v>
      </c>
      <c r="L18" s="52"/>
      <c r="M18" s="31"/>
      <c r="N18" s="27" t="s">
        <v>40</v>
      </c>
      <c r="P18" s="32"/>
      <c r="Q18" s="25"/>
      <c r="R18" s="27"/>
      <c r="S18" s="27"/>
      <c r="T18" s="28"/>
      <c r="U18" s="27">
        <v>1</v>
      </c>
      <c r="V18" s="27"/>
      <c r="W18" s="28">
        <v>1</v>
      </c>
      <c r="X18" s="347"/>
      <c r="Y18" s="32"/>
      <c r="Z18" s="25"/>
      <c r="AA18" s="27"/>
      <c r="AB18" s="28"/>
      <c r="AC18" s="27">
        <v>1</v>
      </c>
      <c r="AD18" s="27"/>
      <c r="AE18" s="33"/>
      <c r="AF18" s="46"/>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12</v>
      </c>
      <c r="B19" s="26"/>
      <c r="C19" s="27"/>
      <c r="D19" s="25"/>
      <c r="E19" s="28"/>
      <c r="F19" s="27"/>
      <c r="G19" s="28"/>
      <c r="H19" s="27"/>
      <c r="I19" s="28"/>
      <c r="J19" s="27">
        <v>1.2</v>
      </c>
      <c r="K19" s="29" t="s">
        <v>35</v>
      </c>
      <c r="L19" s="53"/>
      <c r="M19" s="31"/>
      <c r="N19" s="27" t="s">
        <v>40</v>
      </c>
      <c r="P19" s="32"/>
      <c r="Q19" s="25"/>
      <c r="R19" s="27"/>
      <c r="S19" s="27"/>
      <c r="T19" s="28"/>
      <c r="U19" s="27">
        <v>1</v>
      </c>
      <c r="V19" s="27"/>
      <c r="W19" s="28">
        <v>1</v>
      </c>
      <c r="X19" s="54" t="s">
        <v>49</v>
      </c>
      <c r="Y19" s="32"/>
      <c r="Z19" s="25"/>
      <c r="AA19" s="27"/>
      <c r="AB19" s="28"/>
      <c r="AC19" s="27">
        <v>1</v>
      </c>
      <c r="AD19" s="27"/>
      <c r="AE19" s="33"/>
      <c r="AG19" s="25"/>
      <c r="AH19" s="34"/>
      <c r="AI19" s="27"/>
      <c r="AJ19" s="27"/>
      <c r="AK19" s="27"/>
      <c r="AL19" s="25"/>
      <c r="AM19" s="34"/>
      <c r="AN19" s="27"/>
      <c r="AO19" s="27"/>
      <c r="AP19" s="36"/>
      <c r="AQ19" s="37"/>
      <c r="AR19" s="32"/>
      <c r="AS19" s="25"/>
      <c r="AT19" s="27"/>
      <c r="AU19" s="27"/>
      <c r="AW19" s="25"/>
      <c r="AX19" s="27"/>
      <c r="AY19" s="27"/>
      <c r="AZ19" s="32"/>
      <c r="BA19" s="41"/>
    </row>
    <row r="20" spans="1:53" ht="16" thickBot="1" x14ac:dyDescent="0.25">
      <c r="A20" s="25">
        <v>13</v>
      </c>
      <c r="B20" s="26"/>
      <c r="C20" s="27"/>
      <c r="D20" s="25"/>
      <c r="E20" s="28"/>
      <c r="F20" s="27"/>
      <c r="G20" s="28"/>
      <c r="H20" s="27"/>
      <c r="I20" s="28"/>
      <c r="J20" s="27">
        <v>1.2</v>
      </c>
      <c r="K20" s="29" t="s">
        <v>35</v>
      </c>
      <c r="L20" s="39"/>
      <c r="M20" s="31"/>
      <c r="N20" s="27" t="s">
        <v>40</v>
      </c>
      <c r="P20" s="32"/>
      <c r="Q20" s="25"/>
      <c r="R20" s="27"/>
      <c r="S20" s="27"/>
      <c r="T20" s="28"/>
      <c r="U20" s="27">
        <v>1</v>
      </c>
      <c r="V20" s="27"/>
      <c r="W20" s="28">
        <v>1</v>
      </c>
      <c r="X20" s="33">
        <v>1</v>
      </c>
      <c r="Y20" s="32"/>
      <c r="Z20" s="55"/>
      <c r="AA20" s="56"/>
      <c r="AB20" s="57"/>
      <c r="AC20" s="27" t="s">
        <v>50</v>
      </c>
      <c r="AD20" s="27"/>
      <c r="AE20" s="33"/>
      <c r="AG20" s="25"/>
      <c r="AH20" s="34"/>
      <c r="AI20" s="27"/>
      <c r="AJ20" s="27"/>
      <c r="AK20" s="27"/>
      <c r="AL20" s="25"/>
      <c r="AM20" s="34"/>
      <c r="AN20" s="27"/>
      <c r="AO20" s="27"/>
      <c r="AP20" s="36"/>
      <c r="AQ20" s="37"/>
      <c r="AR20" s="32"/>
      <c r="AS20" s="25" t="s">
        <v>51</v>
      </c>
      <c r="AT20" s="27" t="s">
        <v>52</v>
      </c>
      <c r="AU20" s="58" t="s">
        <v>53</v>
      </c>
      <c r="AW20" s="25"/>
      <c r="AX20" s="27"/>
      <c r="AY20" s="27"/>
      <c r="AZ20" s="32"/>
      <c r="BA20" s="41"/>
    </row>
    <row r="21" spans="1:53" ht="16" thickBot="1" x14ac:dyDescent="0.25">
      <c r="A21" s="25">
        <v>14</v>
      </c>
      <c r="B21" s="26"/>
      <c r="C21" s="27"/>
      <c r="D21" s="25"/>
      <c r="E21" s="28"/>
      <c r="F21" s="27"/>
      <c r="G21" s="28"/>
      <c r="H21" s="27"/>
      <c r="I21" s="28"/>
      <c r="J21" s="27">
        <v>1.2</v>
      </c>
      <c r="K21" s="29" t="s">
        <v>35</v>
      </c>
      <c r="L21" s="39"/>
      <c r="M21" s="31"/>
      <c r="N21" s="27" t="s">
        <v>40</v>
      </c>
      <c r="P21" s="32"/>
      <c r="Q21" s="25"/>
      <c r="R21" s="27"/>
      <c r="S21" s="27"/>
      <c r="T21" s="28"/>
      <c r="U21" s="27" t="s">
        <v>54</v>
      </c>
      <c r="V21" s="27"/>
      <c r="W21" s="27"/>
      <c r="X21" s="33"/>
      <c r="Y21" s="32"/>
      <c r="Z21" s="59"/>
      <c r="AA21" s="60"/>
      <c r="AB21" s="61"/>
      <c r="AC21" s="27" t="s">
        <v>50</v>
      </c>
      <c r="AD21" s="27"/>
      <c r="AE21" s="33"/>
      <c r="AG21" s="25"/>
      <c r="AH21" s="34"/>
      <c r="AI21" s="27"/>
      <c r="AJ21" s="27"/>
      <c r="AK21" s="27"/>
      <c r="AL21" s="25"/>
      <c r="AM21" s="34"/>
      <c r="AN21" s="27"/>
      <c r="AO21" s="27"/>
      <c r="AP21" s="36"/>
      <c r="AQ21" s="37"/>
      <c r="AR21" s="32"/>
      <c r="AS21" s="25" t="s">
        <v>51</v>
      </c>
      <c r="AT21" s="27" t="s">
        <v>52</v>
      </c>
      <c r="AW21" s="25"/>
      <c r="AX21" s="27"/>
      <c r="AY21" s="27"/>
      <c r="AZ21" s="32"/>
      <c r="BA21" s="62"/>
    </row>
    <row r="22" spans="1:53" ht="16" thickBot="1" x14ac:dyDescent="0.25">
      <c r="A22" s="25">
        <v>15</v>
      </c>
      <c r="B22" s="26"/>
      <c r="C22" s="27"/>
      <c r="D22" s="25"/>
      <c r="E22" s="28"/>
      <c r="F22" s="27"/>
      <c r="G22" s="28"/>
      <c r="H22" s="27"/>
      <c r="I22" s="28"/>
      <c r="J22" s="27">
        <v>1.2</v>
      </c>
      <c r="K22" s="29" t="s">
        <v>35</v>
      </c>
      <c r="L22" s="39"/>
      <c r="M22" s="31"/>
      <c r="N22" s="27" t="s">
        <v>40</v>
      </c>
      <c r="P22" s="32"/>
      <c r="Q22" s="25"/>
      <c r="R22" s="27"/>
      <c r="S22" s="27"/>
      <c r="T22" s="28"/>
      <c r="U22" s="27" t="s">
        <v>55</v>
      </c>
      <c r="V22" s="27"/>
      <c r="W22" s="28" t="s">
        <v>55</v>
      </c>
      <c r="X22" s="33"/>
      <c r="Y22" s="32"/>
      <c r="Z22" s="25"/>
      <c r="AA22" s="27"/>
      <c r="AB22" s="28"/>
      <c r="AC22" s="27" t="s">
        <v>56</v>
      </c>
      <c r="AD22" s="27"/>
      <c r="AE22" s="33"/>
      <c r="AG22" s="25"/>
      <c r="AH22" s="34"/>
      <c r="AI22" s="27"/>
      <c r="AJ22" s="27"/>
      <c r="AK22" s="27"/>
      <c r="AL22" s="25"/>
      <c r="AM22" s="34"/>
      <c r="AN22" s="27"/>
      <c r="AO22" s="27"/>
      <c r="AP22" s="36"/>
      <c r="AQ22" s="37"/>
      <c r="AR22" s="46"/>
      <c r="AS22" s="25" t="s">
        <v>57</v>
      </c>
      <c r="AT22" s="27" t="s">
        <v>52</v>
      </c>
      <c r="AU22" s="58" t="s">
        <v>58</v>
      </c>
      <c r="AW22" s="25"/>
      <c r="AX22" s="27"/>
      <c r="AY22" s="27"/>
      <c r="AZ22" s="32"/>
      <c r="BA22" s="41"/>
    </row>
    <row r="23" spans="1:53" ht="16" thickBot="1" x14ac:dyDescent="0.25">
      <c r="A23" s="25">
        <v>16</v>
      </c>
      <c r="B23" s="26"/>
      <c r="C23" s="27"/>
      <c r="D23" s="25"/>
      <c r="E23" s="28"/>
      <c r="F23" s="27"/>
      <c r="G23" s="28"/>
      <c r="H23" s="27"/>
      <c r="I23" s="28"/>
      <c r="J23" s="27">
        <v>1.2</v>
      </c>
      <c r="K23" s="29" t="s">
        <v>35</v>
      </c>
      <c r="L23" s="44" t="s">
        <v>59</v>
      </c>
      <c r="M23" s="31"/>
      <c r="N23" s="27" t="s">
        <v>40</v>
      </c>
      <c r="P23" s="32"/>
      <c r="Q23" s="25"/>
      <c r="R23" s="27"/>
      <c r="S23" s="27"/>
      <c r="T23" s="28"/>
      <c r="U23" s="27" t="s">
        <v>55</v>
      </c>
      <c r="V23" s="27"/>
      <c r="W23" s="28" t="s">
        <v>55</v>
      </c>
      <c r="X23" s="63" t="s">
        <v>60</v>
      </c>
      <c r="Y23" s="46" t="s">
        <v>61</v>
      </c>
      <c r="AB23" s="28"/>
      <c r="AC23" s="27" t="s">
        <v>48</v>
      </c>
      <c r="AD23" s="27"/>
      <c r="AE23" s="33"/>
      <c r="AG23" s="25"/>
      <c r="AH23" s="34"/>
      <c r="AI23" s="27"/>
      <c r="AJ23" s="27"/>
      <c r="AK23" s="27"/>
      <c r="AL23" s="25"/>
      <c r="AM23" s="34"/>
      <c r="AN23" s="27"/>
      <c r="AO23" s="27"/>
      <c r="AP23" s="36"/>
      <c r="AQ23" s="64"/>
      <c r="AR23" s="65"/>
      <c r="AS23" s="25" t="s">
        <v>57</v>
      </c>
      <c r="AT23" s="27" t="s">
        <v>52</v>
      </c>
      <c r="AU23" s="27"/>
      <c r="AW23" s="25"/>
      <c r="AX23" s="27"/>
      <c r="AY23" s="27"/>
      <c r="AZ23" s="32"/>
      <c r="BA23" s="41"/>
    </row>
    <row r="24" spans="1:53" x14ac:dyDescent="0.2">
      <c r="A24" s="25">
        <v>17</v>
      </c>
      <c r="B24" s="26"/>
      <c r="C24" s="27"/>
      <c r="D24" s="25"/>
      <c r="E24" s="28"/>
      <c r="F24" s="27"/>
      <c r="G24" s="28"/>
      <c r="H24" s="27"/>
      <c r="I24" s="28"/>
      <c r="J24" s="27">
        <v>1.2</v>
      </c>
      <c r="K24" s="29" t="s">
        <v>35</v>
      </c>
      <c r="L24" s="39"/>
      <c r="M24" s="31"/>
      <c r="N24" s="27" t="s">
        <v>40</v>
      </c>
      <c r="P24" s="32"/>
      <c r="Q24" s="25"/>
      <c r="R24" s="27"/>
      <c r="S24" s="27"/>
      <c r="T24" s="28"/>
      <c r="U24" s="27" t="s">
        <v>55</v>
      </c>
      <c r="V24" s="27"/>
      <c r="W24" s="28" t="s">
        <v>55</v>
      </c>
      <c r="X24" s="33"/>
      <c r="Y24" s="32"/>
      <c r="Z24" s="25"/>
      <c r="AA24" s="27"/>
      <c r="AB24" s="28"/>
      <c r="AC24" s="27" t="s">
        <v>48</v>
      </c>
      <c r="AD24" s="27"/>
      <c r="AE24" s="33"/>
      <c r="AG24" s="25"/>
      <c r="AH24" s="34"/>
      <c r="AI24" s="27"/>
      <c r="AJ24" s="27"/>
      <c r="AK24" s="27"/>
      <c r="AL24" s="25"/>
      <c r="AM24" s="34"/>
      <c r="AN24" s="27"/>
      <c r="AO24" s="27"/>
      <c r="AP24" s="36"/>
      <c r="AQ24" s="37"/>
      <c r="AR24" s="32"/>
      <c r="AS24" s="25" t="s">
        <v>57</v>
      </c>
      <c r="AT24" s="27" t="s">
        <v>52</v>
      </c>
      <c r="AU24" s="27"/>
      <c r="AW24" s="25"/>
      <c r="AX24" s="27"/>
      <c r="AY24" s="27"/>
      <c r="AZ24" s="32"/>
      <c r="BA24" s="41"/>
    </row>
    <row r="25" spans="1:53" ht="16" thickBot="1" x14ac:dyDescent="0.25">
      <c r="A25" s="25">
        <v>18</v>
      </c>
      <c r="B25" s="26"/>
      <c r="C25" s="27"/>
      <c r="D25" s="25"/>
      <c r="E25" s="28"/>
      <c r="F25" s="27"/>
      <c r="G25" s="28"/>
      <c r="H25" s="27"/>
      <c r="I25" s="28"/>
      <c r="J25" s="27">
        <v>1.2</v>
      </c>
      <c r="K25" s="29" t="s">
        <v>35</v>
      </c>
      <c r="L25" s="39"/>
      <c r="M25" s="31"/>
      <c r="N25" s="27" t="s">
        <v>40</v>
      </c>
      <c r="P25" s="66"/>
      <c r="Q25" s="25"/>
      <c r="R25" s="27"/>
      <c r="S25" s="27"/>
      <c r="T25" s="28"/>
      <c r="U25" s="27">
        <v>0</v>
      </c>
      <c r="V25" s="27"/>
      <c r="W25" s="28">
        <v>0</v>
      </c>
      <c r="X25" s="33" t="s">
        <v>62</v>
      </c>
      <c r="Y25" s="32"/>
      <c r="Z25" s="25"/>
      <c r="AA25" s="27"/>
      <c r="AB25" s="28"/>
      <c r="AC25" s="27" t="s">
        <v>56</v>
      </c>
      <c r="AD25" s="27"/>
      <c r="AE25" s="33"/>
      <c r="AG25" s="25"/>
      <c r="AH25" s="34"/>
      <c r="AI25" s="27"/>
      <c r="AJ25" s="27"/>
      <c r="AK25" s="27"/>
      <c r="AL25" s="25"/>
      <c r="AM25" s="34"/>
      <c r="AN25" s="27">
        <v>2.5000000000000001E-2</v>
      </c>
      <c r="AO25" s="27"/>
      <c r="AP25" s="36"/>
      <c r="AQ25" s="67" t="s">
        <v>63</v>
      </c>
      <c r="AR25" s="46" t="s">
        <v>64</v>
      </c>
      <c r="AS25" s="25" t="s">
        <v>57</v>
      </c>
      <c r="AT25" s="27" t="s">
        <v>52</v>
      </c>
      <c r="AW25" s="25"/>
      <c r="AX25" s="27"/>
      <c r="AY25" s="27"/>
      <c r="AZ25" s="32"/>
      <c r="BA25" s="41"/>
    </row>
    <row r="26" spans="1:53" ht="16" thickBot="1" x14ac:dyDescent="0.25">
      <c r="A26" s="25">
        <v>19</v>
      </c>
      <c r="B26" s="26"/>
      <c r="C26" s="27"/>
      <c r="D26" s="25"/>
      <c r="E26" s="28"/>
      <c r="F26" s="27"/>
      <c r="G26" s="28"/>
      <c r="H26" s="27"/>
      <c r="I26" s="28"/>
      <c r="J26" s="27">
        <v>1.2</v>
      </c>
      <c r="K26" s="29" t="s">
        <v>35</v>
      </c>
      <c r="L26" s="39"/>
      <c r="M26" s="31"/>
      <c r="N26" s="27" t="s">
        <v>40</v>
      </c>
      <c r="P26" s="32"/>
      <c r="Q26" s="25"/>
      <c r="R26" s="27"/>
      <c r="S26" s="27"/>
      <c r="T26" s="28"/>
      <c r="U26" s="27"/>
      <c r="V26" s="27"/>
      <c r="W26" s="28"/>
      <c r="X26" s="33"/>
      <c r="Y26" s="32"/>
      <c r="Z26" s="25"/>
      <c r="AA26" s="27"/>
      <c r="AB26" s="28"/>
      <c r="AC26" s="27"/>
      <c r="AD26" s="27"/>
      <c r="AE26" s="33"/>
      <c r="AG26" s="25"/>
      <c r="AH26" s="34"/>
      <c r="AI26" s="27"/>
      <c r="AJ26" s="27"/>
      <c r="AK26" s="27"/>
      <c r="AL26" s="25"/>
      <c r="AM26" s="34"/>
      <c r="AN26" s="27">
        <v>2.5000000000000001E-2</v>
      </c>
      <c r="AO26" s="27"/>
      <c r="AP26" s="36"/>
      <c r="AQ26" s="68" t="s">
        <v>65</v>
      </c>
      <c r="AR26" s="32" t="s">
        <v>64</v>
      </c>
      <c r="AS26" s="25" t="s">
        <v>57</v>
      </c>
      <c r="AT26" s="27" t="s">
        <v>52</v>
      </c>
      <c r="AU26" s="27"/>
      <c r="AW26" s="25"/>
      <c r="AX26" s="27"/>
      <c r="AY26" s="27"/>
      <c r="AZ26" s="32"/>
      <c r="BA26" s="62"/>
    </row>
    <row r="27" spans="1:53" x14ac:dyDescent="0.2">
      <c r="A27" s="25">
        <v>20</v>
      </c>
      <c r="B27" s="26"/>
      <c r="C27" s="27"/>
      <c r="D27" s="25"/>
      <c r="E27" s="28"/>
      <c r="F27" s="27"/>
      <c r="G27" s="28"/>
      <c r="H27" s="27"/>
      <c r="I27" s="28"/>
      <c r="J27" s="27">
        <v>1.2</v>
      </c>
      <c r="K27" s="29" t="s">
        <v>35</v>
      </c>
      <c r="L27" s="39"/>
      <c r="M27" s="69"/>
      <c r="N27" s="27" t="s">
        <v>40</v>
      </c>
      <c r="O27" s="306" t="s">
        <v>66</v>
      </c>
      <c r="P27" s="32"/>
      <c r="Q27" s="25"/>
      <c r="R27" s="27"/>
      <c r="S27" s="27"/>
      <c r="T27" s="28"/>
      <c r="U27" s="27"/>
      <c r="V27" s="27"/>
      <c r="W27" s="28"/>
      <c r="X27" s="33"/>
      <c r="Y27" s="32"/>
      <c r="Z27" s="25"/>
      <c r="AA27" s="27"/>
      <c r="AB27" s="28"/>
      <c r="AC27" s="27" t="s">
        <v>48</v>
      </c>
      <c r="AD27" s="27"/>
      <c r="AE27" s="33"/>
      <c r="AG27" s="25"/>
      <c r="AH27" s="34"/>
      <c r="AI27" s="27"/>
      <c r="AJ27" s="27"/>
      <c r="AK27" s="27"/>
      <c r="AL27" s="25"/>
      <c r="AM27" s="34"/>
      <c r="AN27" s="27">
        <v>2.5000000000000001E-2</v>
      </c>
      <c r="AO27" s="27"/>
      <c r="AP27" s="36"/>
      <c r="AQ27" s="37"/>
      <c r="AR27" s="32"/>
      <c r="AS27" s="25" t="s">
        <v>57</v>
      </c>
      <c r="AT27" s="27" t="s">
        <v>52</v>
      </c>
      <c r="AU27" s="27"/>
      <c r="AW27" s="25"/>
      <c r="AX27" s="27"/>
      <c r="AY27" s="27"/>
      <c r="AZ27" s="32"/>
      <c r="BA27" s="41"/>
    </row>
    <row r="28" spans="1:53" ht="16" thickBot="1" x14ac:dyDescent="0.25">
      <c r="A28" s="70">
        <v>21</v>
      </c>
      <c r="B28" s="26"/>
      <c r="C28" s="71"/>
      <c r="D28" s="70"/>
      <c r="E28" s="72"/>
      <c r="F28" s="71"/>
      <c r="G28" s="72"/>
      <c r="H28" s="71"/>
      <c r="I28" s="72"/>
      <c r="J28" s="27">
        <v>1.2</v>
      </c>
      <c r="K28" s="29" t="s">
        <v>35</v>
      </c>
      <c r="L28" s="39"/>
      <c r="M28" s="73"/>
      <c r="N28" s="27" t="s">
        <v>40</v>
      </c>
      <c r="O28" s="307"/>
      <c r="P28" s="74"/>
      <c r="Q28" s="70"/>
      <c r="R28" s="71"/>
      <c r="S28" s="71"/>
      <c r="T28" s="72"/>
      <c r="U28" s="71"/>
      <c r="V28" s="71"/>
      <c r="W28" s="72"/>
      <c r="X28" s="33"/>
      <c r="Y28" s="75"/>
      <c r="Z28" s="70"/>
      <c r="AA28" s="71"/>
      <c r="AB28" s="72"/>
      <c r="AC28" s="27" t="s">
        <v>48</v>
      </c>
      <c r="AD28" s="71"/>
      <c r="AE28" s="33"/>
      <c r="AF28" s="76"/>
      <c r="AG28" s="70"/>
      <c r="AH28" s="77"/>
      <c r="AI28" s="71"/>
      <c r="AJ28" s="71"/>
      <c r="AK28" s="71"/>
      <c r="AL28" s="70"/>
      <c r="AM28" s="77"/>
      <c r="AN28" s="27">
        <v>2.5000000000000001E-2</v>
      </c>
      <c r="AO28" s="71"/>
      <c r="AP28" s="78"/>
      <c r="AQ28" s="37"/>
      <c r="AR28" s="75"/>
      <c r="AS28" s="70" t="s">
        <v>57</v>
      </c>
      <c r="AT28" s="27" t="s">
        <v>52</v>
      </c>
      <c r="AU28" s="71"/>
      <c r="AV28" s="76"/>
      <c r="AW28" s="70"/>
      <c r="AX28" s="71"/>
      <c r="AY28" s="71"/>
      <c r="AZ28" s="75"/>
      <c r="BA28" s="79"/>
    </row>
    <row r="29" spans="1:53" ht="16" thickBot="1" x14ac:dyDescent="0.25">
      <c r="A29" s="25">
        <v>22</v>
      </c>
      <c r="B29" s="26"/>
      <c r="C29" s="27"/>
      <c r="D29" s="25"/>
      <c r="E29" s="28"/>
      <c r="F29" s="27"/>
      <c r="G29" s="28"/>
      <c r="H29" s="27"/>
      <c r="I29" s="28"/>
      <c r="J29" s="27">
        <v>1.2</v>
      </c>
      <c r="K29" s="29" t="s">
        <v>35</v>
      </c>
      <c r="L29" s="39"/>
      <c r="M29" s="69"/>
      <c r="N29" s="27" t="s">
        <v>40</v>
      </c>
      <c r="O29" s="307"/>
      <c r="P29" s="46" t="s">
        <v>67</v>
      </c>
      <c r="Q29" s="43"/>
      <c r="R29" s="27"/>
      <c r="S29" s="27"/>
      <c r="T29" s="28"/>
      <c r="U29" s="27"/>
      <c r="V29" s="27"/>
      <c r="W29" s="28"/>
      <c r="X29" s="33"/>
      <c r="Y29" s="32"/>
      <c r="Z29" s="60"/>
      <c r="AA29" s="60"/>
      <c r="AB29" s="61"/>
      <c r="AC29" s="27" t="s">
        <v>55</v>
      </c>
      <c r="AD29" s="27"/>
      <c r="AE29" s="33"/>
      <c r="AG29" s="25"/>
      <c r="AH29" s="34"/>
      <c r="AI29" s="27"/>
      <c r="AJ29" s="27"/>
      <c r="AK29" s="27"/>
      <c r="AL29" s="25"/>
      <c r="AM29" s="34"/>
      <c r="AN29" s="27">
        <v>2.5000000000000001E-2</v>
      </c>
      <c r="AO29" s="27"/>
      <c r="AP29" s="36"/>
      <c r="AQ29" s="37"/>
      <c r="AR29" s="32"/>
      <c r="AS29" s="25" t="s">
        <v>57</v>
      </c>
      <c r="AT29" s="27" t="s">
        <v>52</v>
      </c>
      <c r="AU29" s="27"/>
      <c r="AW29" s="25"/>
      <c r="AX29" s="27"/>
      <c r="AY29" s="27"/>
      <c r="AZ29" s="32"/>
      <c r="BA29" s="80" t="s">
        <v>68</v>
      </c>
    </row>
    <row r="30" spans="1:53" ht="16" thickBot="1" x14ac:dyDescent="0.25">
      <c r="A30" s="25">
        <v>23</v>
      </c>
      <c r="B30" s="26"/>
      <c r="C30" s="27"/>
      <c r="D30" s="25"/>
      <c r="E30" s="28"/>
      <c r="F30" s="27"/>
      <c r="G30" s="28"/>
      <c r="H30" s="27"/>
      <c r="I30" s="28"/>
      <c r="J30" s="27">
        <v>1.2</v>
      </c>
      <c r="K30" s="29" t="s">
        <v>35</v>
      </c>
      <c r="L30" s="39"/>
      <c r="M30" s="31"/>
      <c r="N30" s="27" t="s">
        <v>40</v>
      </c>
      <c r="O30" s="307"/>
      <c r="P30" s="32" t="s">
        <v>69</v>
      </c>
      <c r="Q30" s="25"/>
      <c r="R30" s="27"/>
      <c r="S30" s="27"/>
      <c r="T30" s="28"/>
      <c r="U30" s="27"/>
      <c r="V30" s="27"/>
      <c r="W30" s="28"/>
      <c r="X30" s="33"/>
      <c r="Y30" s="32"/>
      <c r="Z30" s="25"/>
      <c r="AA30" s="27"/>
      <c r="AB30" s="28"/>
      <c r="AC30" s="27" t="s">
        <v>55</v>
      </c>
      <c r="AD30" s="27"/>
      <c r="AE30" s="33"/>
      <c r="AG30" s="25"/>
      <c r="AH30" s="34"/>
      <c r="AI30" s="27"/>
      <c r="AJ30" s="27"/>
      <c r="AK30" s="27"/>
      <c r="AL30" s="25"/>
      <c r="AM30" s="34"/>
      <c r="AN30" s="27">
        <v>2.5000000000000001E-2</v>
      </c>
      <c r="AO30" s="27"/>
      <c r="AP30" s="36"/>
      <c r="AQ30" s="37"/>
      <c r="AR30" s="32"/>
      <c r="AS30" s="25" t="s">
        <v>57</v>
      </c>
      <c r="AT30" s="27" t="s">
        <v>52</v>
      </c>
      <c r="AU30" s="58" t="s">
        <v>70</v>
      </c>
      <c r="AW30" s="25"/>
      <c r="AX30" s="27"/>
      <c r="AY30" s="27"/>
      <c r="AZ30" s="32"/>
      <c r="BA30" s="41"/>
    </row>
    <row r="31" spans="1:53" ht="16" thickBot="1" x14ac:dyDescent="0.25">
      <c r="A31" s="25">
        <v>24</v>
      </c>
      <c r="B31" s="26"/>
      <c r="C31" s="27"/>
      <c r="D31" s="25"/>
      <c r="E31" s="28"/>
      <c r="F31" s="27"/>
      <c r="G31" s="28"/>
      <c r="H31" s="27"/>
      <c r="I31" s="28"/>
      <c r="J31" s="27">
        <v>1.2</v>
      </c>
      <c r="K31" s="29" t="s">
        <v>35</v>
      </c>
      <c r="L31" s="44" t="s">
        <v>71</v>
      </c>
      <c r="M31" s="31"/>
      <c r="N31" s="27" t="s">
        <v>40</v>
      </c>
      <c r="O31" s="307"/>
      <c r="P31" s="32"/>
      <c r="Q31" s="25"/>
      <c r="R31" s="27"/>
      <c r="S31" s="27"/>
      <c r="T31" s="28"/>
      <c r="U31" s="27"/>
      <c r="V31" s="27"/>
      <c r="W31" s="28"/>
      <c r="X31" s="33"/>
      <c r="Y31" s="32"/>
      <c r="Z31" s="25"/>
      <c r="AA31" s="27"/>
      <c r="AB31" s="28"/>
      <c r="AC31" s="27"/>
      <c r="AD31" s="27"/>
      <c r="AE31" s="50"/>
      <c r="AF31" s="46"/>
      <c r="AG31" s="25"/>
      <c r="AH31" s="34"/>
      <c r="AI31" s="27"/>
      <c r="AJ31" s="27"/>
      <c r="AK31" s="27"/>
      <c r="AL31" s="25"/>
      <c r="AM31" s="34"/>
      <c r="AN31" s="27"/>
      <c r="AO31" s="27"/>
      <c r="AP31" s="36"/>
      <c r="AQ31" s="37"/>
      <c r="AR31" s="46"/>
      <c r="AS31" s="25" t="s">
        <v>72</v>
      </c>
      <c r="AT31" s="27" t="s">
        <v>52</v>
      </c>
      <c r="AU31" s="58" t="s">
        <v>73</v>
      </c>
      <c r="AW31" s="25"/>
      <c r="AX31" s="27"/>
      <c r="AY31" s="27"/>
      <c r="AZ31" s="32"/>
      <c r="BA31" s="41"/>
    </row>
    <row r="32" spans="1:53" ht="16" thickBot="1" x14ac:dyDescent="0.25">
      <c r="A32" s="25">
        <v>25</v>
      </c>
      <c r="B32" s="26"/>
      <c r="C32" s="27"/>
      <c r="D32" s="25"/>
      <c r="E32" s="28"/>
      <c r="F32" s="27"/>
      <c r="G32" s="28"/>
      <c r="H32" s="27"/>
      <c r="I32" s="28"/>
      <c r="J32" s="27">
        <v>1.2</v>
      </c>
      <c r="K32" s="29" t="s">
        <v>35</v>
      </c>
      <c r="L32" s="39"/>
      <c r="M32" s="31"/>
      <c r="N32" s="27" t="s">
        <v>40</v>
      </c>
      <c r="O32" s="307"/>
      <c r="P32" s="81" t="s">
        <v>74</v>
      </c>
      <c r="Q32" s="43"/>
      <c r="R32" s="27"/>
      <c r="S32" s="27"/>
      <c r="T32" s="28"/>
      <c r="U32" s="27"/>
      <c r="V32" s="27"/>
      <c r="W32" s="28"/>
      <c r="X32" s="33"/>
      <c r="Y32" s="32"/>
      <c r="Z32" s="27"/>
      <c r="AA32" s="27"/>
      <c r="AB32" s="28"/>
      <c r="AC32" s="27"/>
      <c r="AD32" s="27"/>
      <c r="AE32" s="33"/>
      <c r="AG32" s="25"/>
      <c r="AH32" s="34"/>
      <c r="AI32" s="27"/>
      <c r="AJ32" s="27"/>
      <c r="AK32" s="27"/>
      <c r="AL32" s="25"/>
      <c r="AM32" s="34"/>
      <c r="AN32" s="27">
        <v>2.5000000000000001E-2</v>
      </c>
      <c r="AO32" s="27"/>
      <c r="AP32" s="36"/>
      <c r="AQ32" s="37"/>
      <c r="AR32" s="32" t="s">
        <v>64</v>
      </c>
      <c r="AS32" s="25" t="s">
        <v>72</v>
      </c>
      <c r="AT32" s="27" t="s">
        <v>52</v>
      </c>
      <c r="AW32" s="25"/>
      <c r="AX32" s="27"/>
      <c r="AY32" s="27"/>
      <c r="AZ32" s="32"/>
      <c r="BA32" s="41"/>
    </row>
    <row r="33" spans="1:53" ht="16" thickBot="1" x14ac:dyDescent="0.25">
      <c r="A33" s="25">
        <v>26</v>
      </c>
      <c r="B33" s="26"/>
      <c r="C33" s="27"/>
      <c r="D33" s="25"/>
      <c r="E33" s="28"/>
      <c r="F33" s="27"/>
      <c r="G33" s="28"/>
      <c r="H33" s="27"/>
      <c r="I33" s="28"/>
      <c r="J33" s="27">
        <v>1.2</v>
      </c>
      <c r="K33" s="29" t="s">
        <v>35</v>
      </c>
      <c r="L33" s="39"/>
      <c r="M33" s="31"/>
      <c r="N33" s="27" t="s">
        <v>40</v>
      </c>
      <c r="O33" s="307"/>
      <c r="P33" s="32"/>
      <c r="Q33" s="25"/>
      <c r="R33" s="27"/>
      <c r="S33" s="27"/>
      <c r="T33" s="28"/>
      <c r="U33" s="27"/>
      <c r="V33" s="27"/>
      <c r="W33" s="28"/>
      <c r="X33" s="33"/>
      <c r="Y33" s="32"/>
      <c r="Z33" s="25"/>
      <c r="AA33" s="27"/>
      <c r="AB33" s="28"/>
      <c r="AC33" s="27"/>
      <c r="AD33" s="27"/>
      <c r="AE33" s="33"/>
      <c r="AG33" s="25"/>
      <c r="AH33" s="34"/>
      <c r="AI33" s="27"/>
      <c r="AJ33" s="27"/>
      <c r="AK33" s="27"/>
      <c r="AL33" s="25"/>
      <c r="AM33" s="34"/>
      <c r="AN33" s="27">
        <v>2.5000000000000001E-2</v>
      </c>
      <c r="AO33" s="27"/>
      <c r="AP33" s="36"/>
      <c r="AQ33" s="37"/>
      <c r="AR33" s="32" t="s">
        <v>64</v>
      </c>
      <c r="AS33" s="25" t="s">
        <v>72</v>
      </c>
      <c r="AT33" s="27" t="s">
        <v>52</v>
      </c>
      <c r="AW33" s="25"/>
      <c r="AX33" s="27"/>
      <c r="AY33" s="27"/>
      <c r="AZ33" s="32"/>
      <c r="BA33" s="41"/>
    </row>
    <row r="34" spans="1:53" ht="16" thickBot="1" x14ac:dyDescent="0.25">
      <c r="A34" s="25">
        <v>27</v>
      </c>
      <c r="B34" s="26"/>
      <c r="C34" s="27"/>
      <c r="D34" s="25"/>
      <c r="E34" s="28"/>
      <c r="F34" s="27"/>
      <c r="G34" s="28"/>
      <c r="H34" s="27"/>
      <c r="I34" s="28"/>
      <c r="J34" s="27">
        <v>1.2</v>
      </c>
      <c r="K34" s="29" t="s">
        <v>35</v>
      </c>
      <c r="L34" s="39"/>
      <c r="M34" s="31"/>
      <c r="N34" s="27" t="s">
        <v>40</v>
      </c>
      <c r="O34" s="307"/>
      <c r="P34" s="32"/>
      <c r="Q34" s="25"/>
      <c r="R34" s="27"/>
      <c r="S34" s="27"/>
      <c r="T34" s="28"/>
      <c r="U34" s="27"/>
      <c r="V34" s="27"/>
      <c r="W34" s="28"/>
      <c r="X34" s="33"/>
      <c r="Y34" s="32"/>
      <c r="Z34" s="25"/>
      <c r="AA34" s="27"/>
      <c r="AB34" s="28"/>
      <c r="AC34" s="27"/>
      <c r="AD34" s="27"/>
      <c r="AE34" s="33"/>
      <c r="AG34" s="25"/>
      <c r="AH34" s="34"/>
      <c r="AI34" s="27"/>
      <c r="AJ34" s="27"/>
      <c r="AK34" s="27"/>
      <c r="AL34" s="25"/>
      <c r="AM34" s="34"/>
      <c r="AN34" s="27">
        <v>2.5000000000000001E-2</v>
      </c>
      <c r="AO34" s="27"/>
      <c r="AP34" s="36"/>
      <c r="AQ34" s="82"/>
      <c r="AR34" s="32" t="s">
        <v>75</v>
      </c>
      <c r="AS34" s="25" t="s">
        <v>72</v>
      </c>
      <c r="AT34" s="27" t="s">
        <v>52</v>
      </c>
      <c r="AU34" s="27"/>
      <c r="AW34" s="25"/>
      <c r="AX34" s="27"/>
      <c r="AY34" s="27"/>
      <c r="AZ34" s="32"/>
      <c r="BA34" s="41"/>
    </row>
    <row r="35" spans="1:53" x14ac:dyDescent="0.2">
      <c r="A35" s="25">
        <v>28</v>
      </c>
      <c r="B35" s="26"/>
      <c r="C35" s="27"/>
      <c r="D35" s="25"/>
      <c r="E35" s="28"/>
      <c r="F35" s="27"/>
      <c r="G35" s="28"/>
      <c r="H35" s="27"/>
      <c r="I35" s="28"/>
      <c r="J35" s="27">
        <v>1.2</v>
      </c>
      <c r="K35" s="29" t="s">
        <v>35</v>
      </c>
      <c r="L35" s="39"/>
      <c r="M35" s="31"/>
      <c r="N35" s="27" t="s">
        <v>40</v>
      </c>
      <c r="O35" s="307"/>
      <c r="P35" s="32"/>
      <c r="Q35" s="25"/>
      <c r="R35" s="27"/>
      <c r="S35" s="27"/>
      <c r="T35" s="28"/>
      <c r="U35" s="27"/>
      <c r="V35" s="27"/>
      <c r="W35" s="28"/>
      <c r="Y35" s="32"/>
      <c r="Z35" s="25"/>
      <c r="AA35" s="27"/>
      <c r="AB35" s="28"/>
      <c r="AC35" s="27"/>
      <c r="AD35" s="27"/>
      <c r="AE35" s="33"/>
      <c r="AG35" s="25"/>
      <c r="AH35" s="34"/>
      <c r="AI35" s="27"/>
      <c r="AJ35" s="27"/>
      <c r="AK35" s="27"/>
      <c r="AL35" s="25"/>
      <c r="AM35" s="34"/>
      <c r="AN35" s="27">
        <v>2.5000000000000001E-2</v>
      </c>
      <c r="AO35" s="27"/>
      <c r="AP35" s="36"/>
      <c r="AR35" s="32" t="s">
        <v>75</v>
      </c>
      <c r="AS35" s="25" t="s">
        <v>72</v>
      </c>
      <c r="AT35" s="27" t="s">
        <v>52</v>
      </c>
      <c r="AU35" s="27"/>
      <c r="AW35" s="25"/>
      <c r="AX35" s="27"/>
      <c r="AY35" s="27"/>
      <c r="AZ35" s="32"/>
      <c r="BA35" s="41"/>
    </row>
    <row r="36" spans="1:53" ht="17.25" customHeight="1" thickBot="1" x14ac:dyDescent="0.25">
      <c r="A36" s="25">
        <v>29</v>
      </c>
      <c r="B36" s="26"/>
      <c r="C36" s="27"/>
      <c r="D36" s="25"/>
      <c r="E36" s="28"/>
      <c r="F36" s="27"/>
      <c r="G36" s="28"/>
      <c r="H36" s="27"/>
      <c r="I36" s="28"/>
      <c r="J36" s="27">
        <v>1.2</v>
      </c>
      <c r="K36" s="29" t="s">
        <v>35</v>
      </c>
      <c r="L36" s="39"/>
      <c r="M36" s="31"/>
      <c r="N36" s="27" t="s">
        <v>40</v>
      </c>
      <c r="O36" s="307"/>
      <c r="P36" s="32"/>
      <c r="Q36" s="25"/>
      <c r="R36" s="27"/>
      <c r="S36" s="27"/>
      <c r="T36" s="28"/>
      <c r="U36" s="27"/>
      <c r="V36" s="27"/>
      <c r="W36" s="28"/>
      <c r="X36" s="33"/>
      <c r="Y36" s="32"/>
      <c r="Z36" s="25"/>
      <c r="AA36" s="27"/>
      <c r="AB36" s="28"/>
      <c r="AC36" s="27"/>
      <c r="AD36" s="27"/>
      <c r="AE36" s="33"/>
      <c r="AG36" s="25"/>
      <c r="AH36" s="34"/>
      <c r="AI36" s="27"/>
      <c r="AJ36" s="27"/>
      <c r="AK36" s="27"/>
      <c r="AL36" s="25"/>
      <c r="AM36" s="34"/>
      <c r="AN36" s="27"/>
      <c r="AO36" s="27"/>
      <c r="AP36" s="36"/>
      <c r="AQ36" s="37"/>
      <c r="AR36" s="32"/>
      <c r="AS36" s="25" t="s">
        <v>72</v>
      </c>
      <c r="AT36" s="27" t="s">
        <v>52</v>
      </c>
      <c r="AU36" s="27"/>
      <c r="AW36" s="25"/>
      <c r="AX36" s="27"/>
      <c r="AY36" s="27"/>
      <c r="AZ36" s="32"/>
      <c r="BA36" s="41"/>
    </row>
    <row r="37" spans="1:53" s="87" customFormat="1" ht="16" thickBot="1" x14ac:dyDescent="0.25">
      <c r="A37" s="83">
        <v>30</v>
      </c>
      <c r="B37" s="84"/>
      <c r="C37" s="83"/>
      <c r="D37" s="83"/>
      <c r="E37" s="83"/>
      <c r="F37" s="83"/>
      <c r="G37" s="83"/>
      <c r="H37" s="83"/>
      <c r="I37" s="83"/>
      <c r="J37" s="83">
        <v>1.2</v>
      </c>
      <c r="K37" s="85" t="s">
        <v>35</v>
      </c>
      <c r="L37" s="86"/>
      <c r="M37" s="86"/>
      <c r="N37" s="83" t="s">
        <v>40</v>
      </c>
      <c r="O37" s="307"/>
      <c r="Q37" s="83"/>
      <c r="R37" s="83"/>
      <c r="S37" s="83"/>
      <c r="T37" s="83"/>
      <c r="U37" s="83"/>
      <c r="V37" s="83"/>
      <c r="W37" s="83"/>
      <c r="X37" s="83"/>
      <c r="Z37" s="83"/>
      <c r="AA37" s="83"/>
      <c r="AB37" s="83"/>
      <c r="AC37" s="83"/>
      <c r="AD37" s="83"/>
      <c r="AE37" s="83"/>
      <c r="AG37" s="83"/>
      <c r="AH37" s="83"/>
      <c r="AI37" s="83"/>
      <c r="AJ37" s="83"/>
      <c r="AK37" s="83"/>
      <c r="AL37" s="83"/>
      <c r="AM37" s="83"/>
      <c r="AN37" s="83"/>
      <c r="AO37" s="83"/>
      <c r="AP37" s="83"/>
      <c r="AS37" s="83" t="s">
        <v>72</v>
      </c>
      <c r="AT37" s="83" t="s">
        <v>52</v>
      </c>
      <c r="AU37" s="83"/>
      <c r="AW37" s="83"/>
      <c r="AX37" s="83"/>
      <c r="AY37" s="83"/>
      <c r="BA37" s="83"/>
    </row>
    <row r="38" spans="1:53" x14ac:dyDescent="0.2">
      <c r="A38" s="25">
        <v>31</v>
      </c>
      <c r="B38" s="26"/>
      <c r="C38" s="27"/>
      <c r="D38" s="25"/>
      <c r="E38" s="28"/>
      <c r="F38" s="27"/>
      <c r="G38" s="28"/>
      <c r="H38" s="27"/>
      <c r="I38" s="28"/>
      <c r="J38" s="27">
        <v>1.2</v>
      </c>
      <c r="K38" s="29" t="s">
        <v>35</v>
      </c>
      <c r="L38" s="39"/>
      <c r="M38" s="31"/>
      <c r="N38" s="27" t="s">
        <v>76</v>
      </c>
      <c r="O38" s="307"/>
      <c r="P38" s="32"/>
      <c r="Q38" s="25"/>
      <c r="R38" s="27"/>
      <c r="S38" s="27"/>
      <c r="T38" s="28"/>
      <c r="U38" s="27"/>
      <c r="V38" s="27"/>
      <c r="W38" s="28"/>
      <c r="X38" s="33"/>
      <c r="Y38" s="32"/>
      <c r="Z38" s="25"/>
      <c r="AA38" s="27"/>
      <c r="AB38" s="28"/>
      <c r="AC38" s="27"/>
      <c r="AD38" s="27"/>
      <c r="AE38" s="33"/>
      <c r="AG38" s="25"/>
      <c r="AH38" s="34"/>
      <c r="AI38" s="27"/>
      <c r="AJ38" s="27"/>
      <c r="AK38" s="27"/>
      <c r="AL38" s="25"/>
      <c r="AM38" s="34"/>
      <c r="AN38" s="27"/>
      <c r="AO38" s="27"/>
      <c r="AP38" s="36"/>
      <c r="AQ38" s="37"/>
      <c r="AR38" s="46"/>
      <c r="AS38" s="25" t="s">
        <v>72</v>
      </c>
      <c r="AT38" s="27" t="s">
        <v>52</v>
      </c>
      <c r="AU38" s="27"/>
      <c r="AW38" s="25"/>
      <c r="AX38" s="27"/>
      <c r="AY38" s="27"/>
      <c r="AZ38" s="32"/>
      <c r="BA38" s="41"/>
    </row>
    <row r="39" spans="1:53" x14ac:dyDescent="0.2">
      <c r="A39" s="25">
        <v>32</v>
      </c>
      <c r="B39" s="26"/>
      <c r="C39" s="27"/>
      <c r="D39" s="25"/>
      <c r="E39" s="28"/>
      <c r="F39" s="27"/>
      <c r="G39" s="28"/>
      <c r="H39" s="27"/>
      <c r="I39" s="28"/>
      <c r="J39" s="27">
        <v>1.2</v>
      </c>
      <c r="K39" s="29" t="s">
        <v>35</v>
      </c>
      <c r="L39" s="39"/>
      <c r="M39" s="31"/>
      <c r="N39" s="27" t="s">
        <v>76</v>
      </c>
      <c r="O39" s="307"/>
      <c r="P39" s="32"/>
      <c r="Q39" s="25"/>
      <c r="R39" s="27"/>
      <c r="S39" s="27"/>
      <c r="T39" s="28"/>
      <c r="U39" s="27"/>
      <c r="V39" s="27"/>
      <c r="W39" s="28"/>
      <c r="X39" s="33"/>
      <c r="Y39" s="32"/>
      <c r="Z39" s="25"/>
      <c r="AA39" s="27"/>
      <c r="AB39" s="28"/>
      <c r="AC39" s="27"/>
      <c r="AD39" s="27"/>
      <c r="AE39" s="33"/>
      <c r="AG39" s="25"/>
      <c r="AH39" s="34"/>
      <c r="AI39" s="27"/>
      <c r="AJ39" s="27"/>
      <c r="AK39" s="27"/>
      <c r="AL39" s="25"/>
      <c r="AM39" s="34"/>
      <c r="AN39" s="27"/>
      <c r="AO39" s="27"/>
      <c r="AP39" s="36"/>
      <c r="AQ39" s="37"/>
      <c r="AR39" s="32"/>
      <c r="AS39" s="25" t="s">
        <v>72</v>
      </c>
      <c r="AT39" s="27" t="s">
        <v>52</v>
      </c>
      <c r="AU39" s="27"/>
      <c r="AW39" s="25"/>
      <c r="AX39" s="27"/>
      <c r="AY39" s="27"/>
      <c r="AZ39" s="32"/>
      <c r="BA39" s="41"/>
    </row>
    <row r="40" spans="1:53" x14ac:dyDescent="0.2">
      <c r="A40" s="25">
        <v>33</v>
      </c>
      <c r="B40" s="26"/>
      <c r="C40" s="27"/>
      <c r="D40" s="25"/>
      <c r="E40" s="28"/>
      <c r="F40" s="27"/>
      <c r="G40" s="28"/>
      <c r="H40" s="27"/>
      <c r="I40" s="28"/>
      <c r="J40" s="27">
        <v>1.2</v>
      </c>
      <c r="K40" s="29" t="s">
        <v>35</v>
      </c>
      <c r="L40" s="39"/>
      <c r="M40" s="31"/>
      <c r="N40" s="27" t="s">
        <v>76</v>
      </c>
      <c r="O40" s="307"/>
      <c r="P40" s="32"/>
      <c r="Q40" s="25"/>
      <c r="R40" s="27"/>
      <c r="S40" s="27"/>
      <c r="T40" s="28"/>
      <c r="U40" s="27"/>
      <c r="V40" s="27"/>
      <c r="W40" s="28"/>
      <c r="X40" s="33"/>
      <c r="Y40" s="32"/>
      <c r="Z40" s="25"/>
      <c r="AA40" s="27"/>
      <c r="AB40" s="28"/>
      <c r="AC40" s="27"/>
      <c r="AD40" s="27"/>
      <c r="AE40" s="33"/>
      <c r="AG40" s="25"/>
      <c r="AH40" s="34"/>
      <c r="AI40" s="27"/>
      <c r="AJ40" s="27"/>
      <c r="AK40" s="27"/>
      <c r="AL40" s="25"/>
      <c r="AM40" s="34"/>
      <c r="AN40" s="27"/>
      <c r="AO40" s="27"/>
      <c r="AP40" s="36"/>
      <c r="AQ40" s="37"/>
      <c r="AR40" s="32"/>
      <c r="AS40" s="25" t="s">
        <v>72</v>
      </c>
      <c r="AT40" s="27" t="s">
        <v>52</v>
      </c>
      <c r="AW40" s="25"/>
      <c r="AX40" s="27"/>
      <c r="AY40" s="27"/>
      <c r="AZ40" s="32"/>
      <c r="BA40" s="41"/>
    </row>
    <row r="41" spans="1:53" ht="16" thickBot="1" x14ac:dyDescent="0.25">
      <c r="A41" s="25">
        <v>34</v>
      </c>
      <c r="B41" s="26"/>
      <c r="C41" s="27"/>
      <c r="D41" s="25"/>
      <c r="E41" s="28"/>
      <c r="F41" s="27"/>
      <c r="G41" s="28"/>
      <c r="H41" s="27"/>
      <c r="I41" s="28"/>
      <c r="J41" s="27">
        <v>1.2</v>
      </c>
      <c r="K41" s="29" t="s">
        <v>35</v>
      </c>
      <c r="L41" s="39"/>
      <c r="M41" s="31"/>
      <c r="N41" s="27" t="s">
        <v>76</v>
      </c>
      <c r="O41" s="307"/>
      <c r="P41" s="32"/>
      <c r="Q41" s="25"/>
      <c r="R41" s="27"/>
      <c r="S41" s="27"/>
      <c r="T41" s="28"/>
      <c r="U41" s="27"/>
      <c r="V41" s="27"/>
      <c r="W41" s="28"/>
      <c r="X41" s="33"/>
      <c r="Y41" s="32"/>
      <c r="Z41" s="25"/>
      <c r="AA41" s="27"/>
      <c r="AB41" s="28"/>
      <c r="AC41" s="27"/>
      <c r="AD41" s="27"/>
      <c r="AE41" s="33"/>
      <c r="AG41" s="25"/>
      <c r="AH41" s="34"/>
      <c r="AI41" s="27"/>
      <c r="AJ41" s="27"/>
      <c r="AK41" s="27"/>
      <c r="AL41" s="25"/>
      <c r="AM41" s="34"/>
      <c r="AN41" s="27"/>
      <c r="AO41" s="27"/>
      <c r="AP41" s="36"/>
      <c r="AQ41" s="37"/>
      <c r="AR41" s="32"/>
      <c r="AS41" s="25" t="s">
        <v>72</v>
      </c>
      <c r="AT41" s="27" t="s">
        <v>52</v>
      </c>
      <c r="AU41" s="27"/>
      <c r="AW41" s="25"/>
      <c r="AX41" s="27"/>
      <c r="AY41" s="27"/>
      <c r="AZ41" s="32"/>
      <c r="BA41" s="41"/>
    </row>
    <row r="42" spans="1:53" ht="16" thickBot="1" x14ac:dyDescent="0.25">
      <c r="A42" s="25">
        <v>35</v>
      </c>
      <c r="B42" s="26"/>
      <c r="C42" s="27"/>
      <c r="D42" s="25"/>
      <c r="E42" s="28"/>
      <c r="F42" s="27"/>
      <c r="G42" s="28"/>
      <c r="H42" s="27"/>
      <c r="I42" s="28"/>
      <c r="J42" s="27">
        <v>1.2</v>
      </c>
      <c r="K42" s="29" t="s">
        <v>35</v>
      </c>
      <c r="L42" s="39"/>
      <c r="M42" s="31"/>
      <c r="N42" s="27" t="s">
        <v>76</v>
      </c>
      <c r="O42" s="307"/>
      <c r="P42" s="32"/>
      <c r="Q42" s="25"/>
      <c r="R42" s="27"/>
      <c r="S42" s="27"/>
      <c r="T42" s="28"/>
      <c r="U42" s="27"/>
      <c r="V42" s="27"/>
      <c r="W42" s="28"/>
      <c r="X42" s="33"/>
      <c r="Y42" s="32"/>
      <c r="Z42" s="25"/>
      <c r="AA42" s="27"/>
      <c r="AB42" s="28"/>
      <c r="AC42" s="27"/>
      <c r="AD42" s="27"/>
      <c r="AE42" s="33"/>
      <c r="AG42" s="25"/>
      <c r="AH42" s="34"/>
      <c r="AI42" s="27"/>
      <c r="AJ42" s="27"/>
      <c r="AK42" s="27"/>
      <c r="AL42" s="25"/>
      <c r="AM42" s="34"/>
      <c r="AN42" s="27"/>
      <c r="AO42" s="27"/>
      <c r="AP42" s="36"/>
      <c r="AQ42" s="37"/>
      <c r="AR42" s="32"/>
      <c r="AS42" s="25" t="s">
        <v>72</v>
      </c>
      <c r="AT42" s="27" t="s">
        <v>52</v>
      </c>
      <c r="AU42" s="58" t="s">
        <v>77</v>
      </c>
      <c r="AW42" s="25"/>
      <c r="AX42" s="27"/>
      <c r="AY42" s="27"/>
      <c r="AZ42" s="32"/>
      <c r="BA42" s="41"/>
    </row>
    <row r="43" spans="1:53" ht="16" thickBot="1" x14ac:dyDescent="0.25">
      <c r="A43" s="25">
        <v>36</v>
      </c>
      <c r="B43" s="26"/>
      <c r="C43" s="27"/>
      <c r="D43" s="25"/>
      <c r="E43" s="28"/>
      <c r="F43" s="27"/>
      <c r="G43" s="28"/>
      <c r="H43" s="27"/>
      <c r="I43" s="28"/>
      <c r="J43" s="27">
        <v>1.2</v>
      </c>
      <c r="K43" s="29" t="s">
        <v>35</v>
      </c>
      <c r="L43" s="53"/>
      <c r="M43" s="31"/>
      <c r="N43" s="27" t="s">
        <v>76</v>
      </c>
      <c r="O43" s="307"/>
      <c r="P43" s="32"/>
      <c r="Q43" s="25"/>
      <c r="R43" s="27"/>
      <c r="S43" s="27"/>
      <c r="T43" s="28"/>
      <c r="U43" s="27"/>
      <c r="V43" s="27"/>
      <c r="W43" s="28"/>
      <c r="X43" s="33"/>
      <c r="Y43" s="32"/>
      <c r="Z43" s="25"/>
      <c r="AA43" s="27"/>
      <c r="AB43" s="28"/>
      <c r="AC43" s="27"/>
      <c r="AD43" s="27"/>
      <c r="AE43" s="33"/>
      <c r="AG43" s="25"/>
      <c r="AH43" s="34"/>
      <c r="AI43" s="27"/>
      <c r="AJ43" s="27"/>
      <c r="AK43" s="27"/>
      <c r="AL43" s="25"/>
      <c r="AM43" s="34"/>
      <c r="AN43" s="27"/>
      <c r="AO43" s="27"/>
      <c r="AP43" s="36"/>
      <c r="AQ43" s="37"/>
      <c r="AR43" s="32"/>
      <c r="AS43" s="25" t="s">
        <v>78</v>
      </c>
      <c r="AT43" s="27" t="s">
        <v>52</v>
      </c>
      <c r="AW43" s="25"/>
      <c r="AX43" s="27"/>
      <c r="AY43" s="27"/>
      <c r="AZ43" s="32"/>
      <c r="BA43" s="41"/>
    </row>
    <row r="44" spans="1:53" ht="16" thickBot="1" x14ac:dyDescent="0.25">
      <c r="A44" s="25">
        <v>37</v>
      </c>
      <c r="B44" s="26"/>
      <c r="C44" s="27"/>
      <c r="D44" s="25"/>
      <c r="E44" s="28"/>
      <c r="F44" s="27"/>
      <c r="G44" s="28"/>
      <c r="H44" s="27"/>
      <c r="I44" s="28"/>
      <c r="J44" s="27">
        <v>1.2</v>
      </c>
      <c r="K44" s="29" t="s">
        <v>35</v>
      </c>
      <c r="L44" s="53"/>
      <c r="M44" s="31"/>
      <c r="N44" s="27" t="s">
        <v>76</v>
      </c>
      <c r="O44" s="307"/>
      <c r="P44" s="32"/>
      <c r="Q44" s="25"/>
      <c r="R44" s="27"/>
      <c r="S44" s="27"/>
      <c r="T44" s="28"/>
      <c r="U44" s="27"/>
      <c r="V44" s="27"/>
      <c r="W44" s="28"/>
      <c r="X44" s="33"/>
      <c r="Y44" s="32"/>
      <c r="Z44" s="59"/>
      <c r="AA44" s="60"/>
      <c r="AB44" s="61"/>
      <c r="AC44" s="27"/>
      <c r="AD44" s="27"/>
      <c r="AE44" s="33"/>
      <c r="AG44" s="25"/>
      <c r="AH44" s="34"/>
      <c r="AI44" s="27"/>
      <c r="AJ44" s="27"/>
      <c r="AK44" s="27"/>
      <c r="AL44" s="25"/>
      <c r="AM44" s="34"/>
      <c r="AN44" s="27"/>
      <c r="AO44" s="27"/>
      <c r="AP44" s="36"/>
      <c r="AQ44" s="37"/>
      <c r="AR44" s="32"/>
      <c r="AS44" s="25" t="s">
        <v>78</v>
      </c>
      <c r="AT44" s="27" t="s">
        <v>52</v>
      </c>
      <c r="AU44" s="27"/>
      <c r="AW44" s="25"/>
      <c r="AX44" s="27"/>
      <c r="AY44" s="27"/>
      <c r="AZ44" s="32"/>
      <c r="BA44" s="41"/>
    </row>
    <row r="45" spans="1:53" x14ac:dyDescent="0.2">
      <c r="A45" s="25">
        <v>38</v>
      </c>
      <c r="B45" s="26"/>
      <c r="C45" s="27"/>
      <c r="D45" s="25"/>
      <c r="E45" s="28"/>
      <c r="F45" s="27"/>
      <c r="G45" s="28"/>
      <c r="H45" s="27"/>
      <c r="I45" s="28"/>
      <c r="J45" s="27">
        <v>1.2</v>
      </c>
      <c r="K45" s="29" t="s">
        <v>35</v>
      </c>
      <c r="L45" s="39"/>
      <c r="M45" s="31"/>
      <c r="N45" s="27" t="s">
        <v>76</v>
      </c>
      <c r="O45" s="307"/>
      <c r="P45" s="32"/>
      <c r="Q45" s="25"/>
      <c r="R45" s="27"/>
      <c r="S45" s="27"/>
      <c r="T45" s="28"/>
      <c r="U45" s="27"/>
      <c r="V45" s="27"/>
      <c r="W45" s="28"/>
      <c r="X45" s="33"/>
      <c r="Y45" s="32"/>
      <c r="Z45" s="25"/>
      <c r="AA45" s="27"/>
      <c r="AB45" s="28"/>
      <c r="AC45" s="27"/>
      <c r="AD45" s="27"/>
      <c r="AE45" s="33"/>
      <c r="AG45" s="25"/>
      <c r="AH45" s="34"/>
      <c r="AI45" s="27"/>
      <c r="AJ45" s="27"/>
      <c r="AK45" s="27"/>
      <c r="AL45" s="25"/>
      <c r="AM45" s="34"/>
      <c r="AN45" s="27"/>
      <c r="AO45" s="27"/>
      <c r="AP45" s="36"/>
      <c r="AQ45" s="37"/>
      <c r="AR45" s="32"/>
      <c r="AS45" s="25" t="s">
        <v>78</v>
      </c>
      <c r="AT45" s="27" t="s">
        <v>52</v>
      </c>
      <c r="AU45" s="27"/>
      <c r="AW45" s="25"/>
      <c r="AX45" s="27"/>
      <c r="AY45" s="27"/>
      <c r="AZ45" s="32"/>
      <c r="BA45" s="41"/>
    </row>
    <row r="46" spans="1:53" ht="16" thickBot="1" x14ac:dyDescent="0.25">
      <c r="A46" s="25">
        <v>39</v>
      </c>
      <c r="B46" s="26"/>
      <c r="C46" s="27"/>
      <c r="D46" s="25"/>
      <c r="E46" s="28"/>
      <c r="F46" s="27"/>
      <c r="G46" s="28"/>
      <c r="H46" s="27"/>
      <c r="I46" s="28"/>
      <c r="J46" s="27">
        <v>1.2</v>
      </c>
      <c r="K46" s="29" t="s">
        <v>35</v>
      </c>
      <c r="M46" s="31"/>
      <c r="N46" s="27" t="s">
        <v>76</v>
      </c>
      <c r="O46" s="307"/>
      <c r="P46" s="32"/>
      <c r="Q46" s="25"/>
      <c r="R46" s="27"/>
      <c r="S46" s="27"/>
      <c r="T46" s="28"/>
      <c r="U46" s="27"/>
      <c r="V46" s="27"/>
      <c r="W46" s="28"/>
      <c r="X46" s="33"/>
      <c r="Y46" s="32"/>
      <c r="Z46" s="25"/>
      <c r="AA46" s="27"/>
      <c r="AB46" s="28"/>
      <c r="AC46" s="27"/>
      <c r="AD46" s="27"/>
      <c r="AE46" s="33"/>
      <c r="AG46" s="25"/>
      <c r="AH46" s="34"/>
      <c r="AI46" s="27"/>
      <c r="AJ46" s="27"/>
      <c r="AK46" s="27"/>
      <c r="AL46" s="25"/>
      <c r="AM46" s="34"/>
      <c r="AN46" s="27"/>
      <c r="AO46" s="27"/>
      <c r="AP46" s="36"/>
      <c r="AQ46" s="37"/>
      <c r="AR46" s="32"/>
      <c r="AS46" s="25" t="s">
        <v>78</v>
      </c>
      <c r="AT46" s="27" t="s">
        <v>52</v>
      </c>
      <c r="AU46" s="27"/>
      <c r="AW46" s="25"/>
      <c r="AX46" s="27"/>
      <c r="AY46" s="27"/>
      <c r="AZ46" s="32"/>
      <c r="BA46" s="41"/>
    </row>
    <row r="47" spans="1:53" ht="16" thickBot="1" x14ac:dyDescent="0.25">
      <c r="A47" s="25">
        <v>40</v>
      </c>
      <c r="B47" s="26"/>
      <c r="C47" s="27"/>
      <c r="D47" s="25"/>
      <c r="E47" s="28"/>
      <c r="F47" s="27"/>
      <c r="G47" s="28"/>
      <c r="H47" s="27"/>
      <c r="I47" s="28"/>
      <c r="J47" s="27">
        <v>1.2</v>
      </c>
      <c r="K47" s="29" t="s">
        <v>35</v>
      </c>
      <c r="L47" s="53"/>
      <c r="M47" s="31"/>
      <c r="N47" s="27" t="s">
        <v>76</v>
      </c>
      <c r="O47" s="308"/>
      <c r="Q47" s="25"/>
      <c r="R47" s="27"/>
      <c r="S47" s="27"/>
      <c r="T47" s="28"/>
      <c r="U47" s="27"/>
      <c r="V47" s="27"/>
      <c r="W47" s="28"/>
      <c r="X47" s="33"/>
      <c r="Y47" s="32"/>
      <c r="Z47" s="59"/>
      <c r="AA47" s="60"/>
      <c r="AB47" s="61"/>
      <c r="AC47" s="27"/>
      <c r="AD47" s="27"/>
      <c r="AE47" s="33"/>
      <c r="AG47" s="25"/>
      <c r="AH47" s="34"/>
      <c r="AI47" s="27"/>
      <c r="AJ47" s="27"/>
      <c r="AK47" s="27"/>
      <c r="AL47" s="25"/>
      <c r="AM47" s="34"/>
      <c r="AN47" s="27"/>
      <c r="AO47" s="27"/>
      <c r="AP47" s="36"/>
      <c r="AQ47" s="37"/>
      <c r="AR47" s="32"/>
      <c r="AS47" s="25" t="s">
        <v>79</v>
      </c>
      <c r="AT47" s="27" t="s">
        <v>52</v>
      </c>
      <c r="AU47" s="58" t="s">
        <v>80</v>
      </c>
      <c r="AW47" s="25"/>
      <c r="AX47" s="27"/>
      <c r="AY47" s="27"/>
      <c r="AZ47" s="32"/>
      <c r="BA47" s="41"/>
    </row>
    <row r="48" spans="1:53" x14ac:dyDescent="0.2">
      <c r="A48" s="25">
        <v>41</v>
      </c>
      <c r="B48" s="26"/>
      <c r="C48" s="27"/>
      <c r="D48" s="25"/>
      <c r="E48" s="28"/>
      <c r="F48" s="27"/>
      <c r="G48" s="28"/>
      <c r="H48" s="27"/>
      <c r="I48" s="28"/>
      <c r="J48" s="27">
        <v>1.2</v>
      </c>
      <c r="K48" s="29" t="s">
        <v>35</v>
      </c>
      <c r="M48" s="31"/>
      <c r="N48" s="27" t="s">
        <v>76</v>
      </c>
      <c r="P48" s="32"/>
      <c r="Q48" s="25"/>
      <c r="R48" s="27"/>
      <c r="S48" s="27"/>
      <c r="T48" s="28"/>
      <c r="U48" s="27"/>
      <c r="V48" s="27"/>
      <c r="W48" s="28"/>
      <c r="X48" s="33"/>
      <c r="Y48" s="32"/>
      <c r="Z48" s="25"/>
      <c r="AA48" s="27"/>
      <c r="AB48" s="28"/>
      <c r="AC48" s="27"/>
      <c r="AD48" s="27"/>
      <c r="AE48" s="33"/>
      <c r="AG48" s="25"/>
      <c r="AH48" s="34"/>
      <c r="AI48" s="27"/>
      <c r="AJ48" s="27"/>
      <c r="AK48" s="27"/>
      <c r="AL48" s="25"/>
      <c r="AM48" s="34"/>
      <c r="AN48" s="27"/>
      <c r="AO48" s="27"/>
      <c r="AP48" s="36"/>
      <c r="AQ48" s="37"/>
      <c r="AR48" s="32"/>
      <c r="AS48" s="25" t="s">
        <v>79</v>
      </c>
      <c r="AT48" s="27" t="s">
        <v>52</v>
      </c>
      <c r="AU48" s="27"/>
      <c r="AW48" s="25"/>
      <c r="AX48" s="27"/>
      <c r="AY48" s="27"/>
      <c r="AZ48" s="32"/>
      <c r="BA48" s="41"/>
    </row>
    <row r="49" spans="1:53" x14ac:dyDescent="0.2">
      <c r="A49" s="25">
        <v>42</v>
      </c>
      <c r="B49" s="26"/>
      <c r="C49" s="27"/>
      <c r="D49" s="25"/>
      <c r="E49" s="28"/>
      <c r="F49" s="27"/>
      <c r="G49" s="28"/>
      <c r="H49" s="27"/>
      <c r="I49" s="28"/>
      <c r="J49" s="27">
        <v>1.2</v>
      </c>
      <c r="K49" s="29" t="s">
        <v>35</v>
      </c>
      <c r="L49" s="39"/>
      <c r="M49" s="31"/>
      <c r="N49" s="27" t="s">
        <v>76</v>
      </c>
      <c r="P49" s="32"/>
      <c r="Q49" s="25"/>
      <c r="R49" s="27"/>
      <c r="S49" s="27"/>
      <c r="T49" s="28"/>
      <c r="U49" s="27"/>
      <c r="V49" s="27"/>
      <c r="W49" s="28"/>
      <c r="X49" s="33"/>
      <c r="Y49" s="32"/>
      <c r="Z49" s="25"/>
      <c r="AA49" s="27"/>
      <c r="AB49" s="28"/>
      <c r="AC49" s="27"/>
      <c r="AD49" s="27"/>
      <c r="AE49" s="33"/>
      <c r="AG49" s="25"/>
      <c r="AH49" s="34"/>
      <c r="AI49" s="27"/>
      <c r="AJ49" s="27"/>
      <c r="AK49" s="27"/>
      <c r="AL49" s="25"/>
      <c r="AM49" s="34"/>
      <c r="AN49" s="27"/>
      <c r="AO49" s="27"/>
      <c r="AP49" s="36"/>
      <c r="AQ49" s="37"/>
      <c r="AR49" s="32"/>
      <c r="AS49" s="25" t="s">
        <v>79</v>
      </c>
      <c r="AT49" s="27" t="s">
        <v>52</v>
      </c>
      <c r="AU49" s="27"/>
      <c r="AW49" s="25"/>
      <c r="AX49" s="27"/>
      <c r="AY49" s="27"/>
      <c r="AZ49" s="32"/>
      <c r="BA49" s="41"/>
    </row>
    <row r="50" spans="1:53" ht="16" thickBot="1" x14ac:dyDescent="0.25">
      <c r="A50" s="25">
        <v>43</v>
      </c>
      <c r="B50" s="26"/>
      <c r="C50" s="27"/>
      <c r="D50" s="25"/>
      <c r="E50" s="28"/>
      <c r="F50" s="27"/>
      <c r="G50" s="28"/>
      <c r="H50" s="27"/>
      <c r="I50" s="28"/>
      <c r="J50" s="27">
        <v>1.2</v>
      </c>
      <c r="K50" s="29" t="s">
        <v>35</v>
      </c>
      <c r="L50" s="39"/>
      <c r="M50" s="31"/>
      <c r="N50" s="27" t="s">
        <v>76</v>
      </c>
      <c r="P50" s="32"/>
      <c r="Q50" s="25"/>
      <c r="R50" s="27"/>
      <c r="S50" s="27"/>
      <c r="T50" s="28"/>
      <c r="U50" s="27"/>
      <c r="V50" s="27"/>
      <c r="W50" s="28"/>
      <c r="X50" s="33"/>
      <c r="Y50" s="32"/>
      <c r="Z50" s="25"/>
      <c r="AA50" s="27"/>
      <c r="AB50" s="28"/>
      <c r="AC50" s="27"/>
      <c r="AD50" s="27"/>
      <c r="AE50" s="33"/>
      <c r="AG50" s="25"/>
      <c r="AH50" s="34"/>
      <c r="AI50" s="27"/>
      <c r="AJ50" s="27"/>
      <c r="AK50" s="27"/>
      <c r="AL50" s="25"/>
      <c r="AM50" s="34"/>
      <c r="AN50" s="27"/>
      <c r="AO50" s="27"/>
      <c r="AP50" s="36"/>
      <c r="AQ50" s="37"/>
      <c r="AR50" s="32"/>
      <c r="AS50" s="25" t="s">
        <v>79</v>
      </c>
      <c r="AT50" s="27" t="s">
        <v>52</v>
      </c>
      <c r="AU50" s="27"/>
      <c r="AW50" s="25"/>
      <c r="AX50" s="27"/>
      <c r="AY50" s="27"/>
      <c r="AZ50" s="32"/>
      <c r="BA50" s="41"/>
    </row>
    <row r="51" spans="1:53" ht="16" thickBot="1" x14ac:dyDescent="0.25">
      <c r="A51" s="25">
        <v>44</v>
      </c>
      <c r="B51" s="26"/>
      <c r="C51" s="27"/>
      <c r="D51" s="25"/>
      <c r="E51" s="28"/>
      <c r="F51" s="27"/>
      <c r="G51" s="28"/>
      <c r="H51" s="27"/>
      <c r="I51" s="28"/>
      <c r="J51" s="27">
        <v>1.2</v>
      </c>
      <c r="K51" s="29" t="s">
        <v>35</v>
      </c>
      <c r="L51" s="39"/>
      <c r="M51" s="31"/>
      <c r="N51" s="27" t="s">
        <v>76</v>
      </c>
      <c r="P51" s="32"/>
      <c r="Q51" s="27"/>
      <c r="R51" s="27"/>
      <c r="S51" s="27"/>
      <c r="T51" s="28"/>
      <c r="U51" s="27"/>
      <c r="V51" s="27"/>
      <c r="W51" s="28"/>
      <c r="X51" s="33"/>
      <c r="Y51" s="32"/>
      <c r="Z51" s="59"/>
      <c r="AA51" s="60"/>
      <c r="AB51" s="61"/>
      <c r="AC51" s="27"/>
      <c r="AD51" s="27"/>
      <c r="AE51" s="33"/>
      <c r="AG51" s="25"/>
      <c r="AH51" s="34"/>
      <c r="AI51" s="27"/>
      <c r="AJ51" s="27"/>
      <c r="AK51" s="27"/>
      <c r="AL51" s="25"/>
      <c r="AM51" s="34"/>
      <c r="AN51" s="27"/>
      <c r="AO51" s="27"/>
      <c r="AP51" s="36"/>
      <c r="AQ51" s="37"/>
      <c r="AR51" s="32"/>
      <c r="AS51" s="25" t="s">
        <v>79</v>
      </c>
      <c r="AT51" s="27" t="s">
        <v>52</v>
      </c>
      <c r="AU51" s="58" t="s">
        <v>81</v>
      </c>
      <c r="AW51" s="25"/>
      <c r="AX51" s="27"/>
      <c r="AY51" s="27"/>
      <c r="AZ51" s="32"/>
      <c r="BA51" s="41"/>
    </row>
    <row r="52" spans="1:53" x14ac:dyDescent="0.2">
      <c r="A52" s="25">
        <v>45</v>
      </c>
      <c r="B52" s="26"/>
      <c r="C52" s="27"/>
      <c r="D52" s="25"/>
      <c r="E52" s="28"/>
      <c r="F52" s="27"/>
      <c r="G52" s="28"/>
      <c r="H52" s="27"/>
      <c r="I52" s="28"/>
      <c r="J52" s="27">
        <v>1.2</v>
      </c>
      <c r="K52" s="29" t="s">
        <v>35</v>
      </c>
      <c r="L52" s="39"/>
      <c r="M52" s="31"/>
      <c r="N52" s="27" t="s">
        <v>76</v>
      </c>
      <c r="P52" s="32"/>
      <c r="Q52" s="25"/>
      <c r="R52" s="27"/>
      <c r="S52" s="27"/>
      <c r="T52" s="28"/>
      <c r="U52" s="27"/>
      <c r="V52" s="27"/>
      <c r="W52" s="28"/>
      <c r="X52" s="33"/>
      <c r="Y52" s="32"/>
      <c r="Z52" s="25"/>
      <c r="AA52" s="27"/>
      <c r="AB52" s="28"/>
      <c r="AC52" s="27"/>
      <c r="AD52" s="27"/>
      <c r="AE52" s="33"/>
      <c r="AG52" s="25"/>
      <c r="AH52" s="34"/>
      <c r="AI52" s="27"/>
      <c r="AJ52" s="27"/>
      <c r="AK52" s="27"/>
      <c r="AL52" s="25"/>
      <c r="AM52" s="34"/>
      <c r="AN52" s="27"/>
      <c r="AO52" s="27"/>
      <c r="AP52" s="36"/>
      <c r="AQ52" s="37"/>
      <c r="AR52" s="32"/>
      <c r="AS52" s="25" t="s">
        <v>82</v>
      </c>
      <c r="AT52" s="27" t="s">
        <v>52</v>
      </c>
      <c r="AW52" s="25"/>
      <c r="AX52" s="27"/>
      <c r="AY52" s="27"/>
      <c r="AZ52" s="32"/>
      <c r="BA52" s="41"/>
    </row>
    <row r="53" spans="1:53" x14ac:dyDescent="0.2">
      <c r="A53" s="25">
        <v>46</v>
      </c>
      <c r="B53" s="26"/>
      <c r="C53" s="27"/>
      <c r="D53" s="25"/>
      <c r="E53" s="28"/>
      <c r="F53" s="27"/>
      <c r="G53" s="28"/>
      <c r="H53" s="27"/>
      <c r="I53" s="28"/>
      <c r="J53" s="27">
        <v>1.2</v>
      </c>
      <c r="K53" s="29" t="s">
        <v>35</v>
      </c>
      <c r="L53" s="39"/>
      <c r="M53" s="31"/>
      <c r="N53" s="27" t="s">
        <v>76</v>
      </c>
      <c r="P53" s="32"/>
      <c r="Q53" s="25"/>
      <c r="R53" s="27"/>
      <c r="S53" s="27"/>
      <c r="T53" s="28"/>
      <c r="U53" s="27"/>
      <c r="V53" s="27"/>
      <c r="W53" s="28"/>
      <c r="X53" s="33"/>
      <c r="Y53" s="32"/>
      <c r="Z53" s="25"/>
      <c r="AA53" s="27"/>
      <c r="AB53" s="28"/>
      <c r="AC53" s="27"/>
      <c r="AD53" s="27"/>
      <c r="AE53" s="33"/>
      <c r="AG53" s="25"/>
      <c r="AH53" s="34"/>
      <c r="AI53" s="27"/>
      <c r="AJ53" s="27"/>
      <c r="AK53" s="27"/>
      <c r="AL53" s="25"/>
      <c r="AM53" s="34"/>
      <c r="AN53" s="27"/>
      <c r="AO53" s="27"/>
      <c r="AP53" s="36"/>
      <c r="AQ53" s="37"/>
      <c r="AR53" s="32"/>
      <c r="AS53" s="25" t="s">
        <v>82</v>
      </c>
      <c r="AT53" s="27" t="s">
        <v>52</v>
      </c>
      <c r="AU53" s="27"/>
      <c r="AW53" s="25"/>
      <c r="AX53" s="27"/>
      <c r="AY53" s="27"/>
      <c r="AZ53" s="32"/>
      <c r="BA53" s="41"/>
    </row>
    <row r="54" spans="1:53" x14ac:dyDescent="0.2">
      <c r="A54" s="25">
        <v>47</v>
      </c>
      <c r="B54" s="26"/>
      <c r="C54" s="27"/>
      <c r="D54" s="25"/>
      <c r="E54" s="28"/>
      <c r="F54" s="27"/>
      <c r="G54" s="28"/>
      <c r="H54" s="27"/>
      <c r="I54" s="28"/>
      <c r="J54" s="27">
        <v>1.2</v>
      </c>
      <c r="K54" s="29" t="s">
        <v>35</v>
      </c>
      <c r="L54" s="39"/>
      <c r="M54" s="31"/>
      <c r="N54" s="27" t="s">
        <v>76</v>
      </c>
      <c r="P54" s="32"/>
      <c r="Q54" s="25"/>
      <c r="R54" s="27"/>
      <c r="S54" s="27"/>
      <c r="T54" s="28"/>
      <c r="U54" s="27"/>
      <c r="V54" s="27"/>
      <c r="W54" s="28"/>
      <c r="X54" s="33"/>
      <c r="Y54" s="32"/>
      <c r="Z54" s="25"/>
      <c r="AA54" s="27"/>
      <c r="AB54" s="28"/>
      <c r="AC54" s="27"/>
      <c r="AD54" s="27"/>
      <c r="AE54" s="33"/>
      <c r="AG54" s="25"/>
      <c r="AH54" s="34"/>
      <c r="AI54" s="27"/>
      <c r="AJ54" s="27"/>
      <c r="AK54" s="27"/>
      <c r="AL54" s="25"/>
      <c r="AM54" s="34"/>
      <c r="AN54" s="27"/>
      <c r="AO54" s="27"/>
      <c r="AP54" s="36"/>
      <c r="AQ54" s="37"/>
      <c r="AR54" s="32"/>
      <c r="AS54" s="25" t="s">
        <v>82</v>
      </c>
      <c r="AT54" s="27" t="s">
        <v>52</v>
      </c>
      <c r="AU54" s="27"/>
      <c r="AW54" s="25"/>
      <c r="AX54" s="27"/>
      <c r="AY54" s="27"/>
      <c r="AZ54" s="32"/>
      <c r="BA54" s="41"/>
    </row>
    <row r="55" spans="1:53" x14ac:dyDescent="0.2">
      <c r="A55" s="25">
        <v>48</v>
      </c>
      <c r="B55" s="26"/>
      <c r="C55" s="27"/>
      <c r="D55" s="25"/>
      <c r="E55" s="28"/>
      <c r="F55" s="27"/>
      <c r="G55" s="28"/>
      <c r="H55" s="27"/>
      <c r="I55" s="28"/>
      <c r="J55" s="27">
        <v>1.2</v>
      </c>
      <c r="K55" s="29" t="s">
        <v>35</v>
      </c>
      <c r="M55" s="31"/>
      <c r="N55" s="27" t="s">
        <v>76</v>
      </c>
      <c r="P55" s="32"/>
      <c r="Q55" s="25"/>
      <c r="R55" s="27"/>
      <c r="S55" s="27"/>
      <c r="T55" s="28"/>
      <c r="U55" s="27"/>
      <c r="V55" s="27"/>
      <c r="W55" s="28"/>
      <c r="X55" s="33"/>
      <c r="Y55" s="32"/>
      <c r="Z55" s="25"/>
      <c r="AA55" s="27"/>
      <c r="AB55" s="28"/>
      <c r="AC55" s="27"/>
      <c r="AD55" s="27"/>
      <c r="AE55" s="33"/>
      <c r="AG55" s="25"/>
      <c r="AH55" s="34"/>
      <c r="AI55" s="27"/>
      <c r="AJ55" s="27"/>
      <c r="AK55" s="27"/>
      <c r="AL55" s="25"/>
      <c r="AM55" s="34"/>
      <c r="AN55" s="27"/>
      <c r="AO55" s="27"/>
      <c r="AP55" s="36"/>
      <c r="AQ55" s="37"/>
      <c r="AR55" s="32"/>
      <c r="AS55" s="25" t="s">
        <v>82</v>
      </c>
      <c r="AT55" s="27" t="s">
        <v>52</v>
      </c>
      <c r="AU55" s="27"/>
      <c r="AW55" s="25"/>
      <c r="AX55" s="27"/>
      <c r="AY55" s="27"/>
      <c r="AZ55" s="32"/>
      <c r="BA55" s="41"/>
    </row>
    <row r="56" spans="1:53" ht="16" thickBot="1" x14ac:dyDescent="0.25">
      <c r="A56" s="25">
        <v>49</v>
      </c>
      <c r="B56" s="26"/>
      <c r="C56" s="27"/>
      <c r="D56" s="25"/>
      <c r="E56" s="28"/>
      <c r="F56" s="27"/>
      <c r="G56" s="28"/>
      <c r="H56" s="27"/>
      <c r="I56" s="28"/>
      <c r="J56" s="27">
        <v>1.2</v>
      </c>
      <c r="K56" s="29" t="s">
        <v>35</v>
      </c>
      <c r="L56" s="39"/>
      <c r="M56" s="31"/>
      <c r="N56" s="27" t="s">
        <v>76</v>
      </c>
      <c r="P56" s="32"/>
      <c r="Q56" s="25"/>
      <c r="R56" s="27"/>
      <c r="S56" s="27"/>
      <c r="T56" s="28"/>
      <c r="U56" s="27"/>
      <c r="V56" s="27"/>
      <c r="W56" s="28"/>
      <c r="X56" s="33"/>
      <c r="Y56" s="32"/>
      <c r="Z56" s="25"/>
      <c r="AA56" s="27"/>
      <c r="AB56" s="28"/>
      <c r="AC56" s="27"/>
      <c r="AD56" s="27"/>
      <c r="AE56" s="33"/>
      <c r="AG56" s="25"/>
      <c r="AH56" s="34"/>
      <c r="AI56" s="27"/>
      <c r="AJ56" s="27"/>
      <c r="AK56" s="27"/>
      <c r="AL56" s="25"/>
      <c r="AM56" s="34"/>
      <c r="AN56" s="27"/>
      <c r="AO56" s="27"/>
      <c r="AP56" s="36"/>
      <c r="AQ56" s="37"/>
      <c r="AR56" s="32"/>
      <c r="AS56" s="25" t="s">
        <v>82</v>
      </c>
      <c r="AT56" s="27" t="s">
        <v>52</v>
      </c>
      <c r="AU56" s="27"/>
      <c r="AW56" s="25"/>
      <c r="AX56" s="27"/>
      <c r="AY56" s="27"/>
      <c r="AZ56" s="32"/>
      <c r="BA56" s="41"/>
    </row>
    <row r="57" spans="1:53" ht="16" thickBot="1" x14ac:dyDescent="0.25">
      <c r="A57" s="25">
        <v>50</v>
      </c>
      <c r="B57" s="26"/>
      <c r="C57" s="27"/>
      <c r="D57" s="25"/>
      <c r="E57" s="28"/>
      <c r="F57" s="27"/>
      <c r="G57" s="28"/>
      <c r="H57" s="27"/>
      <c r="I57" s="28"/>
      <c r="J57" s="27">
        <v>1.2</v>
      </c>
      <c r="K57" s="29" t="s">
        <v>35</v>
      </c>
      <c r="L57" s="44" t="s">
        <v>83</v>
      </c>
      <c r="M57" s="31"/>
      <c r="N57" s="27" t="s">
        <v>76</v>
      </c>
      <c r="O57" s="45" t="s">
        <v>84</v>
      </c>
      <c r="P57" s="46" t="s">
        <v>85</v>
      </c>
      <c r="Q57" s="25"/>
      <c r="R57" s="27"/>
      <c r="S57" s="27"/>
      <c r="T57" s="28"/>
      <c r="U57" s="27"/>
      <c r="V57" s="27"/>
      <c r="W57" s="28"/>
      <c r="X57" s="33"/>
      <c r="Y57" s="32"/>
      <c r="Z57" s="25"/>
      <c r="AA57" s="27"/>
      <c r="AB57" s="28"/>
      <c r="AC57" s="27"/>
      <c r="AD57" s="27"/>
      <c r="AE57" s="33"/>
      <c r="AG57" s="25"/>
      <c r="AH57" s="34"/>
      <c r="AI57" s="27"/>
      <c r="AJ57" s="27"/>
      <c r="AK57" s="27"/>
      <c r="AL57" s="25"/>
      <c r="AM57" s="34"/>
      <c r="AN57" s="27"/>
      <c r="AO57" s="27"/>
      <c r="AP57" s="36"/>
      <c r="AQ57" s="37"/>
      <c r="AR57" s="32"/>
      <c r="AS57" s="25" t="s">
        <v>86</v>
      </c>
      <c r="AT57" s="27" t="s">
        <v>87</v>
      </c>
      <c r="AU57" s="58" t="s">
        <v>88</v>
      </c>
      <c r="AW57" s="25"/>
      <c r="AX57" s="27"/>
      <c r="AY57" s="27"/>
      <c r="AZ57" s="32"/>
      <c r="BA57" s="41"/>
    </row>
    <row r="58" spans="1:53" ht="16" thickBot="1" x14ac:dyDescent="0.25">
      <c r="A58" s="25">
        <v>51</v>
      </c>
      <c r="B58" s="26"/>
      <c r="C58" s="27"/>
      <c r="D58" s="25"/>
      <c r="E58" s="28"/>
      <c r="F58" s="27"/>
      <c r="G58" s="28"/>
      <c r="H58" s="27"/>
      <c r="I58" s="28"/>
      <c r="J58" s="27">
        <v>2</v>
      </c>
      <c r="K58" s="29" t="s">
        <v>35</v>
      </c>
      <c r="L58" s="88" t="s">
        <v>89</v>
      </c>
      <c r="M58" s="31"/>
      <c r="N58" s="27"/>
      <c r="P58" s="46"/>
      <c r="Q58" s="27"/>
      <c r="R58" s="27"/>
      <c r="S58" s="27"/>
      <c r="T58" s="28"/>
      <c r="U58" s="27"/>
      <c r="V58" s="27"/>
      <c r="W58" s="28"/>
      <c r="X58" s="33"/>
      <c r="Y58" s="32"/>
      <c r="Z58" s="25"/>
      <c r="AA58" s="27"/>
      <c r="AB58" s="28"/>
      <c r="AC58" s="27"/>
      <c r="AD58" s="27"/>
      <c r="AE58" s="33"/>
      <c r="AG58" s="25"/>
      <c r="AH58" s="34"/>
      <c r="AI58" s="27"/>
      <c r="AJ58" s="27"/>
      <c r="AK58" s="27"/>
      <c r="AL58" s="25"/>
      <c r="AM58" s="34"/>
      <c r="AN58" s="27"/>
      <c r="AO58" s="27"/>
      <c r="AP58" s="36"/>
      <c r="AQ58" s="37"/>
      <c r="AR58" s="32"/>
      <c r="AS58" s="25" t="s">
        <v>86</v>
      </c>
      <c r="AT58" s="27" t="s">
        <v>87</v>
      </c>
      <c r="AU58" s="27"/>
      <c r="AW58" s="25"/>
      <c r="AX58" s="27"/>
      <c r="AY58" s="27"/>
      <c r="AZ58" s="32"/>
      <c r="BA58" s="41"/>
    </row>
    <row r="59" spans="1:53" ht="16" thickBot="1" x14ac:dyDescent="0.25">
      <c r="A59" s="25">
        <v>52</v>
      </c>
      <c r="B59" s="26"/>
      <c r="C59" s="27"/>
      <c r="D59" s="25"/>
      <c r="E59" s="28"/>
      <c r="F59" s="27"/>
      <c r="G59" s="28"/>
      <c r="H59" s="27"/>
      <c r="I59" s="28"/>
      <c r="J59" s="27">
        <v>2</v>
      </c>
      <c r="K59" s="29" t="s">
        <v>35</v>
      </c>
      <c r="L59" s="39"/>
      <c r="M59" s="31"/>
      <c r="N59" s="27"/>
      <c r="P59" s="32"/>
      <c r="Q59" s="25"/>
      <c r="R59" s="27"/>
      <c r="S59" s="27"/>
      <c r="T59" s="28"/>
      <c r="U59" s="27"/>
      <c r="V59" s="27"/>
      <c r="W59" s="28"/>
      <c r="X59" s="33"/>
      <c r="Y59" s="32"/>
      <c r="Z59" s="25"/>
      <c r="AA59" s="27"/>
      <c r="AB59" s="28"/>
      <c r="AC59" s="27"/>
      <c r="AD59" s="27"/>
      <c r="AE59" s="33"/>
      <c r="AG59" s="25"/>
      <c r="AH59" s="34"/>
      <c r="AI59" s="27"/>
      <c r="AJ59" s="27"/>
      <c r="AK59" s="27"/>
      <c r="AL59" s="25"/>
      <c r="AM59" s="34"/>
      <c r="AN59" s="27"/>
      <c r="AO59" s="27"/>
      <c r="AP59" s="36"/>
      <c r="AQ59" s="37"/>
      <c r="AR59" s="32"/>
      <c r="AS59" s="25" t="s">
        <v>86</v>
      </c>
      <c r="AT59" s="27" t="s">
        <v>87</v>
      </c>
      <c r="AW59" s="25"/>
      <c r="AX59" s="27"/>
      <c r="AY59" s="27"/>
      <c r="AZ59" s="32"/>
      <c r="BA59" s="41"/>
    </row>
    <row r="60" spans="1:53" ht="16" thickBot="1" x14ac:dyDescent="0.25">
      <c r="A60" s="25">
        <v>53</v>
      </c>
      <c r="B60" s="26"/>
      <c r="C60" s="27"/>
      <c r="D60" s="25"/>
      <c r="E60" s="28"/>
      <c r="F60" s="27"/>
      <c r="G60" s="28"/>
      <c r="H60" s="27"/>
      <c r="I60" s="28"/>
      <c r="J60" s="27">
        <v>2</v>
      </c>
      <c r="K60" s="29" t="s">
        <v>35</v>
      </c>
      <c r="L60" s="39"/>
      <c r="M60" s="31"/>
      <c r="N60" s="27"/>
      <c r="P60" s="32"/>
      <c r="Q60" s="25"/>
      <c r="R60" s="27"/>
      <c r="S60" s="27"/>
      <c r="T60" s="28"/>
      <c r="U60" s="27"/>
      <c r="V60" s="27"/>
      <c r="W60" s="28"/>
      <c r="X60" s="33"/>
      <c r="Y60" s="32"/>
      <c r="Z60" s="25"/>
      <c r="AA60" s="27"/>
      <c r="AB60" s="28"/>
      <c r="AC60" s="27"/>
      <c r="AD60" s="27"/>
      <c r="AE60" s="33"/>
      <c r="AG60" s="25"/>
      <c r="AH60" s="34"/>
      <c r="AI60" s="27"/>
      <c r="AJ60" s="27"/>
      <c r="AK60" s="27"/>
      <c r="AL60" s="25"/>
      <c r="AM60" s="34"/>
      <c r="AN60" s="27"/>
      <c r="AO60" s="27"/>
      <c r="AP60" s="36"/>
      <c r="AQ60" s="37"/>
      <c r="AR60" s="32"/>
      <c r="AS60" s="25" t="s">
        <v>86</v>
      </c>
      <c r="AT60" s="27" t="s">
        <v>87</v>
      </c>
      <c r="AU60" s="27"/>
      <c r="AW60" s="25" t="s">
        <v>90</v>
      </c>
      <c r="AX60" s="27" t="s">
        <v>91</v>
      </c>
      <c r="AY60" s="89" t="s">
        <v>92</v>
      </c>
      <c r="AZ60" s="32"/>
      <c r="BA60" s="41"/>
    </row>
    <row r="61" spans="1:53" ht="16" thickBot="1" x14ac:dyDescent="0.25">
      <c r="A61" s="25">
        <v>54</v>
      </c>
      <c r="B61" s="26"/>
      <c r="C61" s="27"/>
      <c r="D61" s="25"/>
      <c r="E61" s="28"/>
      <c r="F61" s="27"/>
      <c r="G61" s="28"/>
      <c r="H61" s="27"/>
      <c r="I61" s="28"/>
      <c r="J61" s="27">
        <v>2</v>
      </c>
      <c r="K61" s="29" t="s">
        <v>35</v>
      </c>
      <c r="L61" s="39"/>
      <c r="M61" s="31"/>
      <c r="N61" s="27"/>
      <c r="P61" s="32"/>
      <c r="Q61" s="25"/>
      <c r="R61" s="27"/>
      <c r="S61" s="27"/>
      <c r="T61" s="28"/>
      <c r="U61" s="27"/>
      <c r="V61" s="27"/>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U61" s="27"/>
      <c r="AW61" s="25" t="s">
        <v>90</v>
      </c>
      <c r="AX61" s="27" t="s">
        <v>91</v>
      </c>
      <c r="AY61" s="27"/>
      <c r="AZ61" s="32"/>
      <c r="BA61" s="41"/>
    </row>
    <row r="62" spans="1:53" ht="16" thickBot="1" x14ac:dyDescent="0.25">
      <c r="A62" s="25">
        <v>55</v>
      </c>
      <c r="B62" s="26"/>
      <c r="C62" s="27"/>
      <c r="D62" s="25"/>
      <c r="E62" s="28"/>
      <c r="F62" s="27"/>
      <c r="G62" s="28"/>
      <c r="H62" s="27"/>
      <c r="I62" s="28"/>
      <c r="J62" s="27">
        <v>2</v>
      </c>
      <c r="K62" s="29" t="s">
        <v>35</v>
      </c>
      <c r="L62" s="39"/>
      <c r="M62" s="31"/>
      <c r="N62" s="27"/>
      <c r="P62" s="32"/>
      <c r="Q62" s="25"/>
      <c r="R62" s="27"/>
      <c r="S62" s="27"/>
      <c r="T62" s="28"/>
      <c r="U62" s="27"/>
      <c r="V62" s="27"/>
      <c r="W62" s="28"/>
      <c r="X62" s="33"/>
      <c r="Y62" s="32"/>
      <c r="Z62" s="25"/>
      <c r="AA62" s="27"/>
      <c r="AB62" s="28"/>
      <c r="AC62" s="27"/>
      <c r="AD62" s="27"/>
      <c r="AE62" s="33"/>
      <c r="AG62" s="25"/>
      <c r="AH62" s="34"/>
      <c r="AI62" s="27"/>
      <c r="AJ62" s="27"/>
      <c r="AK62" s="27"/>
      <c r="AL62" s="25"/>
      <c r="AM62" s="34"/>
      <c r="AN62" s="27"/>
      <c r="AO62" s="27"/>
      <c r="AP62" s="36"/>
      <c r="AQ62" s="82" t="s">
        <v>93</v>
      </c>
      <c r="AR62" s="32"/>
      <c r="AS62" s="25" t="s">
        <v>86</v>
      </c>
      <c r="AT62" s="27" t="s">
        <v>87</v>
      </c>
      <c r="AW62" s="25" t="s">
        <v>90</v>
      </c>
      <c r="AX62" s="27" t="s">
        <v>91</v>
      </c>
      <c r="AY62" s="27"/>
      <c r="AZ62" s="32"/>
      <c r="BA62" s="41"/>
    </row>
    <row r="63" spans="1:53" x14ac:dyDescent="0.2">
      <c r="A63" s="25">
        <v>56</v>
      </c>
      <c r="B63" s="26"/>
      <c r="C63" s="27"/>
      <c r="D63" s="25"/>
      <c r="E63" s="28"/>
      <c r="F63" s="27"/>
      <c r="G63" s="28"/>
      <c r="H63" s="27"/>
      <c r="I63" s="28"/>
      <c r="J63" s="27">
        <v>2</v>
      </c>
      <c r="K63" s="29" t="s">
        <v>35</v>
      </c>
      <c r="L63" s="39"/>
      <c r="M63" s="31"/>
      <c r="N63" s="27"/>
      <c r="P63" s="32"/>
      <c r="Q63" s="25"/>
      <c r="R63" s="27"/>
      <c r="S63" s="27"/>
      <c r="T63" s="28"/>
      <c r="U63" s="27"/>
      <c r="V63" s="27"/>
      <c r="W63" s="28"/>
      <c r="X63" s="33"/>
      <c r="Y63" s="32"/>
      <c r="Z63" s="25"/>
      <c r="AA63" s="27"/>
      <c r="AB63" s="28"/>
      <c r="AC63" s="27"/>
      <c r="AD63" s="27"/>
      <c r="AE63" s="33"/>
      <c r="AG63" s="25"/>
      <c r="AH63" s="34"/>
      <c r="AI63" s="27"/>
      <c r="AJ63" s="27"/>
      <c r="AK63" s="27"/>
      <c r="AL63" s="25"/>
      <c r="AM63" s="34"/>
      <c r="AN63" s="27"/>
      <c r="AO63" s="27"/>
      <c r="AP63" s="36"/>
      <c r="AQ63" s="37"/>
      <c r="AR63" s="32"/>
      <c r="AS63" s="25" t="s">
        <v>86</v>
      </c>
      <c r="AT63" s="27" t="s">
        <v>87</v>
      </c>
      <c r="AU63" s="27"/>
      <c r="AW63" s="25" t="s">
        <v>90</v>
      </c>
      <c r="AX63" s="27" t="s">
        <v>91</v>
      </c>
      <c r="AY63" s="27"/>
      <c r="AZ63" s="32"/>
      <c r="BA63" s="41"/>
    </row>
    <row r="64" spans="1:53" ht="16" thickBot="1" x14ac:dyDescent="0.25">
      <c r="A64" s="25">
        <v>57</v>
      </c>
      <c r="B64" s="26"/>
      <c r="C64" s="27"/>
      <c r="D64" s="25"/>
      <c r="E64" s="28"/>
      <c r="F64" s="27"/>
      <c r="G64" s="28"/>
      <c r="H64" s="27"/>
      <c r="I64" s="28"/>
      <c r="J64" s="27">
        <v>2</v>
      </c>
      <c r="K64" s="29" t="s">
        <v>35</v>
      </c>
      <c r="L64" s="39"/>
      <c r="M64" s="31"/>
      <c r="N64" s="27"/>
      <c r="P64" s="32"/>
      <c r="Q64" s="25"/>
      <c r="R64" s="27"/>
      <c r="S64" s="27"/>
      <c r="T64" s="28"/>
      <c r="U64" s="27"/>
      <c r="V64" s="27"/>
      <c r="W64" s="28"/>
      <c r="X64" s="33"/>
      <c r="Y64" s="32"/>
      <c r="Z64" s="25"/>
      <c r="AA64" s="27"/>
      <c r="AB64" s="28"/>
      <c r="AC64" s="27"/>
      <c r="AD64" s="27"/>
      <c r="AE64" s="33"/>
      <c r="AG64" s="25"/>
      <c r="AH64" s="34"/>
      <c r="AI64" s="27"/>
      <c r="AJ64" s="27"/>
      <c r="AK64" s="27"/>
      <c r="AL64" s="25"/>
      <c r="AM64" s="34"/>
      <c r="AN64" s="27"/>
      <c r="AO64" s="27"/>
      <c r="AP64" s="36"/>
      <c r="AQ64" s="37"/>
      <c r="AR64" s="32"/>
      <c r="AS64" s="25" t="s">
        <v>86</v>
      </c>
      <c r="AT64" s="27" t="s">
        <v>87</v>
      </c>
      <c r="AU64" s="27"/>
      <c r="AW64" s="25" t="s">
        <v>90</v>
      </c>
      <c r="AX64" s="27" t="s">
        <v>91</v>
      </c>
      <c r="AY64" s="27"/>
      <c r="AZ64" s="32"/>
      <c r="BA64" s="41"/>
    </row>
    <row r="65" spans="1:53" ht="16" thickBot="1" x14ac:dyDescent="0.25">
      <c r="A65" s="25">
        <v>58</v>
      </c>
      <c r="B65" s="26"/>
      <c r="C65" s="27"/>
      <c r="D65" s="25"/>
      <c r="E65" s="28"/>
      <c r="F65" s="27"/>
      <c r="G65" s="28"/>
      <c r="H65" s="27"/>
      <c r="I65" s="28"/>
      <c r="J65" s="27">
        <v>2</v>
      </c>
      <c r="K65" s="29" t="s">
        <v>35</v>
      </c>
      <c r="L65" s="39"/>
      <c r="M65" s="31"/>
      <c r="N65" s="27"/>
      <c r="P65" s="32"/>
      <c r="Q65" s="25"/>
      <c r="R65" s="27"/>
      <c r="S65" s="27"/>
      <c r="T65" s="28"/>
      <c r="U65" s="27"/>
      <c r="V65" s="27"/>
      <c r="W65" s="28"/>
      <c r="X65" s="33"/>
      <c r="Y65" s="32"/>
      <c r="Z65" s="25"/>
      <c r="AA65" s="27"/>
      <c r="AB65" s="28"/>
      <c r="AC65" s="27"/>
      <c r="AD65" s="27"/>
      <c r="AE65" s="33"/>
      <c r="AG65" s="25"/>
      <c r="AH65" s="34"/>
      <c r="AI65" s="27"/>
      <c r="AJ65" s="27"/>
      <c r="AK65" s="27"/>
      <c r="AL65" s="25"/>
      <c r="AM65" s="34"/>
      <c r="AN65" s="27"/>
      <c r="AO65" s="27"/>
      <c r="AP65" s="36"/>
      <c r="AQ65" s="37"/>
      <c r="AR65" s="32"/>
      <c r="AS65" s="25" t="s">
        <v>86</v>
      </c>
      <c r="AT65" s="27" t="s">
        <v>87</v>
      </c>
      <c r="AU65" s="27"/>
      <c r="AW65" s="25" t="s">
        <v>90</v>
      </c>
      <c r="AX65" s="27" t="s">
        <v>91</v>
      </c>
      <c r="AY65" s="89" t="s">
        <v>94</v>
      </c>
      <c r="AZ65" s="32"/>
      <c r="BA65" s="41"/>
    </row>
    <row r="66" spans="1:53" ht="16" thickBot="1" x14ac:dyDescent="0.25">
      <c r="A66" s="25">
        <v>59</v>
      </c>
      <c r="B66" s="26"/>
      <c r="C66" s="27"/>
      <c r="D66" s="25"/>
      <c r="E66" s="28"/>
      <c r="F66" s="27"/>
      <c r="G66" s="28"/>
      <c r="H66" s="27"/>
      <c r="I66" s="28"/>
      <c r="J66" s="27">
        <v>2</v>
      </c>
      <c r="K66" s="29" t="s">
        <v>35</v>
      </c>
      <c r="L66" s="39"/>
      <c r="M66" s="31"/>
      <c r="N66" s="27"/>
      <c r="P66" s="32"/>
      <c r="Q66" s="25"/>
      <c r="R66" s="27"/>
      <c r="S66" s="27"/>
      <c r="T66" s="28"/>
      <c r="U66" s="27"/>
      <c r="V66" s="27"/>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27"/>
      <c r="AW66" s="25" t="s">
        <v>90</v>
      </c>
      <c r="AX66" s="27" t="s">
        <v>95</v>
      </c>
      <c r="AY66" s="27"/>
      <c r="AZ66" s="32"/>
      <c r="BA66" s="41"/>
    </row>
    <row r="67" spans="1:53" ht="16" thickBot="1" x14ac:dyDescent="0.25">
      <c r="A67" s="25">
        <v>60</v>
      </c>
      <c r="B67" s="26"/>
      <c r="C67" s="27"/>
      <c r="D67" s="25"/>
      <c r="E67" s="28"/>
      <c r="F67" s="27"/>
      <c r="G67" s="28"/>
      <c r="H67" s="27"/>
      <c r="I67" s="28"/>
      <c r="J67" s="27">
        <v>2</v>
      </c>
      <c r="K67" s="29" t="s">
        <v>35</v>
      </c>
      <c r="L67" s="39"/>
      <c r="M67" s="31"/>
      <c r="N67" s="27"/>
      <c r="P67" s="32"/>
      <c r="Q67" s="25"/>
      <c r="R67" s="27"/>
      <c r="S67" s="27"/>
      <c r="T67" s="28"/>
      <c r="U67" s="27"/>
      <c r="V67" s="27"/>
      <c r="W67" s="28"/>
      <c r="X67" s="33"/>
      <c r="Y67" s="32"/>
      <c r="Z67" s="25"/>
      <c r="AA67" s="27"/>
      <c r="AB67" s="28"/>
      <c r="AC67" s="27"/>
      <c r="AD67" s="27"/>
      <c r="AE67" s="33"/>
      <c r="AG67" s="25"/>
      <c r="AH67" s="34"/>
      <c r="AI67" s="27"/>
      <c r="AJ67" s="27"/>
      <c r="AK67" s="27"/>
      <c r="AL67" s="25"/>
      <c r="AM67" s="34"/>
      <c r="AN67" s="27"/>
      <c r="AO67" s="27"/>
      <c r="AP67" s="36"/>
      <c r="AQ67" s="37"/>
      <c r="AR67" s="32"/>
      <c r="AS67" s="25" t="s">
        <v>96</v>
      </c>
      <c r="AT67" s="27" t="s">
        <v>87</v>
      </c>
      <c r="AU67" s="58" t="s">
        <v>97</v>
      </c>
      <c r="AW67" s="25" t="s">
        <v>90</v>
      </c>
      <c r="AX67" s="27" t="s">
        <v>95</v>
      </c>
      <c r="AY67" s="27"/>
      <c r="AZ67" s="32"/>
      <c r="BA67" s="41"/>
    </row>
    <row r="68" spans="1:53" x14ac:dyDescent="0.2">
      <c r="A68" s="25">
        <v>61</v>
      </c>
      <c r="B68" s="26"/>
      <c r="C68" s="27"/>
      <c r="D68" s="25"/>
      <c r="E68" s="28"/>
      <c r="F68" s="27"/>
      <c r="G68" s="28"/>
      <c r="H68" s="27"/>
      <c r="I68" s="28"/>
      <c r="J68" s="27">
        <v>2</v>
      </c>
      <c r="K68" s="29" t="s">
        <v>35</v>
      </c>
      <c r="L68" s="39"/>
      <c r="M68" s="31"/>
      <c r="N68" s="27"/>
      <c r="P68" s="32"/>
      <c r="Q68" s="25"/>
      <c r="R68" s="27"/>
      <c r="S68" s="27"/>
      <c r="T68" s="28"/>
      <c r="U68" s="27"/>
      <c r="V68" s="27"/>
      <c r="W68" s="28"/>
      <c r="X68" s="33"/>
      <c r="Y68" s="32"/>
      <c r="Z68" s="25"/>
      <c r="AA68" s="27"/>
      <c r="AB68" s="28"/>
      <c r="AC68" s="27"/>
      <c r="AD68" s="27"/>
      <c r="AE68" s="33"/>
      <c r="AG68" s="25"/>
      <c r="AH68" s="34"/>
      <c r="AI68" s="27"/>
      <c r="AJ68" s="27"/>
      <c r="AK68" s="27"/>
      <c r="AL68" s="25"/>
      <c r="AM68" s="34"/>
      <c r="AN68" s="27"/>
      <c r="AO68" s="27"/>
      <c r="AP68" s="36"/>
      <c r="AQ68" s="37"/>
      <c r="AR68" s="32"/>
      <c r="AS68" s="25" t="s">
        <v>96</v>
      </c>
      <c r="AT68" s="27" t="s">
        <v>87</v>
      </c>
      <c r="AU68" s="27"/>
      <c r="AW68" s="25" t="s">
        <v>90</v>
      </c>
      <c r="AX68" s="27" t="s">
        <v>95</v>
      </c>
      <c r="AY68" s="27"/>
      <c r="AZ68" s="32"/>
      <c r="BA68" s="41"/>
    </row>
    <row r="69" spans="1:53" x14ac:dyDescent="0.2">
      <c r="A69" s="25">
        <v>62</v>
      </c>
      <c r="B69" s="26"/>
      <c r="C69" s="27"/>
      <c r="D69" s="25"/>
      <c r="E69" s="28"/>
      <c r="F69" s="27"/>
      <c r="G69" s="28"/>
      <c r="H69" s="27"/>
      <c r="I69" s="28"/>
      <c r="J69" s="27">
        <v>2</v>
      </c>
      <c r="K69" s="29" t="s">
        <v>35</v>
      </c>
      <c r="L69" s="39"/>
      <c r="M69" s="31"/>
      <c r="N69" s="27"/>
      <c r="P69" s="32"/>
      <c r="Q69" s="25"/>
      <c r="R69" s="27"/>
      <c r="S69" s="27"/>
      <c r="T69" s="28"/>
      <c r="U69" s="27"/>
      <c r="V69" s="27"/>
      <c r="W69" s="28"/>
      <c r="X69" s="33"/>
      <c r="Y69" s="32"/>
      <c r="Z69" s="25"/>
      <c r="AA69" s="27"/>
      <c r="AB69" s="28"/>
      <c r="AC69" s="27"/>
      <c r="AD69" s="27"/>
      <c r="AE69" s="33"/>
      <c r="AG69" s="25"/>
      <c r="AH69" s="34"/>
      <c r="AI69" s="27"/>
      <c r="AJ69" s="27"/>
      <c r="AK69" s="27"/>
      <c r="AL69" s="25"/>
      <c r="AM69" s="34"/>
      <c r="AN69" s="27"/>
      <c r="AO69" s="27"/>
      <c r="AP69" s="36"/>
      <c r="AQ69" s="37"/>
      <c r="AR69" s="32"/>
      <c r="AS69" s="25" t="s">
        <v>96</v>
      </c>
      <c r="AT69" s="27" t="s">
        <v>87</v>
      </c>
      <c r="AU69" s="27"/>
      <c r="AW69" s="25" t="s">
        <v>90</v>
      </c>
      <c r="AX69" s="27" t="s">
        <v>95</v>
      </c>
      <c r="AY69" s="27"/>
      <c r="AZ69" s="32"/>
      <c r="BA69" s="41"/>
    </row>
    <row r="70" spans="1:53" x14ac:dyDescent="0.2">
      <c r="A70" s="25">
        <v>63</v>
      </c>
      <c r="B70" s="26"/>
      <c r="C70" s="27"/>
      <c r="D70" s="25"/>
      <c r="E70" s="28"/>
      <c r="F70" s="27"/>
      <c r="G70" s="28"/>
      <c r="H70" s="27"/>
      <c r="I70" s="28"/>
      <c r="J70" s="27">
        <v>2</v>
      </c>
      <c r="K70" s="29" t="s">
        <v>35</v>
      </c>
      <c r="L70" s="39"/>
      <c r="M70" s="31"/>
      <c r="N70" s="27"/>
      <c r="P70" s="32"/>
      <c r="Q70" s="25"/>
      <c r="R70" s="27"/>
      <c r="S70" s="27"/>
      <c r="T70" s="28"/>
      <c r="U70" s="27"/>
      <c r="V70" s="27"/>
      <c r="W70" s="28"/>
      <c r="X70" s="33"/>
      <c r="Y70" s="32"/>
      <c r="Z70" s="25"/>
      <c r="AA70" s="27"/>
      <c r="AB70" s="28"/>
      <c r="AC70" s="27"/>
      <c r="AD70" s="27"/>
      <c r="AE70" s="33"/>
      <c r="AG70" s="25"/>
      <c r="AH70" s="34"/>
      <c r="AI70" s="27"/>
      <c r="AJ70" s="27"/>
      <c r="AK70" s="27"/>
      <c r="AL70" s="25"/>
      <c r="AM70" s="34"/>
      <c r="AN70" s="27"/>
      <c r="AO70" s="27"/>
      <c r="AP70" s="36"/>
      <c r="AQ70" s="37"/>
      <c r="AR70" s="32"/>
      <c r="AS70" s="25" t="s">
        <v>96</v>
      </c>
      <c r="AT70" s="27" t="s">
        <v>87</v>
      </c>
      <c r="AU70" s="27"/>
      <c r="AW70" s="25" t="s">
        <v>90</v>
      </c>
      <c r="AX70" s="27" t="s">
        <v>95</v>
      </c>
      <c r="AY70" s="27"/>
      <c r="AZ70" s="32"/>
      <c r="BA70" s="41"/>
    </row>
    <row r="71" spans="1:53" x14ac:dyDescent="0.2">
      <c r="A71" s="25">
        <v>64</v>
      </c>
      <c r="B71" s="26"/>
      <c r="C71" s="27"/>
      <c r="D71" s="25"/>
      <c r="E71" s="28"/>
      <c r="F71" s="27"/>
      <c r="G71" s="28"/>
      <c r="H71" s="27"/>
      <c r="I71" s="28"/>
      <c r="J71" s="27">
        <v>2</v>
      </c>
      <c r="K71" s="29" t="s">
        <v>35</v>
      </c>
      <c r="L71" s="39"/>
      <c r="M71" s="31"/>
      <c r="N71" s="27"/>
      <c r="P71" s="32"/>
      <c r="Q71" s="25"/>
      <c r="R71" s="27"/>
      <c r="S71" s="27"/>
      <c r="T71" s="28"/>
      <c r="U71" s="27"/>
      <c r="V71" s="27"/>
      <c r="W71" s="28"/>
      <c r="X71" s="33"/>
      <c r="Y71" s="32"/>
      <c r="Z71" s="25"/>
      <c r="AA71" s="27"/>
      <c r="AB71" s="28"/>
      <c r="AC71" s="27"/>
      <c r="AD71" s="27"/>
      <c r="AE71" s="33"/>
      <c r="AG71" s="25"/>
      <c r="AH71" s="34"/>
      <c r="AI71" s="27"/>
      <c r="AJ71" s="27"/>
      <c r="AK71" s="27"/>
      <c r="AL71" s="25"/>
      <c r="AM71" s="34"/>
      <c r="AN71" s="27"/>
      <c r="AO71" s="27"/>
      <c r="AP71" s="36"/>
      <c r="AQ71" s="37"/>
      <c r="AR71" s="32"/>
      <c r="AS71" s="25" t="s">
        <v>96</v>
      </c>
      <c r="AT71" s="27" t="s">
        <v>87</v>
      </c>
      <c r="AU71" s="27"/>
      <c r="AW71" s="25" t="s">
        <v>90</v>
      </c>
      <c r="AX71" s="27" t="s">
        <v>95</v>
      </c>
      <c r="AY71" s="27"/>
      <c r="AZ71" s="32"/>
      <c r="BA71" s="41"/>
    </row>
    <row r="72" spans="1:53" x14ac:dyDescent="0.2">
      <c r="A72" s="25">
        <v>65</v>
      </c>
      <c r="B72" s="26"/>
      <c r="C72" s="27"/>
      <c r="D72" s="25"/>
      <c r="E72" s="28"/>
      <c r="F72" s="27"/>
      <c r="G72" s="28"/>
      <c r="H72" s="27"/>
      <c r="I72" s="28"/>
      <c r="J72" s="27">
        <v>2</v>
      </c>
      <c r="K72" s="29" t="s">
        <v>35</v>
      </c>
      <c r="L72" s="39"/>
      <c r="M72" s="31"/>
      <c r="N72" s="27"/>
      <c r="P72" s="32"/>
      <c r="Q72" s="25"/>
      <c r="R72" s="27"/>
      <c r="S72" s="27"/>
      <c r="T72" s="28"/>
      <c r="U72" s="27"/>
      <c r="V72" s="27"/>
      <c r="W72" s="28"/>
      <c r="X72" s="33"/>
      <c r="Y72" s="32"/>
      <c r="Z72" s="25"/>
      <c r="AA72" s="27"/>
      <c r="AB72" s="28"/>
      <c r="AC72" s="27"/>
      <c r="AD72" s="27"/>
      <c r="AE72" s="33"/>
      <c r="AG72" s="25"/>
      <c r="AH72" s="34"/>
      <c r="AI72" s="27"/>
      <c r="AJ72" s="27"/>
      <c r="AK72" s="27"/>
      <c r="AL72" s="25"/>
      <c r="AM72" s="34"/>
      <c r="AN72" s="27"/>
      <c r="AO72" s="27"/>
      <c r="AP72" s="36"/>
      <c r="AQ72" s="37"/>
      <c r="AR72" s="32"/>
      <c r="AS72" s="25" t="s">
        <v>96</v>
      </c>
      <c r="AT72" s="27" t="s">
        <v>87</v>
      </c>
      <c r="AU72" s="27"/>
      <c r="AW72" s="25" t="s">
        <v>90</v>
      </c>
      <c r="AX72" s="27" t="s">
        <v>95</v>
      </c>
      <c r="AY72" s="27"/>
      <c r="AZ72" s="32"/>
      <c r="BA72" s="41"/>
    </row>
    <row r="73" spans="1:53" x14ac:dyDescent="0.2">
      <c r="A73" s="25">
        <v>66</v>
      </c>
      <c r="B73" s="26"/>
      <c r="C73" s="27"/>
      <c r="D73" s="25"/>
      <c r="E73" s="28"/>
      <c r="F73" s="27"/>
      <c r="G73" s="28"/>
      <c r="H73" s="27"/>
      <c r="I73" s="28"/>
      <c r="J73" s="27">
        <v>2</v>
      </c>
      <c r="K73" s="29" t="s">
        <v>35</v>
      </c>
      <c r="L73" s="39"/>
      <c r="M73" s="31"/>
      <c r="N73" s="27"/>
      <c r="P73" s="32"/>
      <c r="Q73" s="25"/>
      <c r="R73" s="27"/>
      <c r="S73" s="27"/>
      <c r="T73" s="28"/>
      <c r="U73" s="27"/>
      <c r="V73" s="27"/>
      <c r="W73" s="28"/>
      <c r="X73" s="33"/>
      <c r="Y73" s="32"/>
      <c r="Z73" s="25"/>
      <c r="AA73" s="27"/>
      <c r="AB73" s="28"/>
      <c r="AC73" s="27"/>
      <c r="AD73" s="27"/>
      <c r="AE73" s="33"/>
      <c r="AG73" s="25"/>
      <c r="AH73" s="34"/>
      <c r="AI73" s="27"/>
      <c r="AJ73" s="27"/>
      <c r="AK73" s="27"/>
      <c r="AL73" s="25"/>
      <c r="AM73" s="34"/>
      <c r="AN73" s="27"/>
      <c r="AO73" s="27"/>
      <c r="AP73" s="36"/>
      <c r="AQ73" s="37"/>
      <c r="AR73" s="32"/>
      <c r="AS73" s="25" t="s">
        <v>96</v>
      </c>
      <c r="AT73" s="27" t="s">
        <v>87</v>
      </c>
      <c r="AU73" s="27"/>
      <c r="AW73" s="25" t="s">
        <v>90</v>
      </c>
      <c r="AX73" s="27" t="s">
        <v>95</v>
      </c>
      <c r="AY73" s="27"/>
      <c r="AZ73" s="32"/>
      <c r="BA73" s="41"/>
    </row>
    <row r="74" spans="1:53" x14ac:dyDescent="0.2">
      <c r="A74" s="25">
        <v>67</v>
      </c>
      <c r="B74" s="26"/>
      <c r="C74" s="27"/>
      <c r="D74" s="25"/>
      <c r="E74" s="28"/>
      <c r="F74" s="27"/>
      <c r="G74" s="28"/>
      <c r="H74" s="27"/>
      <c r="I74" s="28"/>
      <c r="J74" s="27">
        <v>2</v>
      </c>
      <c r="K74" s="29" t="s">
        <v>35</v>
      </c>
      <c r="L74" s="39"/>
      <c r="M74" s="31"/>
      <c r="N74" s="27"/>
      <c r="P74" s="32"/>
      <c r="Q74" s="25"/>
      <c r="R74" s="27"/>
      <c r="S74" s="27"/>
      <c r="T74" s="28"/>
      <c r="U74" s="27"/>
      <c r="V74" s="27"/>
      <c r="W74" s="28"/>
      <c r="X74" s="33"/>
      <c r="Y74" s="32"/>
      <c r="Z74" s="25"/>
      <c r="AA74" s="27"/>
      <c r="AB74" s="28"/>
      <c r="AC74" s="27"/>
      <c r="AD74" s="27"/>
      <c r="AE74" s="33"/>
      <c r="AG74" s="25"/>
      <c r="AH74" s="34"/>
      <c r="AI74" s="27"/>
      <c r="AJ74" s="27"/>
      <c r="AK74" s="27"/>
      <c r="AL74" s="25"/>
      <c r="AM74" s="34"/>
      <c r="AN74" s="27"/>
      <c r="AO74" s="27"/>
      <c r="AP74" s="36"/>
      <c r="AQ74" s="37"/>
      <c r="AR74" s="32"/>
      <c r="AS74" s="25" t="s">
        <v>96</v>
      </c>
      <c r="AT74" s="27" t="s">
        <v>87</v>
      </c>
      <c r="AU74" s="27"/>
      <c r="AW74" s="25" t="s">
        <v>90</v>
      </c>
      <c r="AX74" s="27" t="s">
        <v>95</v>
      </c>
      <c r="AY74" s="27"/>
      <c r="AZ74" s="32"/>
      <c r="BA74" s="41"/>
    </row>
    <row r="75" spans="1:53" x14ac:dyDescent="0.2">
      <c r="A75" s="25">
        <v>68</v>
      </c>
      <c r="B75" s="26"/>
      <c r="C75" s="27"/>
      <c r="D75" s="25"/>
      <c r="E75" s="28"/>
      <c r="F75" s="27"/>
      <c r="G75" s="28"/>
      <c r="H75" s="27"/>
      <c r="I75" s="28"/>
      <c r="J75" s="27">
        <v>2</v>
      </c>
      <c r="K75" s="29" t="s">
        <v>35</v>
      </c>
      <c r="L75" s="39"/>
      <c r="M75" s="31"/>
      <c r="N75" s="27"/>
      <c r="P75" s="32"/>
      <c r="Q75" s="25"/>
      <c r="R75" s="27"/>
      <c r="S75" s="27"/>
      <c r="T75" s="28"/>
      <c r="U75" s="27"/>
      <c r="V75" s="27"/>
      <c r="W75" s="28"/>
      <c r="X75" s="33"/>
      <c r="Y75" s="32"/>
      <c r="Z75" s="25"/>
      <c r="AA75" s="27"/>
      <c r="AB75" s="28"/>
      <c r="AC75" s="27"/>
      <c r="AD75" s="27"/>
      <c r="AE75" s="33"/>
      <c r="AG75" s="25"/>
      <c r="AH75" s="34"/>
      <c r="AI75" s="27"/>
      <c r="AJ75" s="27"/>
      <c r="AK75" s="27"/>
      <c r="AL75" s="25"/>
      <c r="AM75" s="34"/>
      <c r="AN75" s="27"/>
      <c r="AO75" s="27"/>
      <c r="AP75" s="36"/>
      <c r="AQ75" s="37"/>
      <c r="AR75" s="32"/>
      <c r="AS75" s="25" t="s">
        <v>96</v>
      </c>
      <c r="AT75" s="27" t="s">
        <v>87</v>
      </c>
      <c r="AU75" s="27"/>
      <c r="AW75" s="25" t="s">
        <v>90</v>
      </c>
      <c r="AX75" s="27" t="s">
        <v>95</v>
      </c>
      <c r="AY75" s="27"/>
      <c r="AZ75" s="32"/>
      <c r="BA75" s="41"/>
    </row>
    <row r="76" spans="1:53" x14ac:dyDescent="0.2">
      <c r="A76" s="25">
        <v>69</v>
      </c>
      <c r="B76" s="26"/>
      <c r="C76" s="27"/>
      <c r="D76" s="25"/>
      <c r="E76" s="28"/>
      <c r="F76" s="27"/>
      <c r="G76" s="28"/>
      <c r="H76" s="27"/>
      <c r="I76" s="28"/>
      <c r="J76" s="27">
        <v>2</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27"/>
      <c r="AW76" s="25" t="s">
        <v>90</v>
      </c>
      <c r="AX76" s="27" t="s">
        <v>95</v>
      </c>
      <c r="AY76" s="27"/>
      <c r="AZ76" s="32"/>
      <c r="BA76" s="41"/>
    </row>
    <row r="77" spans="1:53" x14ac:dyDescent="0.2">
      <c r="A77" s="25">
        <v>70</v>
      </c>
      <c r="B77" s="26"/>
      <c r="C77" s="27"/>
      <c r="D77" s="25"/>
      <c r="E77" s="28"/>
      <c r="F77" s="27"/>
      <c r="G77" s="28"/>
      <c r="H77" s="27"/>
      <c r="I77" s="28"/>
      <c r="J77" s="27">
        <v>2</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71</v>
      </c>
      <c r="B78" s="26"/>
      <c r="C78" s="27"/>
      <c r="D78" s="25"/>
      <c r="E78" s="28"/>
      <c r="F78" s="27"/>
      <c r="G78" s="28"/>
      <c r="H78" s="27"/>
      <c r="I78" s="28"/>
      <c r="J78" s="27">
        <v>2</v>
      </c>
      <c r="K78" s="29" t="s">
        <v>35</v>
      </c>
      <c r="L78" s="39"/>
      <c r="M78" s="31"/>
      <c r="N78" s="27"/>
      <c r="P78" s="32"/>
      <c r="Q78" s="25"/>
      <c r="R78" s="27"/>
      <c r="S78" s="27"/>
      <c r="T78" s="28"/>
      <c r="U78" s="27"/>
      <c r="V78" s="27"/>
      <c r="W78" s="28"/>
      <c r="X78" s="33"/>
      <c r="Y78" s="32"/>
      <c r="Z78" s="25"/>
      <c r="AA78" s="27"/>
      <c r="AB78" s="28"/>
      <c r="AC78" s="27"/>
      <c r="AD78" s="27"/>
      <c r="AE78" s="33"/>
      <c r="AF78" s="32"/>
      <c r="AG78" s="90"/>
      <c r="AH78" s="91"/>
      <c r="AI78" s="27"/>
      <c r="AJ78" s="27"/>
      <c r="AK78" s="28"/>
      <c r="AL78" s="27"/>
      <c r="AM78" s="27"/>
      <c r="AN78" s="27"/>
      <c r="AO78" s="27"/>
      <c r="AP78" s="36"/>
      <c r="AQ78" s="37"/>
      <c r="AS78" s="25"/>
      <c r="AT78" s="27"/>
      <c r="AU78" s="27"/>
      <c r="AW78" s="25" t="s">
        <v>90</v>
      </c>
      <c r="AX78" s="27" t="s">
        <v>95</v>
      </c>
      <c r="AY78" s="27"/>
      <c r="AZ78" s="32"/>
      <c r="BA78" s="41"/>
    </row>
    <row r="79" spans="1:53" x14ac:dyDescent="0.2">
      <c r="A79" s="25">
        <v>72</v>
      </c>
      <c r="B79" s="26"/>
      <c r="C79" s="27"/>
      <c r="D79" s="25"/>
      <c r="E79" s="28"/>
      <c r="F79" s="27"/>
      <c r="G79" s="28"/>
      <c r="H79" s="27"/>
      <c r="I79" s="28"/>
      <c r="J79" s="27">
        <v>2</v>
      </c>
      <c r="K79" s="29" t="s">
        <v>35</v>
      </c>
      <c r="L79" s="39"/>
      <c r="M79" s="31"/>
      <c r="N79" s="27"/>
      <c r="P79" s="32"/>
      <c r="Q79" s="25"/>
      <c r="R79" s="27"/>
      <c r="S79" s="27"/>
      <c r="T79" s="28"/>
      <c r="U79" s="27"/>
      <c r="V79" s="27"/>
      <c r="W79" s="28"/>
      <c r="X79" s="33"/>
      <c r="Y79" s="32"/>
      <c r="Z79" s="25"/>
      <c r="AA79" s="27"/>
      <c r="AB79" s="28"/>
      <c r="AC79" s="27"/>
      <c r="AD79" s="27"/>
      <c r="AE79" s="33"/>
      <c r="AF79" s="32"/>
      <c r="AG79" s="90"/>
      <c r="AH79" s="91"/>
      <c r="AI79" s="27"/>
      <c r="AJ79" s="27"/>
      <c r="AK79" s="28"/>
      <c r="AL79" s="27"/>
      <c r="AM79" s="27"/>
      <c r="AN79" s="27"/>
      <c r="AO79" s="27"/>
      <c r="AP79" s="36"/>
      <c r="AQ79" s="37"/>
      <c r="AS79" s="25"/>
      <c r="AT79" s="27"/>
      <c r="AU79" s="27"/>
      <c r="AW79" s="25"/>
      <c r="AX79" s="27"/>
      <c r="AY79" s="27"/>
      <c r="AZ79" s="32"/>
      <c r="BA79" s="41"/>
    </row>
    <row r="80" spans="1:53" x14ac:dyDescent="0.2">
      <c r="A80" s="25">
        <v>73</v>
      </c>
      <c r="B80" s="26"/>
      <c r="C80" s="27"/>
      <c r="D80" s="25"/>
      <c r="E80" s="28"/>
      <c r="F80" s="27"/>
      <c r="G80" s="28"/>
      <c r="H80" s="27"/>
      <c r="I80" s="28"/>
      <c r="J80" s="27">
        <v>2</v>
      </c>
      <c r="K80" s="29" t="s">
        <v>35</v>
      </c>
      <c r="L80" s="39"/>
      <c r="M80" s="31"/>
      <c r="N80" s="27"/>
      <c r="P80" s="32"/>
      <c r="Q80" s="25"/>
      <c r="R80" s="27"/>
      <c r="S80" s="27"/>
      <c r="T80" s="28"/>
      <c r="U80" s="27"/>
      <c r="V80" s="27"/>
      <c r="W80" s="28"/>
      <c r="X80" s="33"/>
      <c r="Y80" s="32"/>
      <c r="Z80" s="25"/>
      <c r="AA80" s="27"/>
      <c r="AB80" s="28"/>
      <c r="AC80" s="27"/>
      <c r="AD80" s="27"/>
      <c r="AE80" s="33"/>
      <c r="AF80" s="32"/>
      <c r="AG80" s="90"/>
      <c r="AH80" s="91"/>
      <c r="AI80" s="27"/>
      <c r="AJ80" s="27"/>
      <c r="AK80" s="28"/>
      <c r="AL80" s="27"/>
      <c r="AM80" s="27"/>
      <c r="AN80" s="27"/>
      <c r="AO80" s="27"/>
      <c r="AP80" s="36"/>
      <c r="AQ80" s="37"/>
      <c r="AS80" s="25"/>
      <c r="AT80" s="27"/>
      <c r="AU80" s="27"/>
      <c r="AW80" s="25"/>
      <c r="AX80" s="27"/>
      <c r="AY80" s="27"/>
      <c r="AZ80" s="32"/>
      <c r="BA80" s="41"/>
    </row>
    <row r="81" spans="1:53" x14ac:dyDescent="0.2">
      <c r="A81" s="25">
        <v>74</v>
      </c>
      <c r="B81" s="26"/>
      <c r="C81" s="27"/>
      <c r="D81" s="25"/>
      <c r="E81" s="28"/>
      <c r="F81" s="27"/>
      <c r="G81" s="28"/>
      <c r="H81" s="27"/>
      <c r="I81" s="28"/>
      <c r="J81" s="27">
        <v>2</v>
      </c>
      <c r="K81" s="29" t="s">
        <v>35</v>
      </c>
      <c r="L81" s="39"/>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c r="AO81" s="27"/>
      <c r="AP81" s="36"/>
      <c r="AQ81" s="37"/>
      <c r="AS81" s="25"/>
      <c r="AT81" s="27"/>
      <c r="AU81" s="27"/>
      <c r="AW81" s="25"/>
      <c r="AX81" s="27"/>
      <c r="AY81" s="27"/>
      <c r="AZ81" s="32"/>
      <c r="BA81" s="41"/>
    </row>
    <row r="82" spans="1:53" x14ac:dyDescent="0.2">
      <c r="A82" s="25">
        <v>75</v>
      </c>
      <c r="B82" s="26"/>
      <c r="C82" s="27"/>
      <c r="D82" s="25"/>
      <c r="E82" s="28"/>
      <c r="F82" s="27"/>
      <c r="G82" s="28"/>
      <c r="H82" s="27"/>
      <c r="I82" s="28"/>
      <c r="J82" s="27">
        <v>2</v>
      </c>
      <c r="K82" s="29" t="s">
        <v>35</v>
      </c>
      <c r="L82" s="39"/>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c r="AO82" s="27"/>
      <c r="AP82" s="36"/>
      <c r="AQ82" s="37"/>
      <c r="AR82" s="32"/>
      <c r="AS82" s="25"/>
      <c r="AT82" s="27"/>
      <c r="AU82" s="27"/>
      <c r="AW82" s="25"/>
      <c r="AX82" s="27"/>
      <c r="AY82" s="27"/>
      <c r="AZ82" s="32"/>
      <c r="BA82" s="41"/>
    </row>
    <row r="83" spans="1:53" x14ac:dyDescent="0.2">
      <c r="A83" s="25">
        <v>76</v>
      </c>
      <c r="B83" s="26"/>
      <c r="C83" s="27"/>
      <c r="D83" s="25"/>
      <c r="E83" s="28"/>
      <c r="F83" s="27"/>
      <c r="G83" s="28"/>
      <c r="H83" s="27"/>
      <c r="I83" s="28"/>
      <c r="J83" s="27">
        <v>2</v>
      </c>
      <c r="K83" s="29" t="s">
        <v>35</v>
      </c>
      <c r="L83" s="39"/>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c r="AO83" s="27"/>
      <c r="AP83" s="36"/>
      <c r="AQ83" s="37"/>
      <c r="AR83" s="32"/>
      <c r="AS83" s="25"/>
      <c r="AT83" s="27"/>
      <c r="AU83" s="27"/>
      <c r="AW83" s="25"/>
      <c r="AX83" s="27"/>
      <c r="AY83" s="27"/>
      <c r="AZ83" s="32"/>
      <c r="BA83" s="41"/>
    </row>
    <row r="84" spans="1:53" x14ac:dyDescent="0.2">
      <c r="A84" s="25">
        <v>77</v>
      </c>
      <c r="B84" s="26"/>
      <c r="C84" s="27"/>
      <c r="D84" s="25"/>
      <c r="E84" s="28"/>
      <c r="F84" s="27"/>
      <c r="G84" s="28"/>
      <c r="H84" s="27"/>
      <c r="I84" s="28"/>
      <c r="J84" s="27">
        <v>2</v>
      </c>
      <c r="K84" s="29" t="s">
        <v>35</v>
      </c>
      <c r="L84" s="39"/>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c r="AO84" s="27"/>
      <c r="AP84" s="36"/>
      <c r="AQ84" s="37"/>
      <c r="AR84" s="32"/>
      <c r="AS84" s="25"/>
      <c r="AT84" s="27"/>
      <c r="AU84" s="27"/>
      <c r="AW84" s="25"/>
      <c r="AX84" s="27"/>
      <c r="AY84" s="27"/>
      <c r="AZ84" s="32"/>
      <c r="BA84" s="41"/>
    </row>
    <row r="85" spans="1:53" x14ac:dyDescent="0.2">
      <c r="A85" s="25">
        <v>78</v>
      </c>
      <c r="B85" s="26"/>
      <c r="C85" s="27"/>
      <c r="D85" s="25"/>
      <c r="E85" s="28"/>
      <c r="F85" s="27"/>
      <c r="G85" s="28"/>
      <c r="H85" s="27"/>
      <c r="I85" s="28"/>
      <c r="J85" s="27">
        <v>2</v>
      </c>
      <c r="K85" s="29" t="s">
        <v>35</v>
      </c>
      <c r="L85" s="39"/>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c r="AO85" s="27"/>
      <c r="AP85" s="36"/>
      <c r="AQ85" s="37"/>
      <c r="AR85" s="32"/>
      <c r="AS85" s="25"/>
      <c r="AT85" s="27"/>
      <c r="AU85" s="27"/>
      <c r="AW85" s="25"/>
      <c r="AX85" s="27"/>
      <c r="AY85" s="27"/>
      <c r="AZ85" s="32"/>
      <c r="BA85" s="41"/>
    </row>
    <row r="86" spans="1:53" x14ac:dyDescent="0.2">
      <c r="A86" s="25">
        <v>79</v>
      </c>
      <c r="B86" s="26"/>
      <c r="C86" s="27"/>
      <c r="D86" s="25"/>
      <c r="E86" s="28"/>
      <c r="F86" s="27"/>
      <c r="G86" s="28"/>
      <c r="H86" s="27"/>
      <c r="I86" s="28"/>
      <c r="J86" s="27">
        <v>2</v>
      </c>
      <c r="K86" s="29" t="s">
        <v>35</v>
      </c>
      <c r="L86" s="39"/>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c r="AO86" s="27"/>
      <c r="AP86" s="36"/>
      <c r="AQ86" s="37"/>
      <c r="AR86" s="32"/>
      <c r="AS86" s="25"/>
      <c r="AT86" s="27"/>
      <c r="AU86" s="27"/>
      <c r="AW86" s="25"/>
      <c r="AX86" s="27"/>
      <c r="AY86" s="27"/>
      <c r="AZ86" s="32"/>
      <c r="BA86" s="41"/>
    </row>
    <row r="87" spans="1:53" x14ac:dyDescent="0.2">
      <c r="A87" s="25">
        <v>80</v>
      </c>
      <c r="B87" s="26"/>
      <c r="C87" s="27"/>
      <c r="D87" s="25"/>
      <c r="E87" s="28"/>
      <c r="F87" s="27"/>
      <c r="G87" s="28"/>
      <c r="H87" s="27"/>
      <c r="I87" s="28"/>
      <c r="J87" s="27">
        <v>2</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R87" s="32"/>
      <c r="AS87" s="25"/>
      <c r="AT87" s="27"/>
      <c r="AU87" s="27"/>
      <c r="AW87" s="25"/>
      <c r="AX87" s="27"/>
      <c r="AY87" s="27"/>
      <c r="AZ87" s="32"/>
      <c r="BA87" s="41"/>
    </row>
    <row r="88" spans="1:53" x14ac:dyDescent="0.2">
      <c r="A88" s="25">
        <v>81</v>
      </c>
      <c r="B88" s="26"/>
      <c r="C88" s="27"/>
      <c r="D88" s="25"/>
      <c r="E88" s="28"/>
      <c r="F88" s="27"/>
      <c r="G88" s="28"/>
      <c r="H88" s="27"/>
      <c r="I88" s="28"/>
      <c r="J88" s="27">
        <v>2</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R88" s="32"/>
      <c r="AS88" s="25"/>
      <c r="AT88" s="27"/>
      <c r="AU88" s="27"/>
      <c r="AW88" s="25"/>
      <c r="AX88" s="27"/>
      <c r="AY88" s="27"/>
      <c r="AZ88" s="32"/>
      <c r="BA88" s="41"/>
    </row>
    <row r="89" spans="1:53" x14ac:dyDescent="0.2">
      <c r="A89" s="25">
        <v>82</v>
      </c>
      <c r="B89" s="26"/>
      <c r="C89" s="27"/>
      <c r="D89" s="25"/>
      <c r="E89" s="28"/>
      <c r="F89" s="27"/>
      <c r="G89" s="28"/>
      <c r="H89" s="27"/>
      <c r="I89" s="28"/>
      <c r="J89" s="27">
        <v>2</v>
      </c>
      <c r="K89" s="29" t="s">
        <v>35</v>
      </c>
      <c r="L89" s="39"/>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R89" s="32"/>
      <c r="AS89" s="25"/>
      <c r="AT89" s="27"/>
      <c r="AU89" s="27"/>
      <c r="AW89" s="25"/>
      <c r="AX89" s="27"/>
      <c r="AY89" s="27"/>
      <c r="AZ89" s="32"/>
      <c r="BA89" s="41"/>
    </row>
    <row r="90" spans="1:53" x14ac:dyDescent="0.2">
      <c r="A90" s="25">
        <v>83</v>
      </c>
      <c r="B90" s="26"/>
      <c r="C90" s="27"/>
      <c r="D90" s="25"/>
      <c r="E90" s="28"/>
      <c r="F90" s="27"/>
      <c r="G90" s="28"/>
      <c r="H90" s="27"/>
      <c r="I90" s="28"/>
      <c r="J90" s="27">
        <v>2</v>
      </c>
      <c r="K90" s="29" t="s">
        <v>35</v>
      </c>
      <c r="L90" s="39"/>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R90" s="32"/>
      <c r="AS90" s="25"/>
      <c r="AT90" s="27"/>
      <c r="AU90" s="27"/>
      <c r="AW90" s="25"/>
      <c r="AX90" s="27"/>
      <c r="AY90" s="27"/>
      <c r="AZ90" s="32"/>
      <c r="BA90" s="41"/>
    </row>
    <row r="91" spans="1:53" x14ac:dyDescent="0.2">
      <c r="A91" s="25">
        <v>84</v>
      </c>
      <c r="B91" s="26"/>
      <c r="C91" s="27"/>
      <c r="D91" s="25"/>
      <c r="E91" s="28"/>
      <c r="F91" s="27"/>
      <c r="G91" s="28"/>
      <c r="H91" s="27"/>
      <c r="I91" s="28"/>
      <c r="J91" s="27">
        <v>2</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c r="AT91" s="27"/>
      <c r="AU91" s="27"/>
      <c r="AW91" s="25"/>
      <c r="AX91" s="27"/>
      <c r="AY91" s="27"/>
      <c r="AZ91" s="32"/>
      <c r="BA91" s="41"/>
    </row>
    <row r="92" spans="1:53" x14ac:dyDescent="0.2">
      <c r="A92" s="25">
        <v>85</v>
      </c>
      <c r="B92" s="26"/>
      <c r="C92" s="27"/>
      <c r="D92" s="25"/>
      <c r="E92" s="28"/>
      <c r="F92" s="27"/>
      <c r="G92" s="28"/>
      <c r="H92" s="27"/>
      <c r="I92" s="28"/>
      <c r="J92" s="27">
        <v>2</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c r="AT92" s="27"/>
      <c r="AU92" s="27"/>
      <c r="AW92" s="25"/>
      <c r="AX92" s="27"/>
      <c r="AY92" s="27"/>
      <c r="AZ92" s="32"/>
      <c r="BA92" s="41"/>
    </row>
    <row r="93" spans="1:53" x14ac:dyDescent="0.2">
      <c r="A93" s="25">
        <v>86</v>
      </c>
      <c r="B93" s="26"/>
      <c r="C93" s="27"/>
      <c r="D93" s="25"/>
      <c r="E93" s="28"/>
      <c r="F93" s="27"/>
      <c r="G93" s="28"/>
      <c r="H93" s="27"/>
      <c r="I93" s="28"/>
      <c r="J93" s="27">
        <v>2</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c r="AT93" s="27"/>
      <c r="AU93" s="27"/>
      <c r="AW93" s="25"/>
      <c r="AX93" s="27"/>
      <c r="AY93" s="27"/>
      <c r="AZ93" s="32"/>
      <c r="BA93" s="41"/>
    </row>
    <row r="94" spans="1:53" x14ac:dyDescent="0.2">
      <c r="A94" s="25">
        <v>87</v>
      </c>
      <c r="B94" s="26"/>
      <c r="C94" s="27"/>
      <c r="D94" s="25"/>
      <c r="E94" s="28"/>
      <c r="F94" s="27"/>
      <c r="G94" s="28"/>
      <c r="H94" s="27"/>
      <c r="I94" s="28"/>
      <c r="J94" s="27">
        <v>2</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c r="AT94" s="27"/>
      <c r="AU94" s="27"/>
      <c r="AW94" s="25"/>
      <c r="AX94" s="27"/>
      <c r="AY94" s="27"/>
      <c r="AZ94" s="32"/>
      <c r="BA94" s="41"/>
    </row>
    <row r="95" spans="1:53" x14ac:dyDescent="0.2">
      <c r="A95" s="25">
        <v>88</v>
      </c>
      <c r="B95" s="26"/>
      <c r="C95" s="27"/>
      <c r="D95" s="25"/>
      <c r="E95" s="28"/>
      <c r="F95" s="27"/>
      <c r="G95" s="28"/>
      <c r="H95" s="27"/>
      <c r="I95" s="28"/>
      <c r="J95" s="27">
        <v>2</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c r="AT95" s="27"/>
      <c r="AU95" s="27"/>
      <c r="AW95" s="25"/>
      <c r="AX95" s="27"/>
      <c r="AY95" s="27"/>
      <c r="AZ95" s="32"/>
      <c r="BA95" s="41"/>
    </row>
    <row r="96" spans="1:53" x14ac:dyDescent="0.2">
      <c r="A96" s="25">
        <v>89</v>
      </c>
      <c r="B96" s="26"/>
      <c r="C96" s="27"/>
      <c r="D96" s="25"/>
      <c r="E96" s="28"/>
      <c r="F96" s="27"/>
      <c r="G96" s="28"/>
      <c r="H96" s="27"/>
      <c r="I96" s="28"/>
      <c r="J96" s="27">
        <v>2</v>
      </c>
      <c r="K96" s="29" t="s">
        <v>35</v>
      </c>
      <c r="L96" s="39"/>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c r="AT96" s="27"/>
      <c r="AU96" s="27"/>
      <c r="AW96" s="25"/>
      <c r="AX96" s="27"/>
      <c r="AY96" s="27"/>
      <c r="AZ96" s="32"/>
      <c r="BA96" s="41"/>
    </row>
    <row r="97" spans="1:53" x14ac:dyDescent="0.2">
      <c r="A97" s="25">
        <v>90</v>
      </c>
      <c r="B97" s="26"/>
      <c r="C97" s="27"/>
      <c r="D97" s="25"/>
      <c r="E97" s="28"/>
      <c r="F97" s="27"/>
      <c r="G97" s="28"/>
      <c r="H97" s="27"/>
      <c r="I97" s="28"/>
      <c r="J97" s="27">
        <v>2</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c r="AT97" s="27"/>
      <c r="AU97" s="27"/>
      <c r="AW97" s="25"/>
      <c r="AX97" s="27"/>
      <c r="AY97" s="27"/>
      <c r="AZ97" s="32"/>
      <c r="BA97" s="41"/>
    </row>
    <row r="98" spans="1:53" x14ac:dyDescent="0.2">
      <c r="B98" s="26"/>
    </row>
  </sheetData>
  <mergeCells count="52">
    <mergeCell ref="X11:X18"/>
    <mergeCell ref="AV4:AV6"/>
    <mergeCell ref="AW4:AW6"/>
    <mergeCell ref="AG4:AG5"/>
    <mergeCell ref="X4:X6"/>
    <mergeCell ref="O27:O47"/>
    <mergeCell ref="AR4:AR6"/>
    <mergeCell ref="AS4:AS6"/>
    <mergeCell ref="AT4:AT6"/>
    <mergeCell ref="AU4:AU6"/>
    <mergeCell ref="AH4:AH6"/>
    <mergeCell ref="AI4:AK5"/>
    <mergeCell ref="AL4:AL6"/>
    <mergeCell ref="AM4:AM5"/>
    <mergeCell ref="AN4:AP5"/>
    <mergeCell ref="AQ4:AQ6"/>
    <mergeCell ref="Y4:Y6"/>
    <mergeCell ref="Z4:AB5"/>
    <mergeCell ref="AC4:AD5"/>
    <mergeCell ref="AE4:AE6"/>
    <mergeCell ref="AF4:AF6"/>
    <mergeCell ref="H4:I5"/>
    <mergeCell ref="J4:J6"/>
    <mergeCell ref="K4:K6"/>
    <mergeCell ref="L4:L6"/>
    <mergeCell ref="M4:M6"/>
    <mergeCell ref="N4:N6"/>
    <mergeCell ref="AS1:AV3"/>
    <mergeCell ref="AW1:AZ3"/>
    <mergeCell ref="BA1:BA3"/>
    <mergeCell ref="AG3:AK3"/>
    <mergeCell ref="AM3:AP3"/>
    <mergeCell ref="AG1:AP2"/>
    <mergeCell ref="O4:O6"/>
    <mergeCell ref="P4:P6"/>
    <mergeCell ref="Q4:Q6"/>
    <mergeCell ref="R4:T5"/>
    <mergeCell ref="U4:W5"/>
    <mergeCell ref="AX4:AX6"/>
    <mergeCell ref="AY4:AY6"/>
    <mergeCell ref="AZ4:AZ6"/>
    <mergeCell ref="BA4:BA6"/>
    <mergeCell ref="A4:A6"/>
    <mergeCell ref="B4:B6"/>
    <mergeCell ref="C4:C6"/>
    <mergeCell ref="D4:E5"/>
    <mergeCell ref="F4:G5"/>
    <mergeCell ref="A1:C3"/>
    <mergeCell ref="D1:M3"/>
    <mergeCell ref="N1:P3"/>
    <mergeCell ref="Q1:Y3"/>
    <mergeCell ref="Z1:AF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6D83A-5669-4365-B249-A740FD92DFD3}">
  <dimension ref="A1:BA98"/>
  <sheetViews>
    <sheetView zoomScale="60" zoomScaleNormal="60" workbookViewId="0">
      <pane xSplit="1" topLeftCell="AJ1" activePane="topRight" state="frozen"/>
      <selection pane="topRight" activeCell="BA32" sqref="BA32:BA35"/>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3.1640625" bestFit="1" customWidth="1"/>
    <col min="32" max="32" width="41.1640625" bestFit="1" customWidth="1"/>
    <col min="33" max="33" width="11.83203125" bestFit="1" customWidth="1"/>
    <col min="34" max="34" width="14" bestFit="1" customWidth="1"/>
    <col min="35" max="35" width="4.5" bestFit="1" customWidth="1"/>
    <col min="36" max="36" width="6.5" bestFit="1" customWidth="1"/>
    <col min="37" max="37" width="4.33203125" bestFit="1" customWidth="1"/>
    <col min="38" max="38" width="16.33203125" bestFit="1" customWidth="1"/>
    <col min="39" max="39" width="9.5" customWidth="1"/>
    <col min="40" max="40" width="7.83203125" customWidth="1"/>
    <col min="41" max="41" width="6.5" bestFit="1" customWidth="1"/>
    <col min="42" max="42" width="4.33203125" bestFit="1"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ht="23" x14ac:dyDescent="0.2">
      <c r="A1" s="209" t="s">
        <v>0</v>
      </c>
      <c r="B1" s="210"/>
      <c r="C1" s="210"/>
      <c r="D1" s="215" t="s">
        <v>1</v>
      </c>
      <c r="E1" s="215"/>
      <c r="F1" s="215"/>
      <c r="G1" s="215"/>
      <c r="H1" s="215"/>
      <c r="I1" s="215"/>
      <c r="J1" s="215"/>
      <c r="K1" s="215"/>
      <c r="L1" s="215"/>
      <c r="M1" s="215"/>
      <c r="N1" s="218" t="s">
        <v>2</v>
      </c>
      <c r="O1" s="218"/>
      <c r="P1" s="219"/>
      <c r="Q1" s="224" t="s">
        <v>3</v>
      </c>
      <c r="R1" s="225"/>
      <c r="S1" s="225"/>
      <c r="T1" s="225"/>
      <c r="U1" s="225"/>
      <c r="V1" s="225"/>
      <c r="W1" s="225"/>
      <c r="X1" s="225"/>
      <c r="Y1" s="226"/>
      <c r="Z1" s="230" t="s">
        <v>4</v>
      </c>
      <c r="AA1" s="231"/>
      <c r="AB1" s="231"/>
      <c r="AC1" s="231"/>
      <c r="AD1" s="231"/>
      <c r="AE1" s="231"/>
      <c r="AF1" s="232"/>
      <c r="AG1" s="271" t="s">
        <v>5</v>
      </c>
      <c r="AH1" s="271"/>
      <c r="AI1" s="271"/>
      <c r="AJ1" s="271"/>
      <c r="AK1" s="271"/>
      <c r="AL1" s="271"/>
      <c r="AM1" s="271"/>
      <c r="AN1" s="271"/>
      <c r="AO1" s="271"/>
      <c r="AP1" s="271"/>
      <c r="AQ1" s="1"/>
      <c r="AR1" s="2"/>
      <c r="AS1" s="251" t="s">
        <v>6</v>
      </c>
      <c r="AT1" s="252"/>
      <c r="AU1" s="252"/>
      <c r="AV1" s="252"/>
      <c r="AW1" s="257" t="s">
        <v>7</v>
      </c>
      <c r="AX1" s="258"/>
      <c r="AY1" s="258"/>
      <c r="AZ1" s="259"/>
      <c r="BA1" s="266" t="s">
        <v>8</v>
      </c>
    </row>
    <row r="2" spans="1:53" ht="23" x14ac:dyDescent="0.2">
      <c r="A2" s="211"/>
      <c r="B2" s="212"/>
      <c r="C2" s="212"/>
      <c r="D2" s="216"/>
      <c r="E2" s="216"/>
      <c r="F2" s="216"/>
      <c r="G2" s="216"/>
      <c r="H2" s="216"/>
      <c r="I2" s="216"/>
      <c r="J2" s="216"/>
      <c r="K2" s="216"/>
      <c r="L2" s="216"/>
      <c r="M2" s="216"/>
      <c r="N2" s="220"/>
      <c r="O2" s="220"/>
      <c r="P2" s="221"/>
      <c r="Q2" s="227"/>
      <c r="R2" s="228"/>
      <c r="S2" s="228"/>
      <c r="T2" s="228"/>
      <c r="U2" s="228"/>
      <c r="V2" s="228"/>
      <c r="W2" s="228"/>
      <c r="X2" s="228"/>
      <c r="Y2" s="229"/>
      <c r="Z2" s="233"/>
      <c r="AA2" s="234"/>
      <c r="AB2" s="234"/>
      <c r="AC2" s="234"/>
      <c r="AD2" s="234"/>
      <c r="AE2" s="234"/>
      <c r="AF2" s="235"/>
      <c r="AG2" s="272"/>
      <c r="AH2" s="272"/>
      <c r="AI2" s="272"/>
      <c r="AJ2" s="272"/>
      <c r="AK2" s="272"/>
      <c r="AL2" s="272"/>
      <c r="AM2" s="272"/>
      <c r="AN2" s="272"/>
      <c r="AO2" s="272"/>
      <c r="AP2" s="272"/>
      <c r="AQ2" s="3"/>
      <c r="AR2" s="4"/>
      <c r="AS2" s="253"/>
      <c r="AT2" s="254"/>
      <c r="AU2" s="254"/>
      <c r="AV2" s="254"/>
      <c r="AW2" s="260"/>
      <c r="AX2" s="261"/>
      <c r="AY2" s="261"/>
      <c r="AZ2" s="262"/>
      <c r="BA2" s="267"/>
    </row>
    <row r="3" spans="1:53" ht="21" thickBot="1" x14ac:dyDescent="0.25">
      <c r="A3" s="213"/>
      <c r="B3" s="214"/>
      <c r="C3" s="214"/>
      <c r="D3" s="217"/>
      <c r="E3" s="217"/>
      <c r="F3" s="217"/>
      <c r="G3" s="217"/>
      <c r="H3" s="217"/>
      <c r="I3" s="217"/>
      <c r="J3" s="217"/>
      <c r="K3" s="217"/>
      <c r="L3" s="217"/>
      <c r="M3" s="217"/>
      <c r="N3" s="222"/>
      <c r="O3" s="222"/>
      <c r="P3" s="223"/>
      <c r="Q3" s="227"/>
      <c r="R3" s="228"/>
      <c r="S3" s="228"/>
      <c r="T3" s="228"/>
      <c r="U3" s="228"/>
      <c r="V3" s="228"/>
      <c r="W3" s="228"/>
      <c r="X3" s="228"/>
      <c r="Y3" s="229"/>
      <c r="Z3" s="233"/>
      <c r="AA3" s="234"/>
      <c r="AB3" s="234"/>
      <c r="AC3" s="234"/>
      <c r="AD3" s="234"/>
      <c r="AE3" s="234"/>
      <c r="AF3" s="235"/>
      <c r="AG3" s="269" t="s">
        <v>9</v>
      </c>
      <c r="AH3" s="269"/>
      <c r="AI3" s="269"/>
      <c r="AJ3" s="269"/>
      <c r="AK3" s="270"/>
      <c r="AL3" s="5"/>
      <c r="AM3" s="269" t="s">
        <v>10</v>
      </c>
      <c r="AN3" s="269"/>
      <c r="AO3" s="269"/>
      <c r="AP3" s="270"/>
      <c r="AQ3" s="6"/>
      <c r="AR3" s="7"/>
      <c r="AS3" s="255"/>
      <c r="AT3" s="256"/>
      <c r="AU3" s="256"/>
      <c r="AV3" s="256"/>
      <c r="AW3" s="263"/>
      <c r="AX3" s="264"/>
      <c r="AY3" s="264"/>
      <c r="AZ3" s="265"/>
      <c r="BA3" s="268"/>
    </row>
    <row r="4" spans="1:53" x14ac:dyDescent="0.2">
      <c r="A4" s="236" t="s">
        <v>11</v>
      </c>
      <c r="B4" s="239" t="s">
        <v>12</v>
      </c>
      <c r="C4" s="239" t="s">
        <v>13</v>
      </c>
      <c r="D4" s="242" t="s">
        <v>14</v>
      </c>
      <c r="E4" s="243"/>
      <c r="F4" s="246" t="s">
        <v>15</v>
      </c>
      <c r="G4" s="243"/>
      <c r="H4" s="292" t="s">
        <v>16</v>
      </c>
      <c r="I4" s="293"/>
      <c r="J4" s="296" t="s">
        <v>17</v>
      </c>
      <c r="K4" s="299" t="s">
        <v>18</v>
      </c>
      <c r="L4" s="292" t="s">
        <v>19</v>
      </c>
      <c r="M4" s="303" t="s">
        <v>20</v>
      </c>
      <c r="N4" s="248" t="s">
        <v>21</v>
      </c>
      <c r="O4" s="248" t="s">
        <v>19</v>
      </c>
      <c r="P4" s="248" t="s">
        <v>20</v>
      </c>
      <c r="Q4" s="273" t="s">
        <v>22</v>
      </c>
      <c r="R4" s="276" t="s">
        <v>23</v>
      </c>
      <c r="S4" s="276"/>
      <c r="T4" s="277"/>
      <c r="U4" s="280" t="s">
        <v>24</v>
      </c>
      <c r="V4" s="280"/>
      <c r="W4" s="281"/>
      <c r="X4" s="353" t="s">
        <v>19</v>
      </c>
      <c r="Y4" s="330" t="s">
        <v>20</v>
      </c>
      <c r="Z4" s="333" t="s">
        <v>23</v>
      </c>
      <c r="AA4" s="334"/>
      <c r="AB4" s="335"/>
      <c r="AC4" s="339" t="s">
        <v>24</v>
      </c>
      <c r="AD4" s="339"/>
      <c r="AE4" s="339" t="s">
        <v>19</v>
      </c>
      <c r="AF4" s="342" t="s">
        <v>20</v>
      </c>
      <c r="AG4" s="351" t="s">
        <v>25</v>
      </c>
      <c r="AH4" s="318" t="s">
        <v>26</v>
      </c>
      <c r="AI4" s="321" t="s">
        <v>24</v>
      </c>
      <c r="AJ4" s="321"/>
      <c r="AK4" s="321"/>
      <c r="AL4" s="323" t="s">
        <v>27</v>
      </c>
      <c r="AM4" s="325" t="s">
        <v>25</v>
      </c>
      <c r="AN4" s="321" t="s">
        <v>24</v>
      </c>
      <c r="AO4" s="321"/>
      <c r="AP4" s="309"/>
      <c r="AQ4" s="327" t="s">
        <v>19</v>
      </c>
      <c r="AR4" s="309" t="s">
        <v>20</v>
      </c>
      <c r="AS4" s="312" t="s">
        <v>28</v>
      </c>
      <c r="AT4" s="315" t="s">
        <v>29</v>
      </c>
      <c r="AU4" s="315" t="s">
        <v>19</v>
      </c>
      <c r="AV4" s="315" t="s">
        <v>20</v>
      </c>
      <c r="AW4" s="348" t="s">
        <v>30</v>
      </c>
      <c r="AX4" s="284" t="s">
        <v>29</v>
      </c>
      <c r="AY4" s="284" t="s">
        <v>19</v>
      </c>
      <c r="AZ4" s="287" t="s">
        <v>20</v>
      </c>
      <c r="BA4" s="290" t="s">
        <v>31</v>
      </c>
    </row>
    <row r="5" spans="1:53" x14ac:dyDescent="0.2">
      <c r="A5" s="237"/>
      <c r="B5" s="240"/>
      <c r="C5" s="240"/>
      <c r="D5" s="244"/>
      <c r="E5" s="245"/>
      <c r="F5" s="247"/>
      <c r="G5" s="245"/>
      <c r="H5" s="294"/>
      <c r="I5" s="295"/>
      <c r="J5" s="297"/>
      <c r="K5" s="300"/>
      <c r="L5" s="294"/>
      <c r="M5" s="304"/>
      <c r="N5" s="249"/>
      <c r="O5" s="249"/>
      <c r="P5" s="249"/>
      <c r="Q5" s="274"/>
      <c r="R5" s="278"/>
      <c r="S5" s="278"/>
      <c r="T5" s="279"/>
      <c r="U5" s="282"/>
      <c r="V5" s="282"/>
      <c r="W5" s="283"/>
      <c r="X5" s="354"/>
      <c r="Y5" s="331"/>
      <c r="Z5" s="336"/>
      <c r="AA5" s="337"/>
      <c r="AB5" s="338"/>
      <c r="AC5" s="340"/>
      <c r="AD5" s="340"/>
      <c r="AE5" s="340"/>
      <c r="AF5" s="343"/>
      <c r="AG5" s="352"/>
      <c r="AH5" s="319"/>
      <c r="AI5" s="322"/>
      <c r="AJ5" s="322"/>
      <c r="AK5" s="322"/>
      <c r="AL5" s="324"/>
      <c r="AM5" s="326"/>
      <c r="AN5" s="322"/>
      <c r="AO5" s="322"/>
      <c r="AP5" s="310"/>
      <c r="AQ5" s="328"/>
      <c r="AR5" s="310"/>
      <c r="AS5" s="313"/>
      <c r="AT5" s="316"/>
      <c r="AU5" s="316"/>
      <c r="AV5" s="316"/>
      <c r="AW5" s="349"/>
      <c r="AX5" s="285"/>
      <c r="AY5" s="285"/>
      <c r="AZ5" s="288"/>
      <c r="BA5" s="290"/>
    </row>
    <row r="6" spans="1:53" ht="16" thickBot="1" x14ac:dyDescent="0.25">
      <c r="A6" s="238"/>
      <c r="B6" s="241"/>
      <c r="C6" s="241"/>
      <c r="D6" s="8" t="s">
        <v>32</v>
      </c>
      <c r="E6" s="9" t="s">
        <v>33</v>
      </c>
      <c r="F6" s="10" t="s">
        <v>32</v>
      </c>
      <c r="G6" s="9" t="s">
        <v>33</v>
      </c>
      <c r="H6" s="11" t="s">
        <v>32</v>
      </c>
      <c r="I6" s="12" t="s">
        <v>33</v>
      </c>
      <c r="J6" s="298"/>
      <c r="K6" s="301"/>
      <c r="L6" s="302"/>
      <c r="M6" s="305"/>
      <c r="N6" s="250"/>
      <c r="O6" s="250"/>
      <c r="P6" s="250"/>
      <c r="Q6" s="275"/>
      <c r="R6" s="13" t="s">
        <v>32</v>
      </c>
      <c r="S6" s="13" t="s">
        <v>34</v>
      </c>
      <c r="T6" s="14" t="s">
        <v>33</v>
      </c>
      <c r="U6" s="15" t="s">
        <v>32</v>
      </c>
      <c r="V6" s="15" t="s">
        <v>34</v>
      </c>
      <c r="W6" s="16" t="s">
        <v>33</v>
      </c>
      <c r="X6" s="355"/>
      <c r="Y6" s="332"/>
      <c r="Z6" s="17" t="s">
        <v>32</v>
      </c>
      <c r="AA6" s="18" t="s">
        <v>34</v>
      </c>
      <c r="AB6" s="19" t="s">
        <v>33</v>
      </c>
      <c r="AC6" s="20" t="s">
        <v>32</v>
      </c>
      <c r="AD6" s="20" t="s">
        <v>34</v>
      </c>
      <c r="AE6" s="341"/>
      <c r="AF6" s="344"/>
      <c r="AG6" s="21" t="s">
        <v>34</v>
      </c>
      <c r="AH6" s="320"/>
      <c r="AI6" s="22" t="s">
        <v>32</v>
      </c>
      <c r="AJ6" s="22" t="s">
        <v>34</v>
      </c>
      <c r="AK6" s="22" t="s">
        <v>33</v>
      </c>
      <c r="AL6" s="324"/>
      <c r="AM6" s="23" t="s">
        <v>33</v>
      </c>
      <c r="AN6" s="22" t="s">
        <v>32</v>
      </c>
      <c r="AO6" s="22" t="s">
        <v>34</v>
      </c>
      <c r="AP6" s="24" t="s">
        <v>33</v>
      </c>
      <c r="AQ6" s="329"/>
      <c r="AR6" s="311"/>
      <c r="AS6" s="314"/>
      <c r="AT6" s="317"/>
      <c r="AU6" s="317"/>
      <c r="AV6" s="317"/>
      <c r="AW6" s="350"/>
      <c r="AX6" s="286"/>
      <c r="AY6" s="286"/>
      <c r="AZ6" s="289"/>
      <c r="BA6" s="291"/>
    </row>
    <row r="7" spans="1:53" ht="16" thickBot="1" x14ac:dyDescent="0.25">
      <c r="A7" s="25">
        <v>0</v>
      </c>
      <c r="B7" s="26"/>
      <c r="C7" s="27"/>
      <c r="D7" s="25"/>
      <c r="E7" s="28"/>
      <c r="F7" s="27"/>
      <c r="G7" s="28"/>
      <c r="H7" s="27"/>
      <c r="I7" s="28"/>
      <c r="J7" s="27">
        <v>0.8</v>
      </c>
      <c r="K7" s="29" t="s">
        <v>35</v>
      </c>
      <c r="L7" s="30" t="s">
        <v>36</v>
      </c>
      <c r="M7" s="153" t="s">
        <v>160</v>
      </c>
      <c r="N7" s="27"/>
      <c r="P7" s="32"/>
      <c r="Q7" s="25"/>
      <c r="R7" s="27"/>
      <c r="S7" s="27"/>
      <c r="T7" s="28"/>
      <c r="U7" s="27"/>
      <c r="V7" s="27"/>
      <c r="W7" s="28"/>
      <c r="X7" s="33"/>
      <c r="Y7" s="32"/>
      <c r="Z7" s="25"/>
      <c r="AA7" s="27"/>
      <c r="AB7" s="28"/>
      <c r="AC7" s="27"/>
      <c r="AD7" s="27"/>
      <c r="AE7" s="33"/>
      <c r="AG7" s="25"/>
      <c r="AH7" s="34"/>
      <c r="AI7" s="27"/>
      <c r="AJ7" s="27"/>
      <c r="AK7" s="27"/>
      <c r="AL7" s="25"/>
      <c r="AM7" s="35"/>
      <c r="AN7" s="27"/>
      <c r="AO7" s="27"/>
      <c r="AP7" s="36"/>
      <c r="AQ7" s="37"/>
      <c r="AR7" s="32"/>
      <c r="AS7" s="25"/>
      <c r="AT7" s="27"/>
      <c r="AU7" s="27"/>
      <c r="AW7" s="25"/>
      <c r="AX7" s="27"/>
      <c r="AY7" s="27"/>
      <c r="AZ7" s="32"/>
      <c r="BA7" s="38"/>
    </row>
    <row r="8" spans="1:53" ht="16" thickBot="1" x14ac:dyDescent="0.25">
      <c r="A8" s="25">
        <v>1</v>
      </c>
      <c r="B8" s="26"/>
      <c r="C8" s="27"/>
      <c r="D8" s="25"/>
      <c r="E8" s="28"/>
      <c r="F8" s="27"/>
      <c r="G8" s="28"/>
      <c r="H8" s="27"/>
      <c r="I8" s="28"/>
      <c r="J8" s="27">
        <v>0.8</v>
      </c>
      <c r="K8" s="29" t="s">
        <v>35</v>
      </c>
      <c r="L8" s="39"/>
      <c r="M8" s="31"/>
      <c r="N8" s="27"/>
      <c r="P8" s="32"/>
      <c r="Q8" s="40"/>
      <c r="R8" s="27"/>
      <c r="S8" s="27"/>
      <c r="T8" s="28"/>
      <c r="U8" s="27"/>
      <c r="V8" s="27"/>
      <c r="W8" s="28"/>
      <c r="X8" s="33"/>
      <c r="Y8" s="32"/>
      <c r="Z8" s="25"/>
      <c r="AA8" s="27"/>
      <c r="AB8" s="28"/>
      <c r="AC8" s="27"/>
      <c r="AD8" s="27"/>
      <c r="AE8" s="33"/>
      <c r="AG8" s="25"/>
      <c r="AH8" s="34"/>
      <c r="AI8" s="27"/>
      <c r="AJ8" s="27"/>
      <c r="AK8" s="27"/>
      <c r="AL8" s="25"/>
      <c r="AM8" s="34"/>
      <c r="AN8" s="27"/>
      <c r="AO8" s="27"/>
      <c r="AP8" s="36"/>
      <c r="AQ8" s="37"/>
      <c r="AR8" s="32"/>
      <c r="AS8" s="25"/>
      <c r="AT8" s="27"/>
      <c r="AU8" s="27"/>
      <c r="AW8" s="25"/>
      <c r="AX8" s="27"/>
      <c r="AY8" s="27"/>
      <c r="AZ8" s="32"/>
      <c r="BA8" s="41"/>
    </row>
    <row r="9" spans="1:53" ht="16" thickBot="1" x14ac:dyDescent="0.25">
      <c r="A9" s="25">
        <v>2</v>
      </c>
      <c r="B9" s="26"/>
      <c r="C9" s="27"/>
      <c r="D9" s="25"/>
      <c r="E9" s="28"/>
      <c r="F9" s="27"/>
      <c r="G9" s="28"/>
      <c r="H9" s="27"/>
      <c r="I9" s="28"/>
      <c r="J9" s="27">
        <v>0.8</v>
      </c>
      <c r="K9" s="29" t="s">
        <v>35</v>
      </c>
      <c r="L9" s="39"/>
      <c r="M9" s="31"/>
      <c r="N9" s="27"/>
      <c r="O9" s="42"/>
      <c r="Q9" s="43" t="s">
        <v>37</v>
      </c>
      <c r="R9" s="27"/>
      <c r="S9" s="27"/>
      <c r="T9" s="28"/>
      <c r="U9" s="27"/>
      <c r="V9" s="27"/>
      <c r="W9" s="28"/>
      <c r="X9" s="33"/>
      <c r="Y9" s="32"/>
      <c r="Z9" s="25"/>
      <c r="AA9" s="27"/>
      <c r="AB9" s="28"/>
      <c r="AC9" s="27"/>
      <c r="AD9" s="27"/>
      <c r="AE9" s="33"/>
      <c r="AG9" s="25"/>
      <c r="AH9" s="34"/>
      <c r="AI9" s="27"/>
      <c r="AJ9" s="27"/>
      <c r="AK9" s="27"/>
      <c r="AL9" s="25"/>
      <c r="AM9" s="34"/>
      <c r="AN9" s="27"/>
      <c r="AO9" s="27"/>
      <c r="AP9" s="36"/>
      <c r="AQ9" s="37"/>
      <c r="AR9" s="32"/>
      <c r="AS9" s="25"/>
      <c r="AT9" s="27"/>
      <c r="AU9" s="27"/>
      <c r="AW9" s="25"/>
      <c r="AX9" s="27"/>
      <c r="AY9" s="27"/>
      <c r="AZ9" s="32"/>
      <c r="BA9" s="41"/>
    </row>
    <row r="10" spans="1:53" ht="16" thickBot="1" x14ac:dyDescent="0.25">
      <c r="A10" s="25">
        <v>3</v>
      </c>
      <c r="B10" s="26"/>
      <c r="C10" s="27"/>
      <c r="D10" s="25"/>
      <c r="E10" s="28"/>
      <c r="F10" s="27"/>
      <c r="G10" s="28"/>
      <c r="H10" s="27"/>
      <c r="I10" s="28"/>
      <c r="J10" s="27">
        <v>1.2</v>
      </c>
      <c r="K10" s="29" t="s">
        <v>35</v>
      </c>
      <c r="L10" s="44" t="s">
        <v>38</v>
      </c>
      <c r="M10" s="153" t="s">
        <v>161</v>
      </c>
      <c r="N10" s="27" t="s">
        <v>40</v>
      </c>
      <c r="O10" s="45" t="s">
        <v>41</v>
      </c>
      <c r="P10" s="46"/>
      <c r="Q10" s="25"/>
      <c r="R10" s="27"/>
      <c r="S10" s="27"/>
      <c r="T10" s="28"/>
      <c r="U10" s="27" t="s">
        <v>158</v>
      </c>
      <c r="V10" s="27"/>
      <c r="W10" s="28" t="s">
        <v>158</v>
      </c>
      <c r="X10" s="47" t="s">
        <v>43</v>
      </c>
      <c r="Y10" s="32" t="s">
        <v>44</v>
      </c>
      <c r="Z10" s="25"/>
      <c r="AA10" s="27"/>
      <c r="AB10" s="28"/>
      <c r="AC10" s="27" t="s">
        <v>158</v>
      </c>
      <c r="AD10" s="27"/>
      <c r="AE10" s="48" t="s">
        <v>45</v>
      </c>
      <c r="AG10" s="25"/>
      <c r="AH10" s="34"/>
      <c r="AI10" s="27"/>
      <c r="AJ10" s="27"/>
      <c r="AK10" s="27"/>
      <c r="AL10" s="25"/>
      <c r="AM10" s="34"/>
      <c r="AN10" s="27"/>
      <c r="AO10" s="27"/>
      <c r="AP10" s="36"/>
      <c r="AQ10" s="37"/>
      <c r="AR10" s="32"/>
      <c r="AS10" s="25"/>
      <c r="AT10" s="27"/>
      <c r="AU10" s="27"/>
      <c r="AW10" s="25"/>
      <c r="AX10" s="27"/>
      <c r="AY10" s="27"/>
      <c r="AZ10" s="32"/>
      <c r="BA10" s="41"/>
    </row>
    <row r="11" spans="1:53" x14ac:dyDescent="0.2">
      <c r="A11" s="25">
        <v>4</v>
      </c>
      <c r="B11" s="26"/>
      <c r="C11" s="27"/>
      <c r="D11" s="25"/>
      <c r="E11" s="28"/>
      <c r="F11" s="27"/>
      <c r="G11" s="28"/>
      <c r="H11" s="27"/>
      <c r="I11" s="28"/>
      <c r="J11" s="27">
        <v>1.2</v>
      </c>
      <c r="K11" s="29" t="s">
        <v>35</v>
      </c>
      <c r="L11" s="39"/>
      <c r="M11" s="31"/>
      <c r="N11" s="27" t="s">
        <v>40</v>
      </c>
      <c r="O11" t="s">
        <v>46</v>
      </c>
      <c r="P11" s="32"/>
      <c r="Q11" s="25"/>
      <c r="R11" s="27"/>
      <c r="S11" s="27"/>
      <c r="T11" s="28"/>
      <c r="U11" s="27" t="s">
        <v>158</v>
      </c>
      <c r="V11" s="27"/>
      <c r="W11" s="28" t="s">
        <v>158</v>
      </c>
      <c r="X11" s="345" t="s">
        <v>47</v>
      </c>
      <c r="Y11" s="32"/>
      <c r="Z11" s="25"/>
      <c r="AA11" s="27"/>
      <c r="AB11" s="28"/>
      <c r="AC11" s="27" t="s">
        <v>158</v>
      </c>
      <c r="AD11" s="27"/>
      <c r="AE11" s="33"/>
      <c r="AG11" s="25"/>
      <c r="AH11" s="34"/>
      <c r="AI11" s="27"/>
      <c r="AJ11" s="27"/>
      <c r="AK11" s="27"/>
      <c r="AL11" s="25"/>
      <c r="AM11" s="34"/>
      <c r="AN11" s="27"/>
      <c r="AO11" s="27"/>
      <c r="AP11" s="36"/>
      <c r="AQ11" s="37"/>
      <c r="AR11" s="32"/>
      <c r="AS11" s="25"/>
      <c r="AT11" s="27"/>
      <c r="AU11" s="27"/>
      <c r="AW11" s="25"/>
      <c r="AX11" s="27"/>
      <c r="AY11" s="27"/>
      <c r="AZ11" s="32"/>
      <c r="BA11" s="41"/>
    </row>
    <row r="12" spans="1:53" x14ac:dyDescent="0.2">
      <c r="A12" s="25">
        <v>5</v>
      </c>
      <c r="B12" s="26"/>
      <c r="C12" s="27"/>
      <c r="D12" s="25"/>
      <c r="E12" s="28"/>
      <c r="F12" s="27"/>
      <c r="G12" s="28"/>
      <c r="H12" s="27"/>
      <c r="I12" s="28"/>
      <c r="J12" s="27">
        <v>1.2</v>
      </c>
      <c r="K12" s="29" t="s">
        <v>35</v>
      </c>
      <c r="L12" s="39"/>
      <c r="M12" s="31"/>
      <c r="N12" s="27" t="s">
        <v>40</v>
      </c>
      <c r="P12" s="32"/>
      <c r="Q12" s="25"/>
      <c r="R12" s="27"/>
      <c r="S12" s="27"/>
      <c r="T12" s="28"/>
      <c r="U12" s="27" t="s">
        <v>158</v>
      </c>
      <c r="V12" s="27"/>
      <c r="W12" s="28" t="s">
        <v>158</v>
      </c>
      <c r="X12" s="346"/>
      <c r="Y12" s="32"/>
      <c r="Z12" s="25"/>
      <c r="AA12" s="27"/>
      <c r="AB12" s="28"/>
      <c r="AC12" s="27" t="s">
        <v>158</v>
      </c>
      <c r="AD12" s="27"/>
      <c r="AE12" s="33"/>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6</v>
      </c>
      <c r="B13" s="26"/>
      <c r="C13" s="27"/>
      <c r="D13" s="25"/>
      <c r="E13" s="28"/>
      <c r="F13" s="27"/>
      <c r="G13" s="28"/>
      <c r="H13" s="27"/>
      <c r="I13" s="28"/>
      <c r="J13" s="27">
        <v>1.2</v>
      </c>
      <c r="K13" s="29" t="s">
        <v>35</v>
      </c>
      <c r="L13" s="39"/>
      <c r="M13" s="31"/>
      <c r="N13" s="27" t="s">
        <v>40</v>
      </c>
      <c r="P13" s="32"/>
      <c r="Q13" s="25"/>
      <c r="R13" s="27"/>
      <c r="S13" s="27"/>
      <c r="T13" s="28"/>
      <c r="U13" s="27" t="s">
        <v>158</v>
      </c>
      <c r="V13" s="27"/>
      <c r="W13" s="28" t="s">
        <v>158</v>
      </c>
      <c r="X13" s="346"/>
      <c r="Y13" s="32"/>
      <c r="Z13" s="25"/>
      <c r="AA13" s="27"/>
      <c r="AB13" s="28"/>
      <c r="AC13" s="27" t="s">
        <v>158</v>
      </c>
      <c r="AD13" s="27"/>
      <c r="AE13" s="33"/>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7</v>
      </c>
      <c r="B14" s="26"/>
      <c r="C14" s="27"/>
      <c r="D14" s="25"/>
      <c r="E14" s="28"/>
      <c r="F14" s="27"/>
      <c r="G14" s="28"/>
      <c r="H14" s="27"/>
      <c r="I14" s="28"/>
      <c r="J14" s="27">
        <v>1.2</v>
      </c>
      <c r="K14" s="29" t="s">
        <v>35</v>
      </c>
      <c r="L14" s="39"/>
      <c r="M14" s="31"/>
      <c r="N14" s="27" t="s">
        <v>40</v>
      </c>
      <c r="P14" s="32"/>
      <c r="Q14" s="25"/>
      <c r="R14" s="27"/>
      <c r="S14" s="27"/>
      <c r="T14" s="28"/>
      <c r="U14" s="27" t="s">
        <v>158</v>
      </c>
      <c r="V14" s="27"/>
      <c r="W14" s="28" t="s">
        <v>158</v>
      </c>
      <c r="X14" s="346"/>
      <c r="Y14" s="32"/>
      <c r="Z14" s="25"/>
      <c r="AA14" s="27"/>
      <c r="AB14" s="28"/>
      <c r="AC14" s="27" t="s">
        <v>158</v>
      </c>
      <c r="AD14" s="27"/>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8</v>
      </c>
      <c r="B15" s="26"/>
      <c r="C15" s="27"/>
      <c r="D15" s="25"/>
      <c r="E15" s="28"/>
      <c r="F15" s="27"/>
      <c r="G15" s="28"/>
      <c r="H15" s="27"/>
      <c r="I15" s="28"/>
      <c r="J15" s="27">
        <v>1.2</v>
      </c>
      <c r="K15" s="29" t="s">
        <v>35</v>
      </c>
      <c r="L15" s="39"/>
      <c r="M15" s="31"/>
      <c r="N15" s="27" t="s">
        <v>40</v>
      </c>
      <c r="P15" s="32"/>
      <c r="Q15" s="25"/>
      <c r="R15" s="27"/>
      <c r="S15" s="27"/>
      <c r="T15" s="28"/>
      <c r="U15" s="27" t="s">
        <v>158</v>
      </c>
      <c r="V15" s="27"/>
      <c r="W15" s="28" t="s">
        <v>158</v>
      </c>
      <c r="X15" s="346"/>
      <c r="Y15" s="32"/>
      <c r="Z15" s="25"/>
      <c r="AA15" s="27"/>
      <c r="AB15" s="28"/>
      <c r="AC15" s="27" t="s">
        <v>158</v>
      </c>
      <c r="AD15" s="27"/>
      <c r="AE15" s="33"/>
      <c r="AG15" s="25"/>
      <c r="AH15" s="34"/>
      <c r="AI15" s="27"/>
      <c r="AJ15" s="27"/>
      <c r="AK15" s="27"/>
      <c r="AL15" s="25"/>
      <c r="AM15" s="34"/>
      <c r="AN15" s="27"/>
      <c r="AO15" s="27"/>
      <c r="AP15" s="36"/>
      <c r="AQ15" s="37"/>
      <c r="AR15" s="32"/>
      <c r="AS15" s="25"/>
      <c r="AT15" s="27"/>
      <c r="AU15" s="27"/>
      <c r="AW15" s="25"/>
      <c r="AX15" s="27"/>
      <c r="AY15" s="27"/>
      <c r="AZ15" s="32"/>
      <c r="BA15" s="41"/>
    </row>
    <row r="16" spans="1:53" ht="16" thickBot="1" x14ac:dyDescent="0.25">
      <c r="A16" s="25">
        <v>9</v>
      </c>
      <c r="B16" s="26"/>
      <c r="C16" s="27"/>
      <c r="D16" s="25"/>
      <c r="E16" s="28"/>
      <c r="F16" s="27"/>
      <c r="G16" s="28"/>
      <c r="H16" s="27"/>
      <c r="I16" s="28"/>
      <c r="J16" s="27">
        <v>1.2</v>
      </c>
      <c r="K16" s="29" t="s">
        <v>35</v>
      </c>
      <c r="L16" s="39"/>
      <c r="M16" s="31"/>
      <c r="N16" s="27" t="s">
        <v>40</v>
      </c>
      <c r="P16" s="32"/>
      <c r="Q16" s="25"/>
      <c r="R16" s="27"/>
      <c r="S16" s="27"/>
      <c r="T16" s="28"/>
      <c r="U16" s="27" t="s">
        <v>158</v>
      </c>
      <c r="V16" s="27"/>
      <c r="W16" s="28" t="s">
        <v>158</v>
      </c>
      <c r="X16" s="346"/>
      <c r="Y16" s="32"/>
      <c r="Z16" s="25"/>
      <c r="AA16" s="27"/>
      <c r="AB16" s="28"/>
      <c r="AC16" s="27" t="s">
        <v>158</v>
      </c>
      <c r="AD16" s="27"/>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10</v>
      </c>
      <c r="B17" s="26"/>
      <c r="C17" s="27"/>
      <c r="D17" s="25"/>
      <c r="E17" s="28"/>
      <c r="F17" s="27"/>
      <c r="G17" s="28"/>
      <c r="H17" s="27"/>
      <c r="I17" s="28"/>
      <c r="J17" s="27">
        <v>1.2</v>
      </c>
      <c r="K17" s="29" t="s">
        <v>35</v>
      </c>
      <c r="L17" s="39"/>
      <c r="M17" s="153" t="s">
        <v>162</v>
      </c>
      <c r="N17" s="27" t="s">
        <v>40</v>
      </c>
      <c r="O17" s="49"/>
      <c r="P17" s="32"/>
      <c r="Q17" s="25"/>
      <c r="R17" s="27"/>
      <c r="S17" s="27"/>
      <c r="T17" s="28"/>
      <c r="U17" s="27" t="s">
        <v>158</v>
      </c>
      <c r="V17" s="27"/>
      <c r="W17" s="28" t="s">
        <v>158</v>
      </c>
      <c r="X17" s="346"/>
      <c r="Y17" s="32"/>
      <c r="Z17" s="25"/>
      <c r="AA17" s="27"/>
      <c r="AB17" s="28"/>
      <c r="AC17" s="27" t="s">
        <v>163</v>
      </c>
      <c r="AD17" s="27"/>
      <c r="AE17" s="50"/>
      <c r="AF17" s="51"/>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11</v>
      </c>
      <c r="B18" s="26"/>
      <c r="C18" s="27"/>
      <c r="D18" s="25"/>
      <c r="E18" s="28"/>
      <c r="F18" s="27"/>
      <c r="G18" s="28"/>
      <c r="H18" s="27"/>
      <c r="I18" s="28"/>
      <c r="J18" s="27">
        <v>1.2</v>
      </c>
      <c r="K18" s="29" t="s">
        <v>35</v>
      </c>
      <c r="L18" s="52"/>
      <c r="M18" s="31"/>
      <c r="N18" s="27" t="s">
        <v>40</v>
      </c>
      <c r="P18" s="32"/>
      <c r="Q18" s="25"/>
      <c r="R18" s="27"/>
      <c r="S18" s="27"/>
      <c r="T18" s="28"/>
      <c r="U18" s="27" t="s">
        <v>158</v>
      </c>
      <c r="V18" s="27"/>
      <c r="W18" s="28" t="s">
        <v>158</v>
      </c>
      <c r="X18" s="347"/>
      <c r="Y18" s="32"/>
      <c r="Z18" s="25"/>
      <c r="AA18" s="27"/>
      <c r="AB18" s="28"/>
      <c r="AC18" s="27" t="s">
        <v>163</v>
      </c>
      <c r="AD18" s="27"/>
      <c r="AE18" s="33"/>
      <c r="AF18" s="46"/>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12</v>
      </c>
      <c r="B19" s="26"/>
      <c r="C19" s="27"/>
      <c r="D19" s="25"/>
      <c r="E19" s="28"/>
      <c r="F19" s="27"/>
      <c r="G19" s="28"/>
      <c r="H19" s="27"/>
      <c r="I19" s="28"/>
      <c r="J19" s="27">
        <v>1.2</v>
      </c>
      <c r="K19" s="29" t="s">
        <v>35</v>
      </c>
      <c r="L19" s="53"/>
      <c r="M19" s="153" t="s">
        <v>164</v>
      </c>
      <c r="N19" s="27" t="s">
        <v>40</v>
      </c>
      <c r="P19" s="32"/>
      <c r="Q19" s="25"/>
      <c r="R19" s="27"/>
      <c r="S19" s="27"/>
      <c r="T19" s="28"/>
      <c r="U19" s="27">
        <v>1</v>
      </c>
      <c r="V19" s="27"/>
      <c r="W19" s="28">
        <v>1</v>
      </c>
      <c r="X19" s="54" t="s">
        <v>49</v>
      </c>
      <c r="Y19" s="32"/>
      <c r="Z19" s="25"/>
      <c r="AA19" s="27"/>
      <c r="AB19" s="28"/>
      <c r="AC19" s="27" t="s">
        <v>165</v>
      </c>
      <c r="AD19" s="27"/>
      <c r="AE19" s="33"/>
      <c r="AG19" s="25"/>
      <c r="AH19" s="34"/>
      <c r="AI19" s="27"/>
      <c r="AJ19" s="27"/>
      <c r="AK19" s="27"/>
      <c r="AL19" s="25"/>
      <c r="AM19" s="34"/>
      <c r="AN19" s="27"/>
      <c r="AO19" s="27"/>
      <c r="AP19" s="36"/>
      <c r="AQ19" s="37"/>
      <c r="AR19" s="32"/>
      <c r="AS19" s="25"/>
      <c r="AT19" s="27"/>
      <c r="AU19" s="27"/>
      <c r="AW19" s="25"/>
      <c r="AX19" s="27"/>
      <c r="AY19" s="27"/>
      <c r="AZ19" s="32"/>
      <c r="BA19" s="41"/>
    </row>
    <row r="20" spans="1:53" ht="16" thickBot="1" x14ac:dyDescent="0.25">
      <c r="A20" s="25">
        <v>13</v>
      </c>
      <c r="B20" s="26"/>
      <c r="C20" s="27"/>
      <c r="D20" s="25"/>
      <c r="E20" s="28"/>
      <c r="F20" s="27"/>
      <c r="G20" s="28"/>
      <c r="H20" s="27"/>
      <c r="I20" s="28"/>
      <c r="J20" s="27">
        <v>1.2</v>
      </c>
      <c r="K20" s="29" t="s">
        <v>35</v>
      </c>
      <c r="L20" s="39"/>
      <c r="M20" s="31"/>
      <c r="N20" s="27" t="s">
        <v>40</v>
      </c>
      <c r="P20" s="32"/>
      <c r="Q20" s="25"/>
      <c r="R20" s="27"/>
      <c r="S20" s="27"/>
      <c r="T20" s="28"/>
      <c r="U20" s="27">
        <v>1</v>
      </c>
      <c r="V20" s="27"/>
      <c r="W20" s="28">
        <v>1</v>
      </c>
      <c r="X20" s="33">
        <v>1</v>
      </c>
      <c r="Y20" s="32"/>
      <c r="Z20" s="55"/>
      <c r="AA20" s="56"/>
      <c r="AB20" s="57"/>
      <c r="AC20" s="27" t="s">
        <v>165</v>
      </c>
      <c r="AD20" s="27"/>
      <c r="AE20" s="33"/>
      <c r="AG20" s="25"/>
      <c r="AH20" s="34"/>
      <c r="AI20" s="27"/>
      <c r="AJ20" s="27"/>
      <c r="AK20" s="27"/>
      <c r="AL20" s="25"/>
      <c r="AM20" s="34"/>
      <c r="AN20" s="27"/>
      <c r="AO20" s="27"/>
      <c r="AP20" s="36"/>
      <c r="AQ20" s="37"/>
      <c r="AR20" s="32"/>
      <c r="AS20" s="25" t="s">
        <v>51</v>
      </c>
      <c r="AT20" s="27" t="s">
        <v>52</v>
      </c>
      <c r="AU20" s="58" t="s">
        <v>53</v>
      </c>
      <c r="AW20" s="25"/>
      <c r="AX20" s="27"/>
      <c r="AY20" s="27"/>
      <c r="AZ20" s="32"/>
      <c r="BA20" s="41"/>
    </row>
    <row r="21" spans="1:53" ht="16" thickBot="1" x14ac:dyDescent="0.25">
      <c r="A21" s="25">
        <v>14</v>
      </c>
      <c r="B21" s="26"/>
      <c r="C21" s="27"/>
      <c r="D21" s="25"/>
      <c r="E21" s="28"/>
      <c r="F21" s="27"/>
      <c r="G21" s="28"/>
      <c r="H21" s="27"/>
      <c r="I21" s="28"/>
      <c r="J21" s="27">
        <v>1.2</v>
      </c>
      <c r="K21" s="29" t="s">
        <v>35</v>
      </c>
      <c r="L21" s="39"/>
      <c r="M21" s="31"/>
      <c r="N21" s="27" t="s">
        <v>40</v>
      </c>
      <c r="P21" s="32"/>
      <c r="Q21" s="25"/>
      <c r="R21" s="27"/>
      <c r="S21" s="27"/>
      <c r="T21" s="28"/>
      <c r="U21" s="27">
        <v>1</v>
      </c>
      <c r="V21" s="27"/>
      <c r="W21" s="28">
        <v>1</v>
      </c>
      <c r="X21" s="33"/>
      <c r="Y21" s="32"/>
      <c r="Z21" s="59"/>
      <c r="AA21" s="60"/>
      <c r="AB21" s="61"/>
      <c r="AC21" s="27" t="s">
        <v>165</v>
      </c>
      <c r="AD21" s="27"/>
      <c r="AE21" s="33"/>
      <c r="AG21" s="25"/>
      <c r="AH21" s="34"/>
      <c r="AI21" s="27"/>
      <c r="AJ21" s="27"/>
      <c r="AK21" s="27"/>
      <c r="AL21" s="25"/>
      <c r="AM21" s="34"/>
      <c r="AN21" s="27"/>
      <c r="AO21" s="27"/>
      <c r="AP21" s="36"/>
      <c r="AQ21" s="37"/>
      <c r="AR21" s="32"/>
      <c r="AS21" s="25" t="s">
        <v>51</v>
      </c>
      <c r="AT21" s="27" t="s">
        <v>52</v>
      </c>
      <c r="AW21" s="25"/>
      <c r="AX21" s="27"/>
      <c r="AY21" s="27"/>
      <c r="AZ21" s="32"/>
      <c r="BA21" s="62"/>
    </row>
    <row r="22" spans="1:53" ht="16" thickBot="1" x14ac:dyDescent="0.25">
      <c r="A22" s="25">
        <v>15</v>
      </c>
      <c r="B22" s="26"/>
      <c r="C22" s="27"/>
      <c r="D22" s="25"/>
      <c r="E22" s="28"/>
      <c r="F22" s="27"/>
      <c r="G22" s="28"/>
      <c r="H22" s="27"/>
      <c r="I22" s="28"/>
      <c r="J22" s="27">
        <v>1.2</v>
      </c>
      <c r="K22" s="29" t="s">
        <v>35</v>
      </c>
      <c r="L22" s="39"/>
      <c r="M22" s="31"/>
      <c r="N22" s="27" t="s">
        <v>40</v>
      </c>
      <c r="P22" s="32"/>
      <c r="Q22" s="25"/>
      <c r="R22" s="27"/>
      <c r="S22" s="27"/>
      <c r="T22" s="28"/>
      <c r="U22" s="27">
        <v>1</v>
      </c>
      <c r="V22" s="27"/>
      <c r="W22" s="28">
        <v>1</v>
      </c>
      <c r="X22" s="33"/>
      <c r="Y22" s="32"/>
      <c r="Z22" s="25"/>
      <c r="AA22" s="27"/>
      <c r="AB22" s="28"/>
      <c r="AC22" s="27" t="s">
        <v>165</v>
      </c>
      <c r="AD22" s="27"/>
      <c r="AE22" s="33"/>
      <c r="AG22" s="25"/>
      <c r="AH22" s="34"/>
      <c r="AI22" s="27"/>
      <c r="AJ22" s="27"/>
      <c r="AK22" s="27"/>
      <c r="AL22" s="25"/>
      <c r="AM22" s="34"/>
      <c r="AN22" s="27"/>
      <c r="AO22" s="27"/>
      <c r="AP22" s="36"/>
      <c r="AQ22" s="37"/>
      <c r="AR22" s="46"/>
      <c r="AS22" s="25" t="s">
        <v>57</v>
      </c>
      <c r="AT22" s="27" t="s">
        <v>52</v>
      </c>
      <c r="AU22" s="58" t="s">
        <v>58</v>
      </c>
      <c r="AW22" s="25"/>
      <c r="AX22" s="27"/>
      <c r="AY22" s="27"/>
      <c r="AZ22" s="32"/>
      <c r="BA22" s="41"/>
    </row>
    <row r="23" spans="1:53" ht="16" thickBot="1" x14ac:dyDescent="0.25">
      <c r="A23" s="25">
        <v>16</v>
      </c>
      <c r="B23" s="26"/>
      <c r="C23" s="27"/>
      <c r="D23" s="25"/>
      <c r="E23" s="28"/>
      <c r="F23" s="27"/>
      <c r="G23" s="28"/>
      <c r="H23" s="27"/>
      <c r="I23" s="28"/>
      <c r="J23" s="27">
        <v>1.2</v>
      </c>
      <c r="K23" s="29" t="s">
        <v>35</v>
      </c>
      <c r="L23" s="44" t="s">
        <v>59</v>
      </c>
      <c r="M23" s="153" t="s">
        <v>166</v>
      </c>
      <c r="N23" s="27" t="s">
        <v>40</v>
      </c>
      <c r="P23" s="32"/>
      <c r="Q23" s="25"/>
      <c r="R23" s="27"/>
      <c r="S23" s="27"/>
      <c r="T23" s="28"/>
      <c r="U23" s="27">
        <v>1</v>
      </c>
      <c r="V23" s="27"/>
      <c r="W23" s="28">
        <v>1</v>
      </c>
      <c r="X23" s="63" t="s">
        <v>60</v>
      </c>
      <c r="Y23" s="46" t="s">
        <v>61</v>
      </c>
      <c r="AB23" s="28"/>
      <c r="AC23" s="27" t="s">
        <v>165</v>
      </c>
      <c r="AD23" s="27"/>
      <c r="AE23" s="33"/>
      <c r="AG23" s="25"/>
      <c r="AH23" s="34"/>
      <c r="AI23" s="27"/>
      <c r="AJ23" s="27"/>
      <c r="AK23" s="27"/>
      <c r="AL23" s="25"/>
      <c r="AM23" s="34"/>
      <c r="AN23" s="27"/>
      <c r="AO23" s="27"/>
      <c r="AP23" s="36"/>
      <c r="AQ23" s="64"/>
      <c r="AR23" s="65"/>
      <c r="AS23" s="25" t="s">
        <v>57</v>
      </c>
      <c r="AT23" s="27" t="s">
        <v>52</v>
      </c>
      <c r="AU23" s="27"/>
      <c r="AW23" s="25"/>
      <c r="AX23" s="27"/>
      <c r="AY23" s="27"/>
      <c r="AZ23" s="32"/>
      <c r="BA23" s="41"/>
    </row>
    <row r="24" spans="1:53" x14ac:dyDescent="0.2">
      <c r="A24" s="25">
        <v>17</v>
      </c>
      <c r="B24" s="26"/>
      <c r="C24" s="27"/>
      <c r="D24" s="25"/>
      <c r="E24" s="28"/>
      <c r="F24" s="27"/>
      <c r="G24" s="28"/>
      <c r="H24" s="27"/>
      <c r="I24" s="28"/>
      <c r="J24" s="27">
        <v>1.2</v>
      </c>
      <c r="K24" s="29" t="s">
        <v>35</v>
      </c>
      <c r="L24" s="39"/>
      <c r="M24" s="31"/>
      <c r="N24" s="27" t="s">
        <v>40</v>
      </c>
      <c r="P24" s="32"/>
      <c r="Q24" s="25"/>
      <c r="R24" s="27"/>
      <c r="S24" s="27"/>
      <c r="T24" s="28"/>
      <c r="U24" s="27">
        <v>1</v>
      </c>
      <c r="V24" s="27"/>
      <c r="W24" s="28">
        <v>1</v>
      </c>
      <c r="X24" s="33"/>
      <c r="Y24" s="32"/>
      <c r="Z24" s="25"/>
      <c r="AA24" s="27"/>
      <c r="AB24" s="28"/>
      <c r="AC24" s="27" t="s">
        <v>165</v>
      </c>
      <c r="AD24" s="27"/>
      <c r="AE24" s="33"/>
      <c r="AG24" s="25"/>
      <c r="AH24" s="34"/>
      <c r="AI24" s="27"/>
      <c r="AJ24" s="27"/>
      <c r="AK24" s="27"/>
      <c r="AL24" s="25"/>
      <c r="AM24" s="34"/>
      <c r="AN24" s="27"/>
      <c r="AO24" s="27"/>
      <c r="AP24" s="36"/>
      <c r="AQ24" s="37"/>
      <c r="AR24" s="32"/>
      <c r="AS24" s="25" t="s">
        <v>57</v>
      </c>
      <c r="AT24" s="27" t="s">
        <v>52</v>
      </c>
      <c r="AU24" s="27"/>
      <c r="AW24" s="25"/>
      <c r="AX24" s="27"/>
      <c r="AY24" s="27"/>
      <c r="AZ24" s="32"/>
      <c r="BA24" s="41"/>
    </row>
    <row r="25" spans="1:53" ht="16" thickBot="1" x14ac:dyDescent="0.25">
      <c r="A25" s="25">
        <v>18</v>
      </c>
      <c r="B25" s="26"/>
      <c r="C25" s="27"/>
      <c r="D25" s="25"/>
      <c r="E25" s="28"/>
      <c r="F25" s="27"/>
      <c r="G25" s="28"/>
      <c r="H25" s="27"/>
      <c r="I25" s="28"/>
      <c r="J25" s="27">
        <v>1.2</v>
      </c>
      <c r="K25" s="29" t="s">
        <v>35</v>
      </c>
      <c r="L25" s="39"/>
      <c r="M25" s="31"/>
      <c r="N25" s="27" t="s">
        <v>40</v>
      </c>
      <c r="P25" s="66"/>
      <c r="Q25" s="25"/>
      <c r="R25" s="27"/>
      <c r="S25" s="27"/>
      <c r="T25" s="28"/>
      <c r="U25" s="27">
        <v>1</v>
      </c>
      <c r="V25" s="27"/>
      <c r="W25" s="28">
        <v>1</v>
      </c>
      <c r="X25" s="33" t="s">
        <v>62</v>
      </c>
      <c r="Y25" s="32"/>
      <c r="Z25" s="25"/>
      <c r="AA25" s="27"/>
      <c r="AB25" s="28"/>
      <c r="AC25" s="27" t="s">
        <v>165</v>
      </c>
      <c r="AD25" s="27"/>
      <c r="AE25" s="33"/>
      <c r="AG25" s="25"/>
      <c r="AH25" s="34"/>
      <c r="AI25" s="27"/>
      <c r="AJ25" s="27"/>
      <c r="AK25" s="27"/>
      <c r="AL25" s="25"/>
      <c r="AM25" s="34"/>
      <c r="AN25" s="27">
        <v>2.5000000000000001E-2</v>
      </c>
      <c r="AO25" s="27"/>
      <c r="AP25" s="36"/>
      <c r="AQ25" s="67">
        <v>2.5000000000000001E-2</v>
      </c>
      <c r="AR25" s="46" t="s">
        <v>64</v>
      </c>
      <c r="AS25" s="25" t="s">
        <v>57</v>
      </c>
      <c r="AT25" s="27" t="s">
        <v>52</v>
      </c>
      <c r="AW25" s="25"/>
      <c r="AX25" s="27"/>
      <c r="AY25" s="27"/>
      <c r="AZ25" s="32"/>
      <c r="BA25" s="41"/>
    </row>
    <row r="26" spans="1:53" ht="16" thickBot="1" x14ac:dyDescent="0.25">
      <c r="A26" s="25">
        <v>19</v>
      </c>
      <c r="B26" s="26"/>
      <c r="C26" s="27"/>
      <c r="D26" s="25"/>
      <c r="E26" s="28"/>
      <c r="F26" s="27"/>
      <c r="G26" s="28"/>
      <c r="H26" s="27"/>
      <c r="I26" s="28"/>
      <c r="J26" s="27">
        <v>1.2</v>
      </c>
      <c r="K26" s="29" t="s">
        <v>35</v>
      </c>
      <c r="L26" s="39"/>
      <c r="M26" s="31"/>
      <c r="N26" s="27" t="s">
        <v>40</v>
      </c>
      <c r="P26" s="32"/>
      <c r="Q26" s="25"/>
      <c r="R26" s="27"/>
      <c r="S26" s="27"/>
      <c r="T26" s="28"/>
      <c r="U26" s="27"/>
      <c r="V26" s="27"/>
      <c r="W26" s="28"/>
      <c r="X26" s="33"/>
      <c r="Y26" s="32"/>
      <c r="Z26" s="25"/>
      <c r="AA26" s="27"/>
      <c r="AB26" s="28"/>
      <c r="AC26" s="27" t="s">
        <v>165</v>
      </c>
      <c r="AD26" s="27"/>
      <c r="AE26" s="33"/>
      <c r="AG26" s="25"/>
      <c r="AH26" s="34"/>
      <c r="AI26" s="27"/>
      <c r="AJ26" s="27"/>
      <c r="AK26" s="27"/>
      <c r="AL26" s="25"/>
      <c r="AM26" s="34"/>
      <c r="AN26" s="27">
        <v>2.5000000000000001E-2</v>
      </c>
      <c r="AO26" s="27"/>
      <c r="AP26" s="36"/>
      <c r="AQ26" s="68" t="s">
        <v>65</v>
      </c>
      <c r="AR26" s="32" t="s">
        <v>64</v>
      </c>
      <c r="AS26" s="25" t="s">
        <v>57</v>
      </c>
      <c r="AT26" s="27" t="s">
        <v>52</v>
      </c>
      <c r="AU26" s="27"/>
      <c r="AW26" s="25"/>
      <c r="AX26" s="27"/>
      <c r="AY26" s="27"/>
      <c r="AZ26" s="32"/>
      <c r="BA26" s="62"/>
    </row>
    <row r="27" spans="1:53" x14ac:dyDescent="0.2">
      <c r="A27" s="25">
        <v>20</v>
      </c>
      <c r="B27" s="26"/>
      <c r="C27" s="27"/>
      <c r="D27" s="25"/>
      <c r="E27" s="28"/>
      <c r="F27" s="27"/>
      <c r="G27" s="28"/>
      <c r="H27" s="27"/>
      <c r="I27" s="28"/>
      <c r="J27" s="27">
        <v>1.2</v>
      </c>
      <c r="K27" s="29" t="s">
        <v>35</v>
      </c>
      <c r="L27" s="39"/>
      <c r="M27" s="153" t="s">
        <v>167</v>
      </c>
      <c r="N27" s="27" t="s">
        <v>40</v>
      </c>
      <c r="O27" s="306" t="s">
        <v>66</v>
      </c>
      <c r="P27" s="32"/>
      <c r="Q27" s="25"/>
      <c r="R27" s="27"/>
      <c r="S27" s="27"/>
      <c r="T27" s="28"/>
      <c r="U27" s="27"/>
      <c r="V27" s="27"/>
      <c r="W27" s="28"/>
      <c r="X27" s="33"/>
      <c r="Y27" s="32"/>
      <c r="Z27" s="25"/>
      <c r="AA27" s="27"/>
      <c r="AB27" s="28"/>
      <c r="AC27" s="27" t="s">
        <v>165</v>
      </c>
      <c r="AD27" s="27"/>
      <c r="AE27" s="33"/>
      <c r="AG27" s="25"/>
      <c r="AH27" s="34"/>
      <c r="AI27" s="27"/>
      <c r="AJ27" s="27"/>
      <c r="AK27" s="27"/>
      <c r="AL27" s="25"/>
      <c r="AM27" s="34"/>
      <c r="AN27" s="27">
        <v>2.5000000000000001E-2</v>
      </c>
      <c r="AO27" s="27"/>
      <c r="AP27" s="36"/>
      <c r="AQ27" s="37"/>
      <c r="AR27" s="32"/>
      <c r="AS27" s="25" t="s">
        <v>57</v>
      </c>
      <c r="AT27" s="27" t="s">
        <v>52</v>
      </c>
      <c r="AU27" s="27"/>
      <c r="AW27" s="25"/>
      <c r="AX27" s="27"/>
      <c r="AY27" s="27"/>
      <c r="AZ27" s="32"/>
      <c r="BA27" s="41"/>
    </row>
    <row r="28" spans="1:53" ht="16" thickBot="1" x14ac:dyDescent="0.25">
      <c r="A28" s="70">
        <v>21</v>
      </c>
      <c r="B28" s="26"/>
      <c r="C28" s="71"/>
      <c r="D28" s="70"/>
      <c r="E28" s="72"/>
      <c r="F28" s="71"/>
      <c r="G28" s="72"/>
      <c r="H28" s="71"/>
      <c r="I28" s="72"/>
      <c r="J28" s="27">
        <v>1.2</v>
      </c>
      <c r="K28" s="29" t="s">
        <v>35</v>
      </c>
      <c r="L28" s="39"/>
      <c r="M28" s="73"/>
      <c r="N28" s="27" t="s">
        <v>40</v>
      </c>
      <c r="O28" s="307"/>
      <c r="P28" s="74"/>
      <c r="Q28" s="70"/>
      <c r="R28" s="71"/>
      <c r="S28" s="71"/>
      <c r="T28" s="72"/>
      <c r="U28" s="71"/>
      <c r="V28" s="71"/>
      <c r="W28" s="72"/>
      <c r="X28" s="33"/>
      <c r="Y28" s="75"/>
      <c r="Z28" s="70"/>
      <c r="AA28" s="71"/>
      <c r="AB28" s="72"/>
      <c r="AC28" s="27" t="s">
        <v>165</v>
      </c>
      <c r="AD28" s="71"/>
      <c r="AE28" s="33"/>
      <c r="AF28" s="76"/>
      <c r="AG28" s="70"/>
      <c r="AH28" s="77"/>
      <c r="AI28" s="71"/>
      <c r="AJ28" s="71"/>
      <c r="AK28" s="71"/>
      <c r="AL28" s="70"/>
      <c r="AM28" s="77"/>
      <c r="AN28" s="27">
        <v>2.5000000000000001E-2</v>
      </c>
      <c r="AO28" s="71"/>
      <c r="AP28" s="78"/>
      <c r="AQ28" s="37"/>
      <c r="AR28" s="75"/>
      <c r="AS28" s="70" t="s">
        <v>57</v>
      </c>
      <c r="AT28" s="27" t="s">
        <v>52</v>
      </c>
      <c r="AU28" s="71"/>
      <c r="AV28" s="76"/>
      <c r="AW28" s="70"/>
      <c r="AX28" s="71"/>
      <c r="AY28" s="71"/>
      <c r="AZ28" s="75"/>
      <c r="BA28" s="79"/>
    </row>
    <row r="29" spans="1:53" ht="16" thickBot="1" x14ac:dyDescent="0.25">
      <c r="A29" s="25">
        <v>22</v>
      </c>
      <c r="B29" s="26"/>
      <c r="C29" s="27"/>
      <c r="D29" s="25"/>
      <c r="E29" s="28"/>
      <c r="F29" s="27"/>
      <c r="G29" s="28"/>
      <c r="H29" s="27"/>
      <c r="I29" s="28"/>
      <c r="J29" s="27">
        <v>1.2</v>
      </c>
      <c r="K29" s="29" t="s">
        <v>35</v>
      </c>
      <c r="L29" s="39"/>
      <c r="M29" s="69"/>
      <c r="N29" s="27" t="s">
        <v>40</v>
      </c>
      <c r="O29" s="307"/>
      <c r="P29" s="46" t="s">
        <v>67</v>
      </c>
      <c r="Q29" s="43"/>
      <c r="R29" s="27"/>
      <c r="S29" s="27"/>
      <c r="T29" s="28"/>
      <c r="U29" s="27"/>
      <c r="V29" s="27"/>
      <c r="W29" s="28"/>
      <c r="X29" s="33"/>
      <c r="Y29" s="32"/>
      <c r="Z29" s="60"/>
      <c r="AA29" s="60"/>
      <c r="AB29" s="61"/>
      <c r="AC29" s="27" t="s">
        <v>165</v>
      </c>
      <c r="AD29" s="27"/>
      <c r="AE29" s="33"/>
      <c r="AG29" s="25"/>
      <c r="AH29" s="34"/>
      <c r="AI29" s="27"/>
      <c r="AJ29" s="27"/>
      <c r="AK29" s="27"/>
      <c r="AL29" s="25"/>
      <c r="AM29" s="34"/>
      <c r="AN29" s="27">
        <v>2.5000000000000001E-2</v>
      </c>
      <c r="AO29" s="27"/>
      <c r="AP29" s="36"/>
      <c r="AQ29" s="37"/>
      <c r="AR29" s="32"/>
      <c r="AS29" s="25" t="s">
        <v>57</v>
      </c>
      <c r="AT29" s="27" t="s">
        <v>52</v>
      </c>
      <c r="AU29" s="27"/>
      <c r="AW29" s="25"/>
      <c r="AX29" s="27"/>
      <c r="AY29" s="27"/>
      <c r="AZ29" s="32"/>
      <c r="BA29" s="80" t="s">
        <v>68</v>
      </c>
    </row>
    <row r="30" spans="1:53" ht="16" thickBot="1" x14ac:dyDescent="0.25">
      <c r="A30" s="25">
        <v>23</v>
      </c>
      <c r="B30" s="26"/>
      <c r="C30" s="27"/>
      <c r="D30" s="25"/>
      <c r="E30" s="28"/>
      <c r="F30" s="27"/>
      <c r="G30" s="28"/>
      <c r="H30" s="27"/>
      <c r="I30" s="28"/>
      <c r="J30" s="27">
        <v>1.2</v>
      </c>
      <c r="K30" s="29" t="s">
        <v>35</v>
      </c>
      <c r="L30" s="39"/>
      <c r="M30" s="153" t="s">
        <v>168</v>
      </c>
      <c r="N30" s="27" t="s">
        <v>40</v>
      </c>
      <c r="O30" s="307"/>
      <c r="P30" s="32" t="s">
        <v>69</v>
      </c>
      <c r="Q30" s="25"/>
      <c r="R30" s="27"/>
      <c r="S30" s="27"/>
      <c r="T30" s="28"/>
      <c r="U30" s="27"/>
      <c r="V30" s="27"/>
      <c r="W30" s="28"/>
      <c r="X30" s="33"/>
      <c r="Y30" s="32"/>
      <c r="Z30" s="25"/>
      <c r="AA30" s="27"/>
      <c r="AB30" s="28"/>
      <c r="AC30" s="27" t="s">
        <v>165</v>
      </c>
      <c r="AD30" s="27"/>
      <c r="AE30" s="33"/>
      <c r="AG30" s="25"/>
      <c r="AH30" s="34"/>
      <c r="AI30" s="27"/>
      <c r="AJ30" s="27"/>
      <c r="AK30" s="27"/>
      <c r="AL30" s="25"/>
      <c r="AM30" s="34"/>
      <c r="AN30" s="27">
        <v>2.5000000000000001E-2</v>
      </c>
      <c r="AO30" s="27"/>
      <c r="AP30" s="36"/>
      <c r="AQ30" s="37"/>
      <c r="AR30" s="32"/>
      <c r="AS30" s="25" t="s">
        <v>57</v>
      </c>
      <c r="AT30" s="27" t="s">
        <v>52</v>
      </c>
      <c r="AU30" s="58" t="s">
        <v>70</v>
      </c>
      <c r="AW30" s="25"/>
      <c r="AX30" s="27"/>
      <c r="AY30" s="27"/>
      <c r="AZ30" s="32"/>
      <c r="BA30" s="41"/>
    </row>
    <row r="31" spans="1:53" ht="16" thickBot="1" x14ac:dyDescent="0.25">
      <c r="A31" s="25">
        <v>24</v>
      </c>
      <c r="B31" s="26"/>
      <c r="C31" s="27"/>
      <c r="D31" s="25"/>
      <c r="E31" s="28"/>
      <c r="F31" s="27"/>
      <c r="G31" s="28"/>
      <c r="H31" s="27"/>
      <c r="I31" s="28"/>
      <c r="J31" s="27">
        <v>1.2</v>
      </c>
      <c r="K31" s="29" t="s">
        <v>35</v>
      </c>
      <c r="L31" s="44" t="s">
        <v>71</v>
      </c>
      <c r="M31" s="153" t="s">
        <v>169</v>
      </c>
      <c r="N31" s="27" t="s">
        <v>40</v>
      </c>
      <c r="O31" s="307"/>
      <c r="P31" s="32"/>
      <c r="Q31" s="25"/>
      <c r="R31" s="27"/>
      <c r="S31" s="27"/>
      <c r="T31" s="28"/>
      <c r="U31" s="27"/>
      <c r="V31" s="27"/>
      <c r="W31" s="28"/>
      <c r="X31" s="33"/>
      <c r="Y31" s="32"/>
      <c r="Z31" s="25"/>
      <c r="AA31" s="27"/>
      <c r="AB31" s="28"/>
      <c r="AC31" s="27" t="s">
        <v>165</v>
      </c>
      <c r="AD31" s="27"/>
      <c r="AE31" s="50"/>
      <c r="AF31" s="46"/>
      <c r="AG31" s="25"/>
      <c r="AH31" s="34"/>
      <c r="AI31" s="27"/>
      <c r="AJ31" s="27"/>
      <c r="AK31" s="27"/>
      <c r="AL31" s="25"/>
      <c r="AM31" s="34"/>
      <c r="AN31" s="27"/>
      <c r="AO31" s="27"/>
      <c r="AP31" s="36"/>
      <c r="AQ31" s="37"/>
      <c r="AR31" s="46"/>
      <c r="AS31" s="25" t="s">
        <v>72</v>
      </c>
      <c r="AT31" s="27" t="s">
        <v>52</v>
      </c>
      <c r="AU31" s="58" t="s">
        <v>73</v>
      </c>
      <c r="AW31" s="25"/>
      <c r="AX31" s="27"/>
      <c r="AY31" s="27"/>
      <c r="AZ31" s="32"/>
      <c r="BA31" s="41"/>
    </row>
    <row r="32" spans="1:53" ht="16" thickBot="1" x14ac:dyDescent="0.25">
      <c r="A32" s="25">
        <v>25</v>
      </c>
      <c r="B32" s="26"/>
      <c r="C32" s="27"/>
      <c r="D32" s="25"/>
      <c r="E32" s="28"/>
      <c r="F32" s="27"/>
      <c r="G32" s="28"/>
      <c r="H32" s="27"/>
      <c r="I32" s="28"/>
      <c r="J32" s="27">
        <v>1.2</v>
      </c>
      <c r="K32" s="29" t="s">
        <v>35</v>
      </c>
      <c r="L32" s="39"/>
      <c r="M32" s="153" t="s">
        <v>170</v>
      </c>
      <c r="N32" s="27" t="s">
        <v>40</v>
      </c>
      <c r="O32" s="307"/>
      <c r="P32" s="81" t="s">
        <v>74</v>
      </c>
      <c r="Q32" s="43"/>
      <c r="R32" s="27"/>
      <c r="S32" s="27"/>
      <c r="T32" s="28"/>
      <c r="U32" s="27"/>
      <c r="V32" s="27"/>
      <c r="W32" s="28"/>
      <c r="X32" s="33"/>
      <c r="Y32" s="32"/>
      <c r="Z32" s="27"/>
      <c r="AA32" s="27"/>
      <c r="AB32" s="28"/>
      <c r="AC32" s="27"/>
      <c r="AD32" s="27"/>
      <c r="AE32" s="33"/>
      <c r="AG32" s="25"/>
      <c r="AH32" s="34"/>
      <c r="AI32" s="27"/>
      <c r="AJ32" s="27"/>
      <c r="AK32" s="27"/>
      <c r="AL32" s="25"/>
      <c r="AM32" s="34"/>
      <c r="AN32" s="27">
        <v>2.5000000000000001E-2</v>
      </c>
      <c r="AO32" s="27"/>
      <c r="AP32" s="36"/>
      <c r="AQ32" s="37"/>
      <c r="AR32" s="32" t="s">
        <v>64</v>
      </c>
      <c r="AS32" s="25" t="s">
        <v>72</v>
      </c>
      <c r="AT32" s="27" t="s">
        <v>52</v>
      </c>
      <c r="AW32" s="25"/>
      <c r="AX32" s="27"/>
      <c r="AY32" s="27"/>
      <c r="AZ32" s="32"/>
      <c r="BA32" s="41"/>
    </row>
    <row r="33" spans="1:53" ht="16" thickBot="1" x14ac:dyDescent="0.25">
      <c r="A33" s="25">
        <v>26</v>
      </c>
      <c r="B33" s="26"/>
      <c r="C33" s="27"/>
      <c r="D33" s="25"/>
      <c r="E33" s="28"/>
      <c r="F33" s="27"/>
      <c r="G33" s="28"/>
      <c r="H33" s="27"/>
      <c r="I33" s="28"/>
      <c r="J33" s="27">
        <v>1.2</v>
      </c>
      <c r="K33" s="29" t="s">
        <v>35</v>
      </c>
      <c r="L33" s="39"/>
      <c r="M33" s="153" t="s">
        <v>171</v>
      </c>
      <c r="N33" s="27" t="s">
        <v>40</v>
      </c>
      <c r="O33" s="307"/>
      <c r="P33" s="32"/>
      <c r="Q33" s="25"/>
      <c r="R33" s="27"/>
      <c r="S33" s="27"/>
      <c r="T33" s="28"/>
      <c r="U33" s="27"/>
      <c r="V33" s="27"/>
      <c r="W33" s="28"/>
      <c r="X33" s="33"/>
      <c r="Y33" s="32"/>
      <c r="Z33" s="25"/>
      <c r="AA33" s="27"/>
      <c r="AB33" s="28"/>
      <c r="AC33" s="27"/>
      <c r="AD33" s="27"/>
      <c r="AE33" s="33"/>
      <c r="AG33" s="25"/>
      <c r="AH33" s="34"/>
      <c r="AI33" s="27"/>
      <c r="AJ33" s="27"/>
      <c r="AK33" s="27"/>
      <c r="AL33" s="25"/>
      <c r="AM33" s="34"/>
      <c r="AN33" s="27">
        <v>2.5000000000000001E-2</v>
      </c>
      <c r="AO33" s="27"/>
      <c r="AP33" s="36"/>
      <c r="AQ33" s="37"/>
      <c r="AR33" s="32" t="s">
        <v>64</v>
      </c>
      <c r="AS33" s="25" t="s">
        <v>72</v>
      </c>
      <c r="AT33" s="27" t="s">
        <v>52</v>
      </c>
      <c r="AW33" s="25"/>
      <c r="AX33" s="27"/>
      <c r="AY33" s="27"/>
      <c r="AZ33" s="32"/>
      <c r="BA33" s="41"/>
    </row>
    <row r="34" spans="1:53" ht="16" thickBot="1" x14ac:dyDescent="0.25">
      <c r="A34" s="25">
        <v>27</v>
      </c>
      <c r="B34" s="26"/>
      <c r="C34" s="27"/>
      <c r="D34" s="25"/>
      <c r="E34" s="28"/>
      <c r="F34" s="27"/>
      <c r="G34" s="28"/>
      <c r="H34" s="27"/>
      <c r="I34" s="28"/>
      <c r="J34" s="27">
        <v>1.2</v>
      </c>
      <c r="K34" s="29" t="s">
        <v>35</v>
      </c>
      <c r="L34" s="39"/>
      <c r="M34" s="31"/>
      <c r="N34" s="27" t="s">
        <v>40</v>
      </c>
      <c r="O34" s="307"/>
      <c r="P34" s="32"/>
      <c r="Q34" s="25"/>
      <c r="R34" s="27"/>
      <c r="S34" s="27"/>
      <c r="T34" s="28"/>
      <c r="U34" s="27"/>
      <c r="V34" s="27"/>
      <c r="W34" s="28"/>
      <c r="X34" s="33"/>
      <c r="Y34" s="32"/>
      <c r="Z34" s="25"/>
      <c r="AA34" s="27"/>
      <c r="AB34" s="28"/>
      <c r="AC34" s="27"/>
      <c r="AD34" s="27"/>
      <c r="AE34" s="33"/>
      <c r="AG34" s="25"/>
      <c r="AH34" s="34"/>
      <c r="AI34" s="27"/>
      <c r="AJ34" s="27"/>
      <c r="AK34" s="27"/>
      <c r="AL34" s="25"/>
      <c r="AM34" s="34"/>
      <c r="AN34" s="27">
        <v>2.5000000000000001E-2</v>
      </c>
      <c r="AO34" s="27"/>
      <c r="AP34" s="36"/>
      <c r="AQ34" s="82"/>
      <c r="AR34" s="32" t="s">
        <v>75</v>
      </c>
      <c r="AS34" s="25" t="s">
        <v>72</v>
      </c>
      <c r="AT34" s="27" t="s">
        <v>52</v>
      </c>
      <c r="AU34" s="27"/>
      <c r="AW34" s="25"/>
      <c r="AX34" s="27"/>
      <c r="AY34" s="27"/>
      <c r="AZ34" s="32"/>
      <c r="BA34" s="41"/>
    </row>
    <row r="35" spans="1:53" x14ac:dyDescent="0.2">
      <c r="A35" s="25">
        <v>28</v>
      </c>
      <c r="B35" s="26"/>
      <c r="C35" s="27"/>
      <c r="D35" s="25"/>
      <c r="E35" s="28"/>
      <c r="F35" s="27"/>
      <c r="G35" s="28"/>
      <c r="H35" s="27"/>
      <c r="I35" s="28"/>
      <c r="J35" s="27">
        <v>1.2</v>
      </c>
      <c r="K35" s="29" t="s">
        <v>35</v>
      </c>
      <c r="L35" s="39"/>
      <c r="M35" s="31"/>
      <c r="N35" s="27" t="s">
        <v>40</v>
      </c>
      <c r="O35" s="307"/>
      <c r="P35" s="32"/>
      <c r="Q35" s="25"/>
      <c r="R35" s="27"/>
      <c r="S35" s="27"/>
      <c r="T35" s="28"/>
      <c r="U35" s="27"/>
      <c r="V35" s="27"/>
      <c r="W35" s="28"/>
      <c r="Y35" s="32"/>
      <c r="Z35" s="25"/>
      <c r="AA35" s="27"/>
      <c r="AB35" s="28"/>
      <c r="AC35" s="27"/>
      <c r="AD35" s="27"/>
      <c r="AE35" s="33"/>
      <c r="AG35" s="25"/>
      <c r="AH35" s="34"/>
      <c r="AI35" s="27"/>
      <c r="AJ35" s="27"/>
      <c r="AK35" s="27"/>
      <c r="AL35" s="25"/>
      <c r="AM35" s="34"/>
      <c r="AN35" s="27">
        <v>2.5000000000000001E-2</v>
      </c>
      <c r="AO35" s="27"/>
      <c r="AP35" s="36"/>
      <c r="AR35" s="32" t="s">
        <v>75</v>
      </c>
      <c r="AS35" s="25" t="s">
        <v>72</v>
      </c>
      <c r="AT35" s="27" t="s">
        <v>52</v>
      </c>
      <c r="AU35" s="27"/>
      <c r="AW35" s="25"/>
      <c r="AX35" s="27"/>
      <c r="AY35" s="27"/>
      <c r="AZ35" s="32"/>
      <c r="BA35" s="41"/>
    </row>
    <row r="36" spans="1:53" ht="17.25" customHeight="1" thickBot="1" x14ac:dyDescent="0.25">
      <c r="A36" s="25">
        <v>29</v>
      </c>
      <c r="B36" s="26"/>
      <c r="C36" s="27"/>
      <c r="D36" s="25"/>
      <c r="E36" s="28"/>
      <c r="F36" s="27"/>
      <c r="G36" s="28"/>
      <c r="H36" s="27"/>
      <c r="I36" s="28"/>
      <c r="J36" s="27">
        <v>1.2</v>
      </c>
      <c r="K36" s="29" t="s">
        <v>35</v>
      </c>
      <c r="L36" s="39"/>
      <c r="M36" s="31"/>
      <c r="N36" s="27" t="s">
        <v>40</v>
      </c>
      <c r="O36" s="307"/>
      <c r="P36" s="32"/>
      <c r="Q36" s="25"/>
      <c r="R36" s="27"/>
      <c r="S36" s="27"/>
      <c r="T36" s="28"/>
      <c r="U36" s="27"/>
      <c r="V36" s="27"/>
      <c r="W36" s="28"/>
      <c r="X36" s="33"/>
      <c r="Y36" s="32"/>
      <c r="Z36" s="25"/>
      <c r="AA36" s="27"/>
      <c r="AB36" s="28"/>
      <c r="AC36" s="27"/>
      <c r="AD36" s="27"/>
      <c r="AE36" s="33"/>
      <c r="AG36" s="25"/>
      <c r="AH36" s="34"/>
      <c r="AI36" s="27"/>
      <c r="AJ36" s="27"/>
      <c r="AK36" s="27"/>
      <c r="AL36" s="25"/>
      <c r="AM36" s="34"/>
      <c r="AN36" s="27"/>
      <c r="AO36" s="27"/>
      <c r="AP36" s="36"/>
      <c r="AQ36" s="37"/>
      <c r="AR36" s="32"/>
      <c r="AS36" s="25" t="s">
        <v>72</v>
      </c>
      <c r="AT36" s="27" t="s">
        <v>52</v>
      </c>
      <c r="AU36" s="27"/>
      <c r="AW36" s="25"/>
      <c r="AX36" s="27"/>
      <c r="AY36" s="27"/>
      <c r="AZ36" s="32"/>
      <c r="BA36" s="41"/>
    </row>
    <row r="37" spans="1:53" s="87" customFormat="1" ht="16" thickBot="1" x14ac:dyDescent="0.25">
      <c r="A37" s="83">
        <v>30</v>
      </c>
      <c r="B37" s="84"/>
      <c r="C37" s="83"/>
      <c r="D37" s="83"/>
      <c r="E37" s="83"/>
      <c r="F37" s="83"/>
      <c r="G37" s="83"/>
      <c r="H37" s="83"/>
      <c r="I37" s="83"/>
      <c r="J37" s="83">
        <v>1.2</v>
      </c>
      <c r="K37" s="85" t="s">
        <v>35</v>
      </c>
      <c r="L37" s="86"/>
      <c r="M37" s="86"/>
      <c r="N37" s="83" t="s">
        <v>40</v>
      </c>
      <c r="O37" s="307"/>
      <c r="Q37" s="83"/>
      <c r="R37" s="83"/>
      <c r="S37" s="83"/>
      <c r="T37" s="83"/>
      <c r="U37" s="83"/>
      <c r="V37" s="83"/>
      <c r="W37" s="83"/>
      <c r="X37" s="83"/>
      <c r="Z37" s="83"/>
      <c r="AA37" s="83"/>
      <c r="AB37" s="83"/>
      <c r="AC37" s="83"/>
      <c r="AD37" s="83"/>
      <c r="AE37" s="83"/>
      <c r="AG37" s="83"/>
      <c r="AH37" s="83"/>
      <c r="AI37" s="83"/>
      <c r="AJ37" s="83"/>
      <c r="AK37" s="83"/>
      <c r="AL37" s="83"/>
      <c r="AM37" s="83"/>
      <c r="AN37" s="83"/>
      <c r="AO37" s="83"/>
      <c r="AP37" s="83"/>
      <c r="AS37" s="83" t="s">
        <v>72</v>
      </c>
      <c r="AT37" s="83" t="s">
        <v>52</v>
      </c>
      <c r="AU37" s="83"/>
      <c r="AW37" s="83"/>
      <c r="AX37" s="83"/>
      <c r="AY37" s="83"/>
      <c r="BA37" s="83"/>
    </row>
    <row r="38" spans="1:53" x14ac:dyDescent="0.2">
      <c r="A38" s="25">
        <v>31</v>
      </c>
      <c r="B38" s="26"/>
      <c r="C38" s="27"/>
      <c r="D38" s="25"/>
      <c r="E38" s="28"/>
      <c r="F38" s="27"/>
      <c r="G38" s="28"/>
      <c r="H38" s="27"/>
      <c r="I38" s="28"/>
      <c r="J38" s="27">
        <v>1.2</v>
      </c>
      <c r="K38" s="29" t="s">
        <v>35</v>
      </c>
      <c r="L38" s="39"/>
      <c r="M38" s="31"/>
      <c r="N38" s="27" t="s">
        <v>76</v>
      </c>
      <c r="O38" s="307"/>
      <c r="P38" s="32"/>
      <c r="Q38" s="25"/>
      <c r="R38" s="27"/>
      <c r="S38" s="27"/>
      <c r="T38" s="28"/>
      <c r="U38" s="27"/>
      <c r="V38" s="27"/>
      <c r="W38" s="28"/>
      <c r="X38" s="33"/>
      <c r="Y38" s="32"/>
      <c r="Z38" s="25"/>
      <c r="AA38" s="27"/>
      <c r="AB38" s="28"/>
      <c r="AC38" s="27"/>
      <c r="AD38" s="27"/>
      <c r="AE38" s="33"/>
      <c r="AG38" s="25"/>
      <c r="AH38" s="34"/>
      <c r="AI38" s="27"/>
      <c r="AJ38" s="27"/>
      <c r="AK38" s="27"/>
      <c r="AL38" s="25"/>
      <c r="AM38" s="34"/>
      <c r="AN38" s="27"/>
      <c r="AO38" s="27"/>
      <c r="AP38" s="36"/>
      <c r="AQ38" s="37"/>
      <c r="AR38" s="46"/>
      <c r="AS38" s="25" t="s">
        <v>72</v>
      </c>
      <c r="AT38" s="27" t="s">
        <v>52</v>
      </c>
      <c r="AU38" s="27"/>
      <c r="AW38" s="25"/>
      <c r="AX38" s="27"/>
      <c r="AY38" s="27"/>
      <c r="AZ38" s="32"/>
      <c r="BA38" s="41"/>
    </row>
    <row r="39" spans="1:53" x14ac:dyDescent="0.2">
      <c r="A39" s="25">
        <v>32</v>
      </c>
      <c r="B39" s="26"/>
      <c r="C39" s="27"/>
      <c r="D39" s="25"/>
      <c r="E39" s="28"/>
      <c r="F39" s="27"/>
      <c r="G39" s="28"/>
      <c r="H39" s="27"/>
      <c r="I39" s="28"/>
      <c r="J39" s="27">
        <v>1.2</v>
      </c>
      <c r="K39" s="29" t="s">
        <v>35</v>
      </c>
      <c r="L39" s="39"/>
      <c r="M39" s="31"/>
      <c r="N39" s="27" t="s">
        <v>76</v>
      </c>
      <c r="O39" s="307"/>
      <c r="P39" s="32"/>
      <c r="Q39" s="25"/>
      <c r="R39" s="27"/>
      <c r="S39" s="27"/>
      <c r="T39" s="28"/>
      <c r="U39" s="27"/>
      <c r="V39" s="27"/>
      <c r="W39" s="28"/>
      <c r="X39" s="33"/>
      <c r="Y39" s="32"/>
      <c r="Z39" s="25"/>
      <c r="AA39" s="27"/>
      <c r="AB39" s="28"/>
      <c r="AC39" s="27"/>
      <c r="AD39" s="27"/>
      <c r="AE39" s="33"/>
      <c r="AG39" s="25"/>
      <c r="AH39" s="34"/>
      <c r="AI39" s="27"/>
      <c r="AJ39" s="27"/>
      <c r="AK39" s="27"/>
      <c r="AL39" s="25"/>
      <c r="AM39" s="34"/>
      <c r="AN39" s="27"/>
      <c r="AO39" s="27"/>
      <c r="AP39" s="36"/>
      <c r="AQ39" s="37"/>
      <c r="AR39" s="32"/>
      <c r="AS39" s="25" t="s">
        <v>72</v>
      </c>
      <c r="AT39" s="27" t="s">
        <v>52</v>
      </c>
      <c r="AU39" s="27"/>
      <c r="AW39" s="25"/>
      <c r="AX39" s="27"/>
      <c r="AY39" s="27"/>
      <c r="AZ39" s="32"/>
      <c r="BA39" s="41"/>
    </row>
    <row r="40" spans="1:53" x14ac:dyDescent="0.2">
      <c r="A40" s="25">
        <v>33</v>
      </c>
      <c r="B40" s="26"/>
      <c r="C40" s="27"/>
      <c r="D40" s="25"/>
      <c r="E40" s="28"/>
      <c r="F40" s="27"/>
      <c r="G40" s="28"/>
      <c r="H40" s="27"/>
      <c r="I40" s="28"/>
      <c r="J40" s="27">
        <v>1.2</v>
      </c>
      <c r="K40" s="29" t="s">
        <v>35</v>
      </c>
      <c r="L40" s="39"/>
      <c r="M40" s="31"/>
      <c r="N40" s="27" t="s">
        <v>76</v>
      </c>
      <c r="O40" s="307"/>
      <c r="P40" s="32"/>
      <c r="Q40" s="25"/>
      <c r="R40" s="27"/>
      <c r="S40" s="27"/>
      <c r="T40" s="28"/>
      <c r="U40" s="27"/>
      <c r="V40" s="27"/>
      <c r="W40" s="28"/>
      <c r="X40" s="33"/>
      <c r="Y40" s="32"/>
      <c r="Z40" s="25"/>
      <c r="AA40" s="27"/>
      <c r="AB40" s="28"/>
      <c r="AC40" s="27"/>
      <c r="AD40" s="27"/>
      <c r="AE40" s="33"/>
      <c r="AG40" s="25"/>
      <c r="AH40" s="34"/>
      <c r="AI40" s="27"/>
      <c r="AJ40" s="27"/>
      <c r="AK40" s="27"/>
      <c r="AL40" s="25"/>
      <c r="AM40" s="34"/>
      <c r="AN40" s="27"/>
      <c r="AO40" s="27"/>
      <c r="AP40" s="36"/>
      <c r="AQ40" s="37"/>
      <c r="AR40" s="32"/>
      <c r="AS40" s="25" t="s">
        <v>72</v>
      </c>
      <c r="AT40" s="27" t="s">
        <v>52</v>
      </c>
      <c r="AW40" s="25"/>
      <c r="AX40" s="27"/>
      <c r="AY40" s="27"/>
      <c r="AZ40" s="32"/>
      <c r="BA40" s="41"/>
    </row>
    <row r="41" spans="1:53" ht="16" thickBot="1" x14ac:dyDescent="0.25">
      <c r="A41" s="25">
        <v>34</v>
      </c>
      <c r="B41" s="26"/>
      <c r="C41" s="27"/>
      <c r="D41" s="25"/>
      <c r="E41" s="28"/>
      <c r="F41" s="27"/>
      <c r="G41" s="28"/>
      <c r="H41" s="27"/>
      <c r="I41" s="28"/>
      <c r="J41" s="27">
        <v>1.2</v>
      </c>
      <c r="K41" s="29" t="s">
        <v>35</v>
      </c>
      <c r="L41" s="39"/>
      <c r="M41" s="31"/>
      <c r="N41" s="27" t="s">
        <v>76</v>
      </c>
      <c r="O41" s="307"/>
      <c r="P41" s="32"/>
      <c r="Q41" s="25"/>
      <c r="R41" s="27"/>
      <c r="S41" s="27"/>
      <c r="T41" s="28"/>
      <c r="U41" s="27"/>
      <c r="V41" s="27"/>
      <c r="W41" s="28"/>
      <c r="X41" s="33"/>
      <c r="Y41" s="32"/>
      <c r="Z41" s="25"/>
      <c r="AA41" s="27"/>
      <c r="AB41" s="28"/>
      <c r="AC41" s="27"/>
      <c r="AD41" s="27"/>
      <c r="AE41" s="33"/>
      <c r="AG41" s="25"/>
      <c r="AH41" s="34"/>
      <c r="AI41" s="27"/>
      <c r="AJ41" s="27"/>
      <c r="AK41" s="27"/>
      <c r="AL41" s="25"/>
      <c r="AM41" s="34"/>
      <c r="AN41" s="27"/>
      <c r="AO41" s="27"/>
      <c r="AP41" s="36"/>
      <c r="AQ41" s="37"/>
      <c r="AR41" s="32"/>
      <c r="AS41" s="25" t="s">
        <v>72</v>
      </c>
      <c r="AT41" s="27" t="s">
        <v>52</v>
      </c>
      <c r="AU41" s="27"/>
      <c r="AW41" s="25"/>
      <c r="AX41" s="27"/>
      <c r="AY41" s="27"/>
      <c r="AZ41" s="32"/>
      <c r="BA41" s="41"/>
    </row>
    <row r="42" spans="1:53" ht="16" thickBot="1" x14ac:dyDescent="0.25">
      <c r="A42" s="25">
        <v>35</v>
      </c>
      <c r="B42" s="26"/>
      <c r="C42" s="27"/>
      <c r="D42" s="25"/>
      <c r="E42" s="28"/>
      <c r="F42" s="27"/>
      <c r="G42" s="28"/>
      <c r="H42" s="27"/>
      <c r="I42" s="28"/>
      <c r="J42" s="27">
        <v>1.2</v>
      </c>
      <c r="K42" s="29" t="s">
        <v>35</v>
      </c>
      <c r="L42" s="39"/>
      <c r="M42" s="153" t="s">
        <v>172</v>
      </c>
      <c r="N42" s="27" t="s">
        <v>76</v>
      </c>
      <c r="O42" s="307"/>
      <c r="P42" s="32"/>
      <c r="Q42" s="25"/>
      <c r="R42" s="27"/>
      <c r="S42" s="27"/>
      <c r="T42" s="28"/>
      <c r="U42" s="27"/>
      <c r="V42" s="27"/>
      <c r="W42" s="28"/>
      <c r="X42" s="33"/>
      <c r="Y42" s="32"/>
      <c r="Z42" s="25"/>
      <c r="AA42" s="27"/>
      <c r="AB42" s="28"/>
      <c r="AC42" s="27"/>
      <c r="AD42" s="27"/>
      <c r="AE42" s="33"/>
      <c r="AG42" s="25"/>
      <c r="AH42" s="34"/>
      <c r="AI42" s="27"/>
      <c r="AJ42" s="27"/>
      <c r="AK42" s="27"/>
      <c r="AL42" s="25"/>
      <c r="AM42" s="34"/>
      <c r="AN42" s="27"/>
      <c r="AO42" s="27"/>
      <c r="AP42" s="36"/>
      <c r="AQ42" s="37"/>
      <c r="AR42" s="32"/>
      <c r="AS42" s="25" t="s">
        <v>72</v>
      </c>
      <c r="AT42" s="27" t="s">
        <v>52</v>
      </c>
      <c r="AU42" s="58" t="s">
        <v>77</v>
      </c>
      <c r="AW42" s="25"/>
      <c r="AX42" s="27"/>
      <c r="AY42" s="27"/>
      <c r="AZ42" s="32"/>
      <c r="BA42" s="41"/>
    </row>
    <row r="43" spans="1:53" ht="16" thickBot="1" x14ac:dyDescent="0.25">
      <c r="A43" s="25">
        <v>36</v>
      </c>
      <c r="B43" s="26"/>
      <c r="C43" s="27"/>
      <c r="D43" s="25"/>
      <c r="E43" s="28"/>
      <c r="F43" s="27"/>
      <c r="G43" s="28"/>
      <c r="H43" s="27"/>
      <c r="I43" s="28"/>
      <c r="J43" s="27">
        <v>1.2</v>
      </c>
      <c r="K43" s="29" t="s">
        <v>35</v>
      </c>
      <c r="L43" s="53"/>
      <c r="M43" s="31"/>
      <c r="N43" s="27" t="s">
        <v>76</v>
      </c>
      <c r="O43" s="307"/>
      <c r="P43" s="32"/>
      <c r="Q43" s="25"/>
      <c r="R43" s="27"/>
      <c r="S43" s="27"/>
      <c r="T43" s="28"/>
      <c r="U43" s="27"/>
      <c r="V43" s="27"/>
      <c r="W43" s="28"/>
      <c r="X43" s="33"/>
      <c r="Y43" s="32"/>
      <c r="Z43" s="25"/>
      <c r="AA43" s="27"/>
      <c r="AB43" s="28"/>
      <c r="AC43" s="27"/>
      <c r="AD43" s="27"/>
      <c r="AE43" s="33"/>
      <c r="AG43" s="25"/>
      <c r="AH43" s="34"/>
      <c r="AI43" s="27"/>
      <c r="AJ43" s="27"/>
      <c r="AK43" s="27"/>
      <c r="AL43" s="25"/>
      <c r="AM43" s="34"/>
      <c r="AN43" s="27"/>
      <c r="AO43" s="27"/>
      <c r="AP43" s="36"/>
      <c r="AQ43" s="37"/>
      <c r="AR43" s="32"/>
      <c r="AS43" s="25" t="s">
        <v>78</v>
      </c>
      <c r="AT43" s="27" t="s">
        <v>52</v>
      </c>
      <c r="AW43" s="25"/>
      <c r="AX43" s="27"/>
      <c r="AY43" s="27"/>
      <c r="AZ43" s="32"/>
      <c r="BA43" s="41"/>
    </row>
    <row r="44" spans="1:53" ht="16" thickBot="1" x14ac:dyDescent="0.25">
      <c r="A44" s="25">
        <v>37</v>
      </c>
      <c r="B44" s="26"/>
      <c r="C44" s="27"/>
      <c r="D44" s="25"/>
      <c r="E44" s="28"/>
      <c r="F44" s="27"/>
      <c r="G44" s="28"/>
      <c r="H44" s="27"/>
      <c r="I44" s="28"/>
      <c r="J44" s="27">
        <v>1.2</v>
      </c>
      <c r="K44" s="29" t="s">
        <v>35</v>
      </c>
      <c r="L44" s="53"/>
      <c r="M44" s="31"/>
      <c r="N44" s="27" t="s">
        <v>76</v>
      </c>
      <c r="O44" s="307"/>
      <c r="P44" s="32"/>
      <c r="Q44" s="25"/>
      <c r="R44" s="27"/>
      <c r="S44" s="27"/>
      <c r="T44" s="28"/>
      <c r="U44" s="27"/>
      <c r="V44" s="27"/>
      <c r="W44" s="28"/>
      <c r="X44" s="33"/>
      <c r="Y44" s="32"/>
      <c r="Z44" s="59"/>
      <c r="AA44" s="60"/>
      <c r="AB44" s="61"/>
      <c r="AC44" s="27"/>
      <c r="AD44" s="27"/>
      <c r="AE44" s="33"/>
      <c r="AG44" s="25"/>
      <c r="AH44" s="34"/>
      <c r="AI44" s="27"/>
      <c r="AJ44" s="27"/>
      <c r="AK44" s="27"/>
      <c r="AL44" s="25"/>
      <c r="AM44" s="34"/>
      <c r="AN44" s="27"/>
      <c r="AO44" s="27"/>
      <c r="AP44" s="36"/>
      <c r="AQ44" s="37"/>
      <c r="AR44" s="32"/>
      <c r="AS44" s="25" t="s">
        <v>78</v>
      </c>
      <c r="AT44" s="27" t="s">
        <v>52</v>
      </c>
      <c r="AU44" s="27"/>
      <c r="AW44" s="25"/>
      <c r="AX44" s="27"/>
      <c r="AY44" s="27"/>
      <c r="AZ44" s="32"/>
      <c r="BA44" s="41"/>
    </row>
    <row r="45" spans="1:53" x14ac:dyDescent="0.2">
      <c r="A45" s="25">
        <v>38</v>
      </c>
      <c r="B45" s="26"/>
      <c r="C45" s="27"/>
      <c r="D45" s="25"/>
      <c r="E45" s="28"/>
      <c r="F45" s="27"/>
      <c r="G45" s="28"/>
      <c r="H45" s="27"/>
      <c r="I45" s="28"/>
      <c r="J45" s="27">
        <v>1.2</v>
      </c>
      <c r="K45" s="29" t="s">
        <v>35</v>
      </c>
      <c r="L45" s="39"/>
      <c r="M45" s="31"/>
      <c r="N45" s="27" t="s">
        <v>76</v>
      </c>
      <c r="O45" s="307"/>
      <c r="P45" s="32"/>
      <c r="Q45" s="25"/>
      <c r="R45" s="27"/>
      <c r="S45" s="27"/>
      <c r="T45" s="28"/>
      <c r="U45" s="27"/>
      <c r="V45" s="27"/>
      <c r="W45" s="28"/>
      <c r="X45" s="33"/>
      <c r="Y45" s="32"/>
      <c r="Z45" s="25"/>
      <c r="AA45" s="27"/>
      <c r="AB45" s="28"/>
      <c r="AC45" s="27"/>
      <c r="AD45" s="27"/>
      <c r="AE45" s="33"/>
      <c r="AG45" s="25"/>
      <c r="AH45" s="34"/>
      <c r="AI45" s="27"/>
      <c r="AJ45" s="27"/>
      <c r="AK45" s="27"/>
      <c r="AL45" s="25"/>
      <c r="AM45" s="34"/>
      <c r="AN45" s="27"/>
      <c r="AO45" s="27"/>
      <c r="AP45" s="36"/>
      <c r="AQ45" s="37"/>
      <c r="AR45" s="32"/>
      <c r="AS45" s="25" t="s">
        <v>78</v>
      </c>
      <c r="AT45" s="27" t="s">
        <v>52</v>
      </c>
      <c r="AU45" s="27"/>
      <c r="AW45" s="25"/>
      <c r="AX45" s="27"/>
      <c r="AY45" s="27"/>
      <c r="AZ45" s="32"/>
      <c r="BA45" s="41"/>
    </row>
    <row r="46" spans="1:53" ht="16" thickBot="1" x14ac:dyDescent="0.25">
      <c r="A46" s="25">
        <v>39</v>
      </c>
      <c r="B46" s="26"/>
      <c r="C46" s="27"/>
      <c r="D46" s="25"/>
      <c r="E46" s="28"/>
      <c r="F46" s="27"/>
      <c r="G46" s="28"/>
      <c r="H46" s="27"/>
      <c r="I46" s="28"/>
      <c r="J46" s="27">
        <v>1.2</v>
      </c>
      <c r="K46" s="29" t="s">
        <v>35</v>
      </c>
      <c r="M46" s="31"/>
      <c r="N46" s="27" t="s">
        <v>76</v>
      </c>
      <c r="O46" s="307"/>
      <c r="P46" s="32"/>
      <c r="Q46" s="25"/>
      <c r="R46" s="27"/>
      <c r="S46" s="27"/>
      <c r="T46" s="28"/>
      <c r="U46" s="27"/>
      <c r="V46" s="27"/>
      <c r="W46" s="28"/>
      <c r="X46" s="33"/>
      <c r="Y46" s="32"/>
      <c r="Z46" s="25"/>
      <c r="AA46" s="27"/>
      <c r="AB46" s="28"/>
      <c r="AC46" s="27"/>
      <c r="AD46" s="27"/>
      <c r="AE46" s="33"/>
      <c r="AG46" s="25"/>
      <c r="AH46" s="34"/>
      <c r="AI46" s="27"/>
      <c r="AJ46" s="27"/>
      <c r="AK46" s="27"/>
      <c r="AL46" s="25"/>
      <c r="AM46" s="34"/>
      <c r="AN46" s="27"/>
      <c r="AO46" s="27"/>
      <c r="AP46" s="36"/>
      <c r="AQ46" s="37"/>
      <c r="AR46" s="32"/>
      <c r="AS46" s="25" t="s">
        <v>78</v>
      </c>
      <c r="AT46" s="27" t="s">
        <v>52</v>
      </c>
      <c r="AU46" s="27"/>
      <c r="AW46" s="25"/>
      <c r="AX46" s="27"/>
      <c r="AY46" s="27"/>
      <c r="AZ46" s="32"/>
      <c r="BA46" s="41"/>
    </row>
    <row r="47" spans="1:53" ht="16" thickBot="1" x14ac:dyDescent="0.25">
      <c r="A47" s="25">
        <v>40</v>
      </c>
      <c r="B47" s="26"/>
      <c r="C47" s="27"/>
      <c r="D47" s="25"/>
      <c r="E47" s="28"/>
      <c r="F47" s="27"/>
      <c r="G47" s="28"/>
      <c r="H47" s="27"/>
      <c r="I47" s="28"/>
      <c r="J47" s="27">
        <v>1.2</v>
      </c>
      <c r="K47" s="29" t="s">
        <v>35</v>
      </c>
      <c r="L47" s="53"/>
      <c r="M47" s="153" t="s">
        <v>173</v>
      </c>
      <c r="N47" s="27" t="s">
        <v>76</v>
      </c>
      <c r="O47" s="308"/>
      <c r="Q47" s="25"/>
      <c r="R47" s="27"/>
      <c r="S47" s="27"/>
      <c r="T47" s="28"/>
      <c r="U47" s="27"/>
      <c r="V47" s="27"/>
      <c r="W47" s="28"/>
      <c r="X47" s="33"/>
      <c r="Y47" s="32"/>
      <c r="Z47" s="59"/>
      <c r="AA47" s="60"/>
      <c r="AB47" s="61"/>
      <c r="AC47" s="27"/>
      <c r="AD47" s="27"/>
      <c r="AE47" s="33"/>
      <c r="AG47" s="25"/>
      <c r="AH47" s="34"/>
      <c r="AI47" s="27"/>
      <c r="AJ47" s="27"/>
      <c r="AK47" s="27"/>
      <c r="AL47" s="25"/>
      <c r="AM47" s="34"/>
      <c r="AN47" s="27"/>
      <c r="AO47" s="27"/>
      <c r="AP47" s="36"/>
      <c r="AQ47" s="37"/>
      <c r="AR47" s="32"/>
      <c r="AS47" s="25" t="s">
        <v>79</v>
      </c>
      <c r="AT47" s="27" t="s">
        <v>52</v>
      </c>
      <c r="AU47" s="58" t="s">
        <v>80</v>
      </c>
      <c r="AW47" s="25"/>
      <c r="AX47" s="27"/>
      <c r="AY47" s="27"/>
      <c r="AZ47" s="32"/>
      <c r="BA47" s="41"/>
    </row>
    <row r="48" spans="1:53" x14ac:dyDescent="0.2">
      <c r="A48" s="25">
        <v>41</v>
      </c>
      <c r="B48" s="26"/>
      <c r="C48" s="27"/>
      <c r="D48" s="25"/>
      <c r="E48" s="28"/>
      <c r="F48" s="27"/>
      <c r="G48" s="28"/>
      <c r="H48" s="27"/>
      <c r="I48" s="28"/>
      <c r="J48" s="27">
        <v>1.2</v>
      </c>
      <c r="K48" s="29" t="s">
        <v>35</v>
      </c>
      <c r="M48" s="31"/>
      <c r="N48" s="27" t="s">
        <v>76</v>
      </c>
      <c r="P48" s="32"/>
      <c r="Q48" s="25"/>
      <c r="R48" s="27"/>
      <c r="S48" s="27"/>
      <c r="T48" s="28"/>
      <c r="U48" s="27"/>
      <c r="V48" s="27"/>
      <c r="W48" s="28"/>
      <c r="X48" s="33"/>
      <c r="Y48" s="32"/>
      <c r="Z48" s="25"/>
      <c r="AA48" s="27"/>
      <c r="AB48" s="28"/>
      <c r="AC48" s="27"/>
      <c r="AD48" s="27"/>
      <c r="AE48" s="33"/>
      <c r="AG48" s="25"/>
      <c r="AH48" s="34"/>
      <c r="AI48" s="27"/>
      <c r="AJ48" s="27"/>
      <c r="AK48" s="27"/>
      <c r="AL48" s="25"/>
      <c r="AM48" s="34"/>
      <c r="AN48" s="27"/>
      <c r="AO48" s="27"/>
      <c r="AP48" s="36"/>
      <c r="AQ48" s="37"/>
      <c r="AR48" s="32"/>
      <c r="AS48" s="25" t="s">
        <v>79</v>
      </c>
      <c r="AT48" s="27" t="s">
        <v>52</v>
      </c>
      <c r="AU48" s="27"/>
      <c r="AW48" s="25"/>
      <c r="AX48" s="27"/>
      <c r="AY48" s="27"/>
      <c r="AZ48" s="32"/>
      <c r="BA48" s="41"/>
    </row>
    <row r="49" spans="1:53" x14ac:dyDescent="0.2">
      <c r="A49" s="25">
        <v>42</v>
      </c>
      <c r="B49" s="26"/>
      <c r="C49" s="27"/>
      <c r="D49" s="25"/>
      <c r="E49" s="28"/>
      <c r="F49" s="27"/>
      <c r="G49" s="28"/>
      <c r="H49" s="27"/>
      <c r="I49" s="28"/>
      <c r="J49" s="27">
        <v>1.2</v>
      </c>
      <c r="K49" s="29" t="s">
        <v>35</v>
      </c>
      <c r="L49" s="39"/>
      <c r="M49" s="31"/>
      <c r="N49" s="27" t="s">
        <v>76</v>
      </c>
      <c r="P49" s="32"/>
      <c r="Q49" s="25"/>
      <c r="R49" s="27"/>
      <c r="S49" s="27"/>
      <c r="T49" s="28"/>
      <c r="U49" s="27"/>
      <c r="V49" s="27"/>
      <c r="W49" s="28"/>
      <c r="X49" s="33"/>
      <c r="Y49" s="32"/>
      <c r="Z49" s="25"/>
      <c r="AA49" s="27"/>
      <c r="AB49" s="28"/>
      <c r="AC49" s="27"/>
      <c r="AD49" s="27"/>
      <c r="AE49" s="33"/>
      <c r="AG49" s="25"/>
      <c r="AH49" s="34"/>
      <c r="AI49" s="27"/>
      <c r="AJ49" s="27"/>
      <c r="AK49" s="27"/>
      <c r="AL49" s="25"/>
      <c r="AM49" s="34"/>
      <c r="AN49" s="27"/>
      <c r="AO49" s="27"/>
      <c r="AP49" s="36"/>
      <c r="AQ49" s="37"/>
      <c r="AR49" s="32"/>
      <c r="AS49" s="25" t="s">
        <v>79</v>
      </c>
      <c r="AT49" s="27" t="s">
        <v>52</v>
      </c>
      <c r="AU49" s="27"/>
      <c r="AW49" s="25"/>
      <c r="AX49" s="27"/>
      <c r="AY49" s="27"/>
      <c r="AZ49" s="32"/>
      <c r="BA49" s="41"/>
    </row>
    <row r="50" spans="1:53" ht="16" thickBot="1" x14ac:dyDescent="0.25">
      <c r="A50" s="25">
        <v>43</v>
      </c>
      <c r="B50" s="26"/>
      <c r="C50" s="27"/>
      <c r="D50" s="25"/>
      <c r="E50" s="28"/>
      <c r="F50" s="27"/>
      <c r="G50" s="28"/>
      <c r="H50" s="27"/>
      <c r="I50" s="28"/>
      <c r="J50" s="27">
        <v>1.2</v>
      </c>
      <c r="K50" s="29" t="s">
        <v>35</v>
      </c>
      <c r="L50" s="39"/>
      <c r="M50" s="31"/>
      <c r="N50" s="27" t="s">
        <v>76</v>
      </c>
      <c r="P50" s="32"/>
      <c r="Q50" s="25"/>
      <c r="R50" s="27"/>
      <c r="S50" s="27"/>
      <c r="T50" s="28"/>
      <c r="U50" s="27"/>
      <c r="V50" s="27"/>
      <c r="W50" s="28"/>
      <c r="X50" s="33"/>
      <c r="Y50" s="32"/>
      <c r="Z50" s="25"/>
      <c r="AA50" s="27"/>
      <c r="AB50" s="28"/>
      <c r="AC50" s="27"/>
      <c r="AD50" s="27"/>
      <c r="AE50" s="33"/>
      <c r="AG50" s="25"/>
      <c r="AH50" s="34"/>
      <c r="AI50" s="27"/>
      <c r="AJ50" s="27"/>
      <c r="AK50" s="27"/>
      <c r="AL50" s="25"/>
      <c r="AM50" s="34"/>
      <c r="AN50" s="27"/>
      <c r="AO50" s="27"/>
      <c r="AP50" s="36"/>
      <c r="AQ50" s="37"/>
      <c r="AR50" s="32"/>
      <c r="AS50" s="25" t="s">
        <v>79</v>
      </c>
      <c r="AT50" s="27" t="s">
        <v>52</v>
      </c>
      <c r="AU50" s="27"/>
      <c r="AW50" s="25"/>
      <c r="AX50" s="27"/>
      <c r="AY50" s="27"/>
      <c r="AZ50" s="32"/>
      <c r="BA50" s="41"/>
    </row>
    <row r="51" spans="1:53" ht="16" thickBot="1" x14ac:dyDescent="0.25">
      <c r="A51" s="25">
        <v>44</v>
      </c>
      <c r="B51" s="26"/>
      <c r="C51" s="27"/>
      <c r="D51" s="25"/>
      <c r="E51" s="28"/>
      <c r="F51" s="27"/>
      <c r="G51" s="28"/>
      <c r="H51" s="27"/>
      <c r="I51" s="28"/>
      <c r="J51" s="27">
        <v>1.2</v>
      </c>
      <c r="K51" s="29" t="s">
        <v>35</v>
      </c>
      <c r="L51" s="39"/>
      <c r="M51" s="153" t="s">
        <v>81</v>
      </c>
      <c r="N51" s="27" t="s">
        <v>76</v>
      </c>
      <c r="P51" s="32"/>
      <c r="Q51" s="27"/>
      <c r="R51" s="27"/>
      <c r="S51" s="27"/>
      <c r="T51" s="28"/>
      <c r="U51" s="27"/>
      <c r="V51" s="27"/>
      <c r="W51" s="28"/>
      <c r="X51" s="33"/>
      <c r="Y51" s="32"/>
      <c r="Z51" s="59"/>
      <c r="AA51" s="60"/>
      <c r="AB51" s="61"/>
      <c r="AC51" s="27"/>
      <c r="AD51" s="27"/>
      <c r="AE51" s="33"/>
      <c r="AG51" s="25"/>
      <c r="AH51" s="34"/>
      <c r="AI51" s="27"/>
      <c r="AJ51" s="27"/>
      <c r="AK51" s="27"/>
      <c r="AL51" s="25"/>
      <c r="AM51" s="34"/>
      <c r="AN51" s="27"/>
      <c r="AO51" s="27"/>
      <c r="AP51" s="36"/>
      <c r="AQ51" s="37"/>
      <c r="AR51" s="32"/>
      <c r="AS51" s="25" t="s">
        <v>79</v>
      </c>
      <c r="AT51" s="27" t="s">
        <v>52</v>
      </c>
      <c r="AU51" s="58" t="s">
        <v>81</v>
      </c>
      <c r="AW51" s="25"/>
      <c r="AX51" s="27"/>
      <c r="AY51" s="27"/>
      <c r="AZ51" s="32"/>
      <c r="BA51" s="41"/>
    </row>
    <row r="52" spans="1:53" x14ac:dyDescent="0.2">
      <c r="A52" s="25">
        <v>45</v>
      </c>
      <c r="B52" s="26"/>
      <c r="C52" s="27"/>
      <c r="D52" s="25"/>
      <c r="E52" s="28"/>
      <c r="F52" s="27"/>
      <c r="G52" s="28"/>
      <c r="H52" s="27"/>
      <c r="I52" s="28"/>
      <c r="J52" s="27">
        <v>1.2</v>
      </c>
      <c r="K52" s="29" t="s">
        <v>35</v>
      </c>
      <c r="L52" s="39"/>
      <c r="M52" s="31"/>
      <c r="N52" s="27" t="s">
        <v>76</v>
      </c>
      <c r="P52" s="32"/>
      <c r="Q52" s="25"/>
      <c r="R52" s="27"/>
      <c r="S52" s="27"/>
      <c r="T52" s="28"/>
      <c r="U52" s="27"/>
      <c r="V52" s="27"/>
      <c r="W52" s="28"/>
      <c r="X52" s="33"/>
      <c r="Y52" s="32"/>
      <c r="Z52" s="25"/>
      <c r="AA52" s="27"/>
      <c r="AB52" s="28"/>
      <c r="AC52" s="27"/>
      <c r="AD52" s="27"/>
      <c r="AE52" s="33"/>
      <c r="AG52" s="25"/>
      <c r="AH52" s="34"/>
      <c r="AI52" s="27"/>
      <c r="AJ52" s="27"/>
      <c r="AK52" s="27"/>
      <c r="AL52" s="25"/>
      <c r="AM52" s="34"/>
      <c r="AN52" s="27"/>
      <c r="AO52" s="27"/>
      <c r="AP52" s="36"/>
      <c r="AQ52" s="37"/>
      <c r="AR52" s="32"/>
      <c r="AS52" s="25" t="s">
        <v>82</v>
      </c>
      <c r="AT52" s="27" t="s">
        <v>52</v>
      </c>
      <c r="AW52" s="25"/>
      <c r="AX52" s="27"/>
      <c r="AY52" s="27"/>
      <c r="AZ52" s="32"/>
      <c r="BA52" s="41"/>
    </row>
    <row r="53" spans="1:53" x14ac:dyDescent="0.2">
      <c r="A53" s="25">
        <v>46</v>
      </c>
      <c r="B53" s="26"/>
      <c r="C53" s="27"/>
      <c r="D53" s="25"/>
      <c r="E53" s="28"/>
      <c r="F53" s="27"/>
      <c r="G53" s="28"/>
      <c r="H53" s="27"/>
      <c r="I53" s="28"/>
      <c r="J53" s="27">
        <v>1.2</v>
      </c>
      <c r="K53" s="29" t="s">
        <v>35</v>
      </c>
      <c r="L53" s="39"/>
      <c r="M53" s="31"/>
      <c r="N53" s="27" t="s">
        <v>76</v>
      </c>
      <c r="P53" s="32"/>
      <c r="Q53" s="25"/>
      <c r="R53" s="27"/>
      <c r="S53" s="27"/>
      <c r="T53" s="28"/>
      <c r="U53" s="27"/>
      <c r="V53" s="27"/>
      <c r="W53" s="28"/>
      <c r="X53" s="33"/>
      <c r="Y53" s="32"/>
      <c r="Z53" s="25"/>
      <c r="AA53" s="27"/>
      <c r="AB53" s="28"/>
      <c r="AC53" s="27"/>
      <c r="AD53" s="27"/>
      <c r="AE53" s="33"/>
      <c r="AG53" s="25"/>
      <c r="AH53" s="34"/>
      <c r="AI53" s="27"/>
      <c r="AJ53" s="27"/>
      <c r="AK53" s="27"/>
      <c r="AL53" s="25"/>
      <c r="AM53" s="34"/>
      <c r="AN53" s="27"/>
      <c r="AO53" s="27"/>
      <c r="AP53" s="36"/>
      <c r="AQ53" s="37"/>
      <c r="AR53" s="32"/>
      <c r="AS53" s="25" t="s">
        <v>82</v>
      </c>
      <c r="AT53" s="27" t="s">
        <v>52</v>
      </c>
      <c r="AU53" s="27"/>
      <c r="AW53" s="25"/>
      <c r="AX53" s="27"/>
      <c r="AY53" s="27"/>
      <c r="AZ53" s="32"/>
      <c r="BA53" s="41"/>
    </row>
    <row r="54" spans="1:53" x14ac:dyDescent="0.2">
      <c r="A54" s="25">
        <v>47</v>
      </c>
      <c r="B54" s="26"/>
      <c r="C54" s="27"/>
      <c r="D54" s="25"/>
      <c r="E54" s="28"/>
      <c r="F54" s="27"/>
      <c r="G54" s="28"/>
      <c r="H54" s="27"/>
      <c r="I54" s="28"/>
      <c r="J54" s="27">
        <v>1.2</v>
      </c>
      <c r="K54" s="29" t="s">
        <v>35</v>
      </c>
      <c r="L54" s="39"/>
      <c r="M54" s="31"/>
      <c r="N54" s="27" t="s">
        <v>76</v>
      </c>
      <c r="P54" s="32"/>
      <c r="Q54" s="25"/>
      <c r="R54" s="27"/>
      <c r="S54" s="27"/>
      <c r="T54" s="28"/>
      <c r="U54" s="27"/>
      <c r="V54" s="27"/>
      <c r="W54" s="28"/>
      <c r="X54" s="33"/>
      <c r="Y54" s="32"/>
      <c r="Z54" s="25"/>
      <c r="AA54" s="27"/>
      <c r="AB54" s="28"/>
      <c r="AC54" s="27"/>
      <c r="AD54" s="27"/>
      <c r="AE54" s="33"/>
      <c r="AG54" s="25"/>
      <c r="AH54" s="34"/>
      <c r="AI54" s="27"/>
      <c r="AJ54" s="27"/>
      <c r="AK54" s="27"/>
      <c r="AL54" s="25"/>
      <c r="AM54" s="34"/>
      <c r="AN54" s="27"/>
      <c r="AO54" s="27"/>
      <c r="AP54" s="36"/>
      <c r="AQ54" s="37"/>
      <c r="AR54" s="32"/>
      <c r="AS54" s="25" t="s">
        <v>82</v>
      </c>
      <c r="AT54" s="27" t="s">
        <v>52</v>
      </c>
      <c r="AU54" s="27"/>
      <c r="AW54" s="25"/>
      <c r="AX54" s="27"/>
      <c r="AY54" s="27"/>
      <c r="AZ54" s="32"/>
      <c r="BA54" s="41"/>
    </row>
    <row r="55" spans="1:53" x14ac:dyDescent="0.2">
      <c r="A55" s="25">
        <v>48</v>
      </c>
      <c r="B55" s="26"/>
      <c r="C55" s="27"/>
      <c r="D55" s="25"/>
      <c r="E55" s="28"/>
      <c r="F55" s="27"/>
      <c r="G55" s="28"/>
      <c r="H55" s="27"/>
      <c r="I55" s="28"/>
      <c r="J55" s="27">
        <v>1.2</v>
      </c>
      <c r="K55" s="29" t="s">
        <v>35</v>
      </c>
      <c r="M55" s="31"/>
      <c r="N55" s="27" t="s">
        <v>76</v>
      </c>
      <c r="P55" s="32"/>
      <c r="Q55" s="25"/>
      <c r="R55" s="27"/>
      <c r="S55" s="27"/>
      <c r="T55" s="28"/>
      <c r="U55" s="27"/>
      <c r="V55" s="27"/>
      <c r="W55" s="28"/>
      <c r="X55" s="33"/>
      <c r="Y55" s="32"/>
      <c r="Z55" s="25"/>
      <c r="AA55" s="27"/>
      <c r="AB55" s="28"/>
      <c r="AC55" s="27"/>
      <c r="AD55" s="27"/>
      <c r="AE55" s="33"/>
      <c r="AG55" s="25"/>
      <c r="AH55" s="34"/>
      <c r="AI55" s="27"/>
      <c r="AJ55" s="27"/>
      <c r="AK55" s="27"/>
      <c r="AL55" s="25"/>
      <c r="AM55" s="34"/>
      <c r="AN55" s="27"/>
      <c r="AO55" s="27"/>
      <c r="AP55" s="36"/>
      <c r="AQ55" s="37"/>
      <c r="AR55" s="32"/>
      <c r="AS55" s="25" t="s">
        <v>82</v>
      </c>
      <c r="AT55" s="27" t="s">
        <v>52</v>
      </c>
      <c r="AU55" s="27"/>
      <c r="AW55" s="25"/>
      <c r="AX55" s="27"/>
      <c r="AY55" s="27"/>
      <c r="AZ55" s="32"/>
      <c r="BA55" s="41"/>
    </row>
    <row r="56" spans="1:53" ht="16" thickBot="1" x14ac:dyDescent="0.25">
      <c r="A56" s="25">
        <v>49</v>
      </c>
      <c r="B56" s="26"/>
      <c r="C56" s="27"/>
      <c r="D56" s="25"/>
      <c r="E56" s="28"/>
      <c r="F56" s="27"/>
      <c r="G56" s="28"/>
      <c r="H56" s="27"/>
      <c r="I56" s="28"/>
      <c r="J56" s="27">
        <v>1.2</v>
      </c>
      <c r="K56" s="29" t="s">
        <v>35</v>
      </c>
      <c r="L56" s="39"/>
      <c r="M56" s="31"/>
      <c r="N56" s="27" t="s">
        <v>76</v>
      </c>
      <c r="P56" s="32"/>
      <c r="Q56" s="25"/>
      <c r="R56" s="27"/>
      <c r="S56" s="27"/>
      <c r="T56" s="28"/>
      <c r="U56" s="27"/>
      <c r="V56" s="27"/>
      <c r="W56" s="28"/>
      <c r="X56" s="33"/>
      <c r="Y56" s="32"/>
      <c r="Z56" s="25"/>
      <c r="AA56" s="27"/>
      <c r="AB56" s="28"/>
      <c r="AC56" s="27"/>
      <c r="AD56" s="27"/>
      <c r="AE56" s="33"/>
      <c r="AG56" s="25"/>
      <c r="AH56" s="34"/>
      <c r="AI56" s="27"/>
      <c r="AJ56" s="27"/>
      <c r="AK56" s="27"/>
      <c r="AL56" s="25"/>
      <c r="AM56" s="34"/>
      <c r="AN56" s="27"/>
      <c r="AO56" s="27"/>
      <c r="AP56" s="36"/>
      <c r="AQ56" s="37"/>
      <c r="AR56" s="32"/>
      <c r="AS56" s="25" t="s">
        <v>82</v>
      </c>
      <c r="AT56" s="27" t="s">
        <v>52</v>
      </c>
      <c r="AU56" s="27"/>
      <c r="AW56" s="25"/>
      <c r="AX56" s="27"/>
      <c r="AY56" s="27"/>
      <c r="AZ56" s="32"/>
      <c r="BA56" s="41"/>
    </row>
    <row r="57" spans="1:53" ht="16" thickBot="1" x14ac:dyDescent="0.25">
      <c r="A57" s="25">
        <v>50</v>
      </c>
      <c r="B57" s="26"/>
      <c r="C57" s="27"/>
      <c r="D57" s="25"/>
      <c r="E57" s="28"/>
      <c r="F57" s="27"/>
      <c r="G57" s="28"/>
      <c r="H57" s="27"/>
      <c r="I57" s="28"/>
      <c r="J57" s="27">
        <v>1.2</v>
      </c>
      <c r="K57" s="29" t="s">
        <v>35</v>
      </c>
      <c r="L57" s="44" t="s">
        <v>83</v>
      </c>
      <c r="M57" s="153" t="s">
        <v>174</v>
      </c>
      <c r="N57" s="27" t="s">
        <v>76</v>
      </c>
      <c r="O57" s="45" t="s">
        <v>84</v>
      </c>
      <c r="P57" s="46" t="s">
        <v>85</v>
      </c>
      <c r="Q57" s="25"/>
      <c r="R57" s="27"/>
      <c r="S57" s="27"/>
      <c r="T57" s="28"/>
      <c r="U57" s="27"/>
      <c r="V57" s="27"/>
      <c r="W57" s="28"/>
      <c r="X57" s="33"/>
      <c r="Y57" s="32"/>
      <c r="Z57" s="25"/>
      <c r="AA57" s="27"/>
      <c r="AB57" s="28"/>
      <c r="AC57" s="27"/>
      <c r="AD57" s="27"/>
      <c r="AE57" s="33"/>
      <c r="AG57" s="25"/>
      <c r="AH57" s="34"/>
      <c r="AI57" s="27"/>
      <c r="AJ57" s="27"/>
      <c r="AK57" s="27"/>
      <c r="AL57" s="25"/>
      <c r="AM57" s="34"/>
      <c r="AN57" s="27"/>
      <c r="AO57" s="27"/>
      <c r="AP57" s="36"/>
      <c r="AQ57" s="37"/>
      <c r="AR57" s="32"/>
      <c r="AS57" s="25" t="s">
        <v>86</v>
      </c>
      <c r="AT57" s="27" t="s">
        <v>87</v>
      </c>
      <c r="AU57" s="58" t="s">
        <v>88</v>
      </c>
      <c r="AW57" s="25"/>
      <c r="AX57" s="27"/>
      <c r="AY57" s="27"/>
      <c r="AZ57" s="32"/>
      <c r="BA57" s="41"/>
    </row>
    <row r="58" spans="1:53" ht="16" thickBot="1" x14ac:dyDescent="0.25">
      <c r="A58" s="25">
        <v>51</v>
      </c>
      <c r="B58" s="26"/>
      <c r="C58" s="27"/>
      <c r="D58" s="25"/>
      <c r="E58" s="28"/>
      <c r="F58" s="27"/>
      <c r="G58" s="28"/>
      <c r="H58" s="27"/>
      <c r="I58" s="28"/>
      <c r="J58" s="27">
        <v>2</v>
      </c>
      <c r="K58" s="29" t="s">
        <v>35</v>
      </c>
      <c r="L58" s="88" t="s">
        <v>89</v>
      </c>
      <c r="M58" s="31"/>
      <c r="N58" s="27"/>
      <c r="P58" s="46"/>
      <c r="Q58" s="27"/>
      <c r="R58" s="27"/>
      <c r="S58" s="27"/>
      <c r="T58" s="28"/>
      <c r="U58" s="27"/>
      <c r="V58" s="27"/>
      <c r="W58" s="28"/>
      <c r="X58" s="33"/>
      <c r="Y58" s="32"/>
      <c r="Z58" s="25"/>
      <c r="AA58" s="27"/>
      <c r="AB58" s="28"/>
      <c r="AC58" s="27"/>
      <c r="AD58" s="27"/>
      <c r="AE58" s="33"/>
      <c r="AG58" s="25"/>
      <c r="AH58" s="34"/>
      <c r="AI58" s="27"/>
      <c r="AJ58" s="27"/>
      <c r="AK58" s="27"/>
      <c r="AL58" s="25"/>
      <c r="AM58" s="34"/>
      <c r="AN58" s="27"/>
      <c r="AO58" s="27"/>
      <c r="AP58" s="36"/>
      <c r="AQ58" s="37"/>
      <c r="AR58" s="32"/>
      <c r="AS58" s="25" t="s">
        <v>86</v>
      </c>
      <c r="AT58" s="27" t="s">
        <v>87</v>
      </c>
      <c r="AU58" s="27"/>
      <c r="AW58" s="25"/>
      <c r="AX58" s="27"/>
      <c r="AY58" s="27"/>
      <c r="AZ58" s="32"/>
      <c r="BA58" s="41"/>
    </row>
    <row r="59" spans="1:53" ht="16" thickBot="1" x14ac:dyDescent="0.25">
      <c r="A59" s="25">
        <v>52</v>
      </c>
      <c r="B59" s="26"/>
      <c r="C59" s="27"/>
      <c r="D59" s="25"/>
      <c r="E59" s="28"/>
      <c r="F59" s="27"/>
      <c r="G59" s="28"/>
      <c r="H59" s="27"/>
      <c r="I59" s="28"/>
      <c r="J59" s="27">
        <v>2</v>
      </c>
      <c r="K59" s="29" t="s">
        <v>35</v>
      </c>
      <c r="L59" s="39"/>
      <c r="M59" s="31"/>
      <c r="N59" s="27"/>
      <c r="P59" s="32"/>
      <c r="Q59" s="25"/>
      <c r="R59" s="27"/>
      <c r="S59" s="27"/>
      <c r="T59" s="28"/>
      <c r="U59" s="27"/>
      <c r="V59" s="27"/>
      <c r="W59" s="28"/>
      <c r="X59" s="33"/>
      <c r="Y59" s="32"/>
      <c r="Z59" s="25"/>
      <c r="AA59" s="27"/>
      <c r="AB59" s="28"/>
      <c r="AC59" s="27"/>
      <c r="AD59" s="27"/>
      <c r="AE59" s="33"/>
      <c r="AG59" s="25"/>
      <c r="AH59" s="34"/>
      <c r="AI59" s="27"/>
      <c r="AJ59" s="27"/>
      <c r="AK59" s="27"/>
      <c r="AL59" s="25"/>
      <c r="AM59" s="34"/>
      <c r="AN59" s="27"/>
      <c r="AO59" s="27"/>
      <c r="AP59" s="36"/>
      <c r="AQ59" s="37"/>
      <c r="AR59" s="32"/>
      <c r="AS59" s="25" t="s">
        <v>86</v>
      </c>
      <c r="AT59" s="27" t="s">
        <v>87</v>
      </c>
      <c r="AW59" s="25"/>
      <c r="AX59" s="27"/>
      <c r="AY59" s="27"/>
      <c r="AZ59" s="32"/>
      <c r="BA59" s="41"/>
    </row>
    <row r="60" spans="1:53" ht="16" thickBot="1" x14ac:dyDescent="0.25">
      <c r="A60" s="25">
        <v>53</v>
      </c>
      <c r="B60" s="26"/>
      <c r="C60" s="27"/>
      <c r="D60" s="25"/>
      <c r="E60" s="28"/>
      <c r="F60" s="27"/>
      <c r="G60" s="28"/>
      <c r="H60" s="27"/>
      <c r="I60" s="28"/>
      <c r="J60" s="27">
        <v>2</v>
      </c>
      <c r="K60" s="29" t="s">
        <v>35</v>
      </c>
      <c r="L60" s="39"/>
      <c r="M60" s="153" t="s">
        <v>175</v>
      </c>
      <c r="N60" s="27"/>
      <c r="P60" s="32"/>
      <c r="Q60" s="25"/>
      <c r="R60" s="27"/>
      <c r="S60" s="27"/>
      <c r="T60" s="28"/>
      <c r="U60" s="27"/>
      <c r="V60" s="27"/>
      <c r="W60" s="28"/>
      <c r="X60" s="33"/>
      <c r="Y60" s="32"/>
      <c r="Z60" s="25"/>
      <c r="AA60" s="27"/>
      <c r="AB60" s="28"/>
      <c r="AC60" s="27"/>
      <c r="AD60" s="27"/>
      <c r="AE60" s="33"/>
      <c r="AG60" s="25"/>
      <c r="AH60" s="34"/>
      <c r="AI60" s="27"/>
      <c r="AJ60" s="27"/>
      <c r="AK60" s="27"/>
      <c r="AL60" s="25"/>
      <c r="AM60" s="34"/>
      <c r="AN60" s="27"/>
      <c r="AO60" s="27"/>
      <c r="AP60" s="36"/>
      <c r="AQ60" s="37"/>
      <c r="AR60" s="32"/>
      <c r="AS60" s="25" t="s">
        <v>86</v>
      </c>
      <c r="AT60" s="27" t="s">
        <v>87</v>
      </c>
      <c r="AU60" s="27"/>
      <c r="AW60" s="25" t="s">
        <v>90</v>
      </c>
      <c r="AX60" s="27" t="s">
        <v>91</v>
      </c>
      <c r="AY60" s="89" t="s">
        <v>92</v>
      </c>
      <c r="AZ60" s="32"/>
      <c r="BA60" s="41"/>
    </row>
    <row r="61" spans="1:53" ht="16" thickBot="1" x14ac:dyDescent="0.25">
      <c r="A61" s="25">
        <v>54</v>
      </c>
      <c r="B61" s="26"/>
      <c r="C61" s="27"/>
      <c r="D61" s="25"/>
      <c r="E61" s="28"/>
      <c r="F61" s="27"/>
      <c r="G61" s="28"/>
      <c r="H61" s="27"/>
      <c r="I61" s="28"/>
      <c r="J61" s="27">
        <v>2</v>
      </c>
      <c r="K61" s="29" t="s">
        <v>35</v>
      </c>
      <c r="L61" s="39"/>
      <c r="M61" s="31"/>
      <c r="N61" s="27"/>
      <c r="P61" s="32"/>
      <c r="Q61" s="25"/>
      <c r="R61" s="27"/>
      <c r="S61" s="27"/>
      <c r="T61" s="28"/>
      <c r="U61" s="27"/>
      <c r="V61" s="27"/>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U61" s="27"/>
      <c r="AW61" s="25" t="s">
        <v>90</v>
      </c>
      <c r="AX61" s="27" t="s">
        <v>91</v>
      </c>
      <c r="AY61" s="27"/>
      <c r="AZ61" s="32"/>
      <c r="BA61" s="41"/>
    </row>
    <row r="62" spans="1:53" ht="16" thickBot="1" x14ac:dyDescent="0.25">
      <c r="A62" s="25">
        <v>55</v>
      </c>
      <c r="B62" s="26"/>
      <c r="C62" s="27"/>
      <c r="D62" s="25"/>
      <c r="E62" s="28"/>
      <c r="F62" s="27"/>
      <c r="G62" s="28"/>
      <c r="H62" s="27"/>
      <c r="I62" s="28"/>
      <c r="J62" s="27">
        <v>2</v>
      </c>
      <c r="K62" s="29" t="s">
        <v>35</v>
      </c>
      <c r="L62" s="39"/>
      <c r="M62" s="31"/>
      <c r="N62" s="27"/>
      <c r="P62" s="32"/>
      <c r="Q62" s="25"/>
      <c r="R62" s="27"/>
      <c r="S62" s="27"/>
      <c r="T62" s="28"/>
      <c r="U62" s="27"/>
      <c r="V62" s="27"/>
      <c r="W62" s="28"/>
      <c r="X62" s="33"/>
      <c r="Y62" s="32"/>
      <c r="Z62" s="25"/>
      <c r="AA62" s="27"/>
      <c r="AB62" s="28"/>
      <c r="AC62" s="27"/>
      <c r="AD62" s="27"/>
      <c r="AE62" s="33"/>
      <c r="AG62" s="25"/>
      <c r="AH62" s="34"/>
      <c r="AI62" s="27"/>
      <c r="AJ62" s="27"/>
      <c r="AK62" s="27"/>
      <c r="AL62" s="25"/>
      <c r="AM62" s="34"/>
      <c r="AN62" s="27"/>
      <c r="AO62" s="27"/>
      <c r="AP62" s="36"/>
      <c r="AQ62" s="82" t="s">
        <v>93</v>
      </c>
      <c r="AR62" s="32"/>
      <c r="AS62" s="25" t="s">
        <v>86</v>
      </c>
      <c r="AT62" s="27" t="s">
        <v>87</v>
      </c>
      <c r="AW62" s="25" t="s">
        <v>90</v>
      </c>
      <c r="AX62" s="27" t="s">
        <v>91</v>
      </c>
      <c r="AY62" s="27"/>
      <c r="AZ62" s="32"/>
      <c r="BA62" s="41"/>
    </row>
    <row r="63" spans="1:53" x14ac:dyDescent="0.2">
      <c r="A63" s="25">
        <v>56</v>
      </c>
      <c r="B63" s="26"/>
      <c r="C63" s="27"/>
      <c r="D63" s="25"/>
      <c r="E63" s="28"/>
      <c r="F63" s="27"/>
      <c r="G63" s="28"/>
      <c r="H63" s="27"/>
      <c r="I63" s="28"/>
      <c r="J63" s="27">
        <v>2</v>
      </c>
      <c r="K63" s="29" t="s">
        <v>35</v>
      </c>
      <c r="L63" s="39"/>
      <c r="M63" s="31"/>
      <c r="N63" s="27"/>
      <c r="P63" s="32"/>
      <c r="Q63" s="25"/>
      <c r="R63" s="27"/>
      <c r="S63" s="27"/>
      <c r="T63" s="28"/>
      <c r="U63" s="27"/>
      <c r="V63" s="27"/>
      <c r="W63" s="28"/>
      <c r="X63" s="33"/>
      <c r="Y63" s="32"/>
      <c r="Z63" s="25"/>
      <c r="AA63" s="27"/>
      <c r="AB63" s="28"/>
      <c r="AC63" s="27"/>
      <c r="AD63" s="27"/>
      <c r="AE63" s="33"/>
      <c r="AG63" s="25"/>
      <c r="AH63" s="34"/>
      <c r="AI63" s="27"/>
      <c r="AJ63" s="27"/>
      <c r="AK63" s="27"/>
      <c r="AL63" s="25"/>
      <c r="AM63" s="34"/>
      <c r="AN63" s="27"/>
      <c r="AO63" s="27"/>
      <c r="AP63" s="36"/>
      <c r="AQ63" s="37"/>
      <c r="AR63" s="32"/>
      <c r="AS63" s="25" t="s">
        <v>86</v>
      </c>
      <c r="AT63" s="27" t="s">
        <v>87</v>
      </c>
      <c r="AU63" s="27"/>
      <c r="AW63" s="25" t="s">
        <v>90</v>
      </c>
      <c r="AX63" s="27" t="s">
        <v>91</v>
      </c>
      <c r="AY63" s="27"/>
      <c r="AZ63" s="32"/>
      <c r="BA63" s="41"/>
    </row>
    <row r="64" spans="1:53" ht="16" thickBot="1" x14ac:dyDescent="0.25">
      <c r="A64" s="25">
        <v>57</v>
      </c>
      <c r="B64" s="26"/>
      <c r="C64" s="27"/>
      <c r="D64" s="25"/>
      <c r="E64" s="28"/>
      <c r="F64" s="27"/>
      <c r="G64" s="28"/>
      <c r="H64" s="27"/>
      <c r="I64" s="28"/>
      <c r="J64" s="27">
        <v>2</v>
      </c>
      <c r="K64" s="29" t="s">
        <v>35</v>
      </c>
      <c r="L64" s="39"/>
      <c r="M64" s="31"/>
      <c r="N64" s="27"/>
      <c r="P64" s="32"/>
      <c r="Q64" s="25"/>
      <c r="R64" s="27"/>
      <c r="S64" s="27"/>
      <c r="T64" s="28"/>
      <c r="U64" s="27"/>
      <c r="V64" s="27"/>
      <c r="W64" s="28"/>
      <c r="X64" s="33"/>
      <c r="Y64" s="32"/>
      <c r="Z64" s="25"/>
      <c r="AA64" s="27"/>
      <c r="AB64" s="28"/>
      <c r="AC64" s="27"/>
      <c r="AD64" s="27"/>
      <c r="AE64" s="33"/>
      <c r="AG64" s="25"/>
      <c r="AH64" s="34"/>
      <c r="AI64" s="27"/>
      <c r="AJ64" s="27"/>
      <c r="AK64" s="27"/>
      <c r="AL64" s="25"/>
      <c r="AM64" s="34"/>
      <c r="AN64" s="27"/>
      <c r="AO64" s="27"/>
      <c r="AP64" s="36"/>
      <c r="AQ64" s="37"/>
      <c r="AR64" s="32"/>
      <c r="AS64" s="25" t="s">
        <v>86</v>
      </c>
      <c r="AT64" s="27" t="s">
        <v>87</v>
      </c>
      <c r="AU64" s="27"/>
      <c r="AW64" s="25" t="s">
        <v>90</v>
      </c>
      <c r="AX64" s="27" t="s">
        <v>91</v>
      </c>
      <c r="AY64" s="27"/>
      <c r="AZ64" s="32"/>
      <c r="BA64" s="41"/>
    </row>
    <row r="65" spans="1:53" ht="16" thickBot="1" x14ac:dyDescent="0.25">
      <c r="A65" s="25">
        <v>58</v>
      </c>
      <c r="B65" s="26"/>
      <c r="C65" s="27"/>
      <c r="D65" s="25"/>
      <c r="E65" s="28"/>
      <c r="F65" s="27"/>
      <c r="G65" s="28"/>
      <c r="H65" s="27"/>
      <c r="I65" s="28"/>
      <c r="J65" s="27">
        <v>2</v>
      </c>
      <c r="K65" s="29" t="s">
        <v>35</v>
      </c>
      <c r="L65" s="39"/>
      <c r="M65" s="31"/>
      <c r="N65" s="27"/>
      <c r="P65" s="32"/>
      <c r="Q65" s="25"/>
      <c r="R65" s="27"/>
      <c r="S65" s="27"/>
      <c r="T65" s="28"/>
      <c r="U65" s="27"/>
      <c r="V65" s="27"/>
      <c r="W65" s="28"/>
      <c r="X65" s="33"/>
      <c r="Y65" s="32"/>
      <c r="Z65" s="25"/>
      <c r="AA65" s="27"/>
      <c r="AB65" s="28"/>
      <c r="AC65" s="27"/>
      <c r="AD65" s="27"/>
      <c r="AE65" s="33"/>
      <c r="AG65" s="25"/>
      <c r="AH65" s="34"/>
      <c r="AI65" s="27"/>
      <c r="AJ65" s="27"/>
      <c r="AK65" s="27"/>
      <c r="AL65" s="25"/>
      <c r="AM65" s="34"/>
      <c r="AN65" s="27"/>
      <c r="AO65" s="27"/>
      <c r="AP65" s="36"/>
      <c r="AQ65" s="37"/>
      <c r="AR65" s="32"/>
      <c r="AS65" s="25" t="s">
        <v>86</v>
      </c>
      <c r="AT65" s="27" t="s">
        <v>87</v>
      </c>
      <c r="AU65" s="27"/>
      <c r="AW65" s="25" t="s">
        <v>90</v>
      </c>
      <c r="AX65" s="27" t="s">
        <v>91</v>
      </c>
      <c r="AY65" s="89" t="s">
        <v>94</v>
      </c>
      <c r="AZ65" s="32"/>
      <c r="BA65" s="41"/>
    </row>
    <row r="66" spans="1:53" ht="16" thickBot="1" x14ac:dyDescent="0.25">
      <c r="A66" s="25">
        <v>59</v>
      </c>
      <c r="B66" s="26"/>
      <c r="C66" s="27"/>
      <c r="D66" s="25"/>
      <c r="E66" s="28"/>
      <c r="F66" s="27"/>
      <c r="G66" s="28"/>
      <c r="H66" s="27"/>
      <c r="I66" s="28"/>
      <c r="J66" s="27">
        <v>2</v>
      </c>
      <c r="K66" s="29" t="s">
        <v>35</v>
      </c>
      <c r="L66" s="39"/>
      <c r="M66" s="31"/>
      <c r="N66" s="27"/>
      <c r="P66" s="32"/>
      <c r="Q66" s="25"/>
      <c r="R66" s="27"/>
      <c r="S66" s="27"/>
      <c r="T66" s="28"/>
      <c r="U66" s="27"/>
      <c r="V66" s="27"/>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27"/>
      <c r="AW66" s="25" t="s">
        <v>90</v>
      </c>
      <c r="AX66" s="27" t="s">
        <v>95</v>
      </c>
      <c r="AY66" s="27"/>
      <c r="AZ66" s="32"/>
      <c r="BA66" s="41"/>
    </row>
    <row r="67" spans="1:53" ht="16" thickBot="1" x14ac:dyDescent="0.25">
      <c r="A67" s="25">
        <v>60</v>
      </c>
      <c r="B67" s="26"/>
      <c r="C67" s="27"/>
      <c r="D67" s="25"/>
      <c r="E67" s="28"/>
      <c r="F67" s="27"/>
      <c r="G67" s="28"/>
      <c r="H67" s="27"/>
      <c r="I67" s="28"/>
      <c r="J67" s="27">
        <v>2</v>
      </c>
      <c r="K67" s="29" t="s">
        <v>35</v>
      </c>
      <c r="L67" s="39"/>
      <c r="M67" s="31"/>
      <c r="N67" s="27"/>
      <c r="P67" s="32"/>
      <c r="Q67" s="25"/>
      <c r="R67" s="27"/>
      <c r="S67" s="27"/>
      <c r="T67" s="28"/>
      <c r="U67" s="27"/>
      <c r="V67" s="27"/>
      <c r="W67" s="28"/>
      <c r="X67" s="33"/>
      <c r="Y67" s="32"/>
      <c r="Z67" s="25"/>
      <c r="AA67" s="27"/>
      <c r="AB67" s="28"/>
      <c r="AC67" s="27"/>
      <c r="AD67" s="27"/>
      <c r="AE67" s="33"/>
      <c r="AG67" s="25"/>
      <c r="AH67" s="34"/>
      <c r="AI67" s="27"/>
      <c r="AJ67" s="27"/>
      <c r="AK67" s="27"/>
      <c r="AL67" s="25"/>
      <c r="AM67" s="34"/>
      <c r="AN67" s="27"/>
      <c r="AO67" s="27"/>
      <c r="AP67" s="36"/>
      <c r="AQ67" s="37"/>
      <c r="AR67" s="32"/>
      <c r="AS67" s="25" t="s">
        <v>96</v>
      </c>
      <c r="AT67" s="27" t="s">
        <v>87</v>
      </c>
      <c r="AU67" s="58" t="s">
        <v>97</v>
      </c>
      <c r="AW67" s="25" t="s">
        <v>90</v>
      </c>
      <c r="AX67" s="27" t="s">
        <v>95</v>
      </c>
      <c r="AY67" s="27"/>
      <c r="AZ67" s="32"/>
      <c r="BA67" s="41"/>
    </row>
    <row r="68" spans="1:53" x14ac:dyDescent="0.2">
      <c r="A68" s="25">
        <v>61</v>
      </c>
      <c r="B68" s="26"/>
      <c r="C68" s="27"/>
      <c r="D68" s="25"/>
      <c r="E68" s="28"/>
      <c r="F68" s="27"/>
      <c r="G68" s="28"/>
      <c r="H68" s="27"/>
      <c r="I68" s="28"/>
      <c r="J68" s="27">
        <v>2</v>
      </c>
      <c r="K68" s="29" t="s">
        <v>35</v>
      </c>
      <c r="L68" s="39"/>
      <c r="M68" s="31"/>
      <c r="N68" s="27"/>
      <c r="P68" s="32"/>
      <c r="Q68" s="25"/>
      <c r="R68" s="27"/>
      <c r="S68" s="27"/>
      <c r="T68" s="28"/>
      <c r="U68" s="27"/>
      <c r="V68" s="27"/>
      <c r="W68" s="28"/>
      <c r="X68" s="33"/>
      <c r="Y68" s="32"/>
      <c r="Z68" s="25"/>
      <c r="AA68" s="27"/>
      <c r="AB68" s="28"/>
      <c r="AC68" s="27"/>
      <c r="AD68" s="27"/>
      <c r="AE68" s="33"/>
      <c r="AG68" s="25"/>
      <c r="AH68" s="34"/>
      <c r="AI68" s="27"/>
      <c r="AJ68" s="27"/>
      <c r="AK68" s="27"/>
      <c r="AL68" s="25"/>
      <c r="AM68" s="34"/>
      <c r="AN68" s="27"/>
      <c r="AO68" s="27"/>
      <c r="AP68" s="36"/>
      <c r="AQ68" s="37"/>
      <c r="AR68" s="32"/>
      <c r="AS68" s="25" t="s">
        <v>96</v>
      </c>
      <c r="AT68" s="27" t="s">
        <v>87</v>
      </c>
      <c r="AU68" s="27"/>
      <c r="AW68" s="25" t="s">
        <v>90</v>
      </c>
      <c r="AX68" s="27" t="s">
        <v>95</v>
      </c>
      <c r="AY68" s="27"/>
      <c r="AZ68" s="32"/>
      <c r="BA68" s="41"/>
    </row>
    <row r="69" spans="1:53" x14ac:dyDescent="0.2">
      <c r="A69" s="25">
        <v>62</v>
      </c>
      <c r="B69" s="26"/>
      <c r="C69" s="27"/>
      <c r="D69" s="25"/>
      <c r="E69" s="28"/>
      <c r="F69" s="27"/>
      <c r="G69" s="28"/>
      <c r="H69" s="27"/>
      <c r="I69" s="28"/>
      <c r="J69" s="27">
        <v>2</v>
      </c>
      <c r="K69" s="29" t="s">
        <v>35</v>
      </c>
      <c r="L69" s="39"/>
      <c r="M69" s="31"/>
      <c r="N69" s="27"/>
      <c r="P69" s="32"/>
      <c r="Q69" s="25"/>
      <c r="R69" s="27"/>
      <c r="S69" s="27"/>
      <c r="T69" s="28"/>
      <c r="U69" s="27"/>
      <c r="V69" s="27"/>
      <c r="W69" s="28"/>
      <c r="X69" s="33"/>
      <c r="Y69" s="32"/>
      <c r="Z69" s="25"/>
      <c r="AA69" s="27"/>
      <c r="AB69" s="28"/>
      <c r="AC69" s="27"/>
      <c r="AD69" s="27"/>
      <c r="AE69" s="33"/>
      <c r="AG69" s="25"/>
      <c r="AH69" s="34"/>
      <c r="AI69" s="27"/>
      <c r="AJ69" s="27"/>
      <c r="AK69" s="27"/>
      <c r="AL69" s="25"/>
      <c r="AM69" s="34"/>
      <c r="AN69" s="27"/>
      <c r="AO69" s="27"/>
      <c r="AP69" s="36"/>
      <c r="AQ69" s="37"/>
      <c r="AR69" s="32"/>
      <c r="AS69" s="25" t="s">
        <v>96</v>
      </c>
      <c r="AT69" s="27" t="s">
        <v>87</v>
      </c>
      <c r="AU69" s="27"/>
      <c r="AW69" s="25" t="s">
        <v>90</v>
      </c>
      <c r="AX69" s="27" t="s">
        <v>95</v>
      </c>
      <c r="AY69" s="27"/>
      <c r="AZ69" s="32"/>
      <c r="BA69" s="41"/>
    </row>
    <row r="70" spans="1:53" x14ac:dyDescent="0.2">
      <c r="A70" s="25">
        <v>63</v>
      </c>
      <c r="B70" s="26"/>
      <c r="C70" s="27"/>
      <c r="D70" s="25"/>
      <c r="E70" s="28"/>
      <c r="F70" s="27"/>
      <c r="G70" s="28"/>
      <c r="H70" s="27"/>
      <c r="I70" s="28"/>
      <c r="J70" s="27">
        <v>2</v>
      </c>
      <c r="K70" s="29" t="s">
        <v>35</v>
      </c>
      <c r="L70" s="39"/>
      <c r="M70" s="31"/>
      <c r="N70" s="27"/>
      <c r="P70" s="32"/>
      <c r="Q70" s="25"/>
      <c r="R70" s="27"/>
      <c r="S70" s="27"/>
      <c r="T70" s="28"/>
      <c r="U70" s="27"/>
      <c r="V70" s="27"/>
      <c r="W70" s="28"/>
      <c r="X70" s="33"/>
      <c r="Y70" s="32"/>
      <c r="Z70" s="25"/>
      <c r="AA70" s="27"/>
      <c r="AB70" s="28"/>
      <c r="AC70" s="27"/>
      <c r="AD70" s="27"/>
      <c r="AE70" s="33"/>
      <c r="AG70" s="25"/>
      <c r="AH70" s="34"/>
      <c r="AI70" s="27"/>
      <c r="AJ70" s="27"/>
      <c r="AK70" s="27"/>
      <c r="AL70" s="25"/>
      <c r="AM70" s="34"/>
      <c r="AN70" s="27"/>
      <c r="AO70" s="27"/>
      <c r="AP70" s="36"/>
      <c r="AQ70" s="37"/>
      <c r="AR70" s="32"/>
      <c r="AS70" s="25" t="s">
        <v>96</v>
      </c>
      <c r="AT70" s="27" t="s">
        <v>87</v>
      </c>
      <c r="AU70" s="27"/>
      <c r="AW70" s="25" t="s">
        <v>90</v>
      </c>
      <c r="AX70" s="27" t="s">
        <v>95</v>
      </c>
      <c r="AY70" s="27"/>
      <c r="AZ70" s="32"/>
      <c r="BA70" s="41"/>
    </row>
    <row r="71" spans="1:53" x14ac:dyDescent="0.2">
      <c r="A71" s="25">
        <v>64</v>
      </c>
      <c r="B71" s="26"/>
      <c r="C71" s="27"/>
      <c r="D71" s="25"/>
      <c r="E71" s="28"/>
      <c r="F71" s="27"/>
      <c r="G71" s="28"/>
      <c r="H71" s="27"/>
      <c r="I71" s="28"/>
      <c r="J71" s="27">
        <v>2</v>
      </c>
      <c r="K71" s="29" t="s">
        <v>35</v>
      </c>
      <c r="L71" s="39"/>
      <c r="M71" s="31"/>
      <c r="N71" s="27"/>
      <c r="P71" s="32"/>
      <c r="Q71" s="25"/>
      <c r="R71" s="27"/>
      <c r="S71" s="27"/>
      <c r="T71" s="28"/>
      <c r="U71" s="27"/>
      <c r="V71" s="27"/>
      <c r="W71" s="28"/>
      <c r="X71" s="33"/>
      <c r="Y71" s="32"/>
      <c r="Z71" s="25"/>
      <c r="AA71" s="27"/>
      <c r="AB71" s="28"/>
      <c r="AC71" s="27"/>
      <c r="AD71" s="27"/>
      <c r="AE71" s="33"/>
      <c r="AG71" s="25"/>
      <c r="AH71" s="34"/>
      <c r="AI71" s="27"/>
      <c r="AJ71" s="27"/>
      <c r="AK71" s="27"/>
      <c r="AL71" s="25"/>
      <c r="AM71" s="34"/>
      <c r="AN71" s="27"/>
      <c r="AO71" s="27"/>
      <c r="AP71" s="36"/>
      <c r="AQ71" s="37"/>
      <c r="AR71" s="32"/>
      <c r="AS71" s="25" t="s">
        <v>96</v>
      </c>
      <c r="AT71" s="27" t="s">
        <v>87</v>
      </c>
      <c r="AU71" s="27"/>
      <c r="AW71" s="25" t="s">
        <v>90</v>
      </c>
      <c r="AX71" s="27" t="s">
        <v>95</v>
      </c>
      <c r="AY71" s="27"/>
      <c r="AZ71" s="32"/>
      <c r="BA71" s="41"/>
    </row>
    <row r="72" spans="1:53" x14ac:dyDescent="0.2">
      <c r="A72" s="25">
        <v>65</v>
      </c>
      <c r="B72" s="26"/>
      <c r="C72" s="27"/>
      <c r="D72" s="25"/>
      <c r="E72" s="28"/>
      <c r="F72" s="27"/>
      <c r="G72" s="28"/>
      <c r="H72" s="27"/>
      <c r="I72" s="28"/>
      <c r="J72" s="27">
        <v>2</v>
      </c>
      <c r="K72" s="29" t="s">
        <v>35</v>
      </c>
      <c r="L72" s="39"/>
      <c r="M72" s="31"/>
      <c r="N72" s="27"/>
      <c r="P72" s="32"/>
      <c r="Q72" s="25"/>
      <c r="R72" s="27"/>
      <c r="S72" s="27"/>
      <c r="T72" s="28"/>
      <c r="U72" s="27"/>
      <c r="V72" s="27"/>
      <c r="W72" s="28"/>
      <c r="X72" s="33"/>
      <c r="Y72" s="32"/>
      <c r="Z72" s="25"/>
      <c r="AA72" s="27"/>
      <c r="AB72" s="28"/>
      <c r="AC72" s="27"/>
      <c r="AD72" s="27"/>
      <c r="AE72" s="33"/>
      <c r="AG72" s="25"/>
      <c r="AH72" s="34"/>
      <c r="AI72" s="27"/>
      <c r="AJ72" s="27"/>
      <c r="AK72" s="27"/>
      <c r="AL72" s="25"/>
      <c r="AM72" s="34"/>
      <c r="AN72" s="27"/>
      <c r="AO72" s="27"/>
      <c r="AP72" s="36"/>
      <c r="AQ72" s="37"/>
      <c r="AR72" s="32"/>
      <c r="AS72" s="25" t="s">
        <v>96</v>
      </c>
      <c r="AT72" s="27" t="s">
        <v>87</v>
      </c>
      <c r="AU72" s="27"/>
      <c r="AW72" s="25" t="s">
        <v>90</v>
      </c>
      <c r="AX72" s="27" t="s">
        <v>95</v>
      </c>
      <c r="AY72" s="27"/>
      <c r="AZ72" s="32"/>
      <c r="BA72" s="41"/>
    </row>
    <row r="73" spans="1:53" x14ac:dyDescent="0.2">
      <c r="A73" s="25">
        <v>66</v>
      </c>
      <c r="B73" s="26"/>
      <c r="C73" s="27"/>
      <c r="D73" s="25"/>
      <c r="E73" s="28"/>
      <c r="F73" s="27"/>
      <c r="G73" s="28"/>
      <c r="H73" s="27"/>
      <c r="I73" s="28"/>
      <c r="J73" s="27">
        <v>2</v>
      </c>
      <c r="K73" s="29" t="s">
        <v>35</v>
      </c>
      <c r="L73" s="39"/>
      <c r="M73" s="31"/>
      <c r="N73" s="27"/>
      <c r="P73" s="32"/>
      <c r="Q73" s="25"/>
      <c r="R73" s="27"/>
      <c r="S73" s="27"/>
      <c r="T73" s="28"/>
      <c r="U73" s="27"/>
      <c r="V73" s="27"/>
      <c r="W73" s="28"/>
      <c r="X73" s="33"/>
      <c r="Y73" s="32"/>
      <c r="Z73" s="25"/>
      <c r="AA73" s="27"/>
      <c r="AB73" s="28"/>
      <c r="AC73" s="27"/>
      <c r="AD73" s="27"/>
      <c r="AE73" s="33"/>
      <c r="AG73" s="25"/>
      <c r="AH73" s="34"/>
      <c r="AI73" s="27"/>
      <c r="AJ73" s="27"/>
      <c r="AK73" s="27"/>
      <c r="AL73" s="25"/>
      <c r="AM73" s="34"/>
      <c r="AN73" s="27"/>
      <c r="AO73" s="27"/>
      <c r="AP73" s="36"/>
      <c r="AQ73" s="37"/>
      <c r="AR73" s="32"/>
      <c r="AS73" s="25" t="s">
        <v>96</v>
      </c>
      <c r="AT73" s="27" t="s">
        <v>87</v>
      </c>
      <c r="AU73" s="27"/>
      <c r="AW73" s="25" t="s">
        <v>90</v>
      </c>
      <c r="AX73" s="27" t="s">
        <v>95</v>
      </c>
      <c r="AY73" s="27"/>
      <c r="AZ73" s="32"/>
      <c r="BA73" s="41"/>
    </row>
    <row r="74" spans="1:53" x14ac:dyDescent="0.2">
      <c r="A74" s="25">
        <v>67</v>
      </c>
      <c r="B74" s="26"/>
      <c r="C74" s="27"/>
      <c r="D74" s="25"/>
      <c r="E74" s="28"/>
      <c r="F74" s="27"/>
      <c r="G74" s="28"/>
      <c r="H74" s="27"/>
      <c r="I74" s="28"/>
      <c r="J74" s="27">
        <v>2</v>
      </c>
      <c r="K74" s="29" t="s">
        <v>35</v>
      </c>
      <c r="L74" s="39"/>
      <c r="M74" s="31"/>
      <c r="N74" s="27"/>
      <c r="P74" s="32"/>
      <c r="Q74" s="25"/>
      <c r="R74" s="27"/>
      <c r="S74" s="27"/>
      <c r="T74" s="28"/>
      <c r="U74" s="27"/>
      <c r="V74" s="27"/>
      <c r="W74" s="28"/>
      <c r="X74" s="33"/>
      <c r="Y74" s="32"/>
      <c r="Z74" s="25"/>
      <c r="AA74" s="27"/>
      <c r="AB74" s="28"/>
      <c r="AC74" s="27"/>
      <c r="AD74" s="27"/>
      <c r="AE74" s="33"/>
      <c r="AG74" s="25"/>
      <c r="AH74" s="34"/>
      <c r="AI74" s="27"/>
      <c r="AJ74" s="27"/>
      <c r="AK74" s="27"/>
      <c r="AL74" s="25"/>
      <c r="AM74" s="34"/>
      <c r="AN74" s="27"/>
      <c r="AO74" s="27"/>
      <c r="AP74" s="36"/>
      <c r="AQ74" s="37"/>
      <c r="AR74" s="32"/>
      <c r="AS74" s="25" t="s">
        <v>96</v>
      </c>
      <c r="AT74" s="27" t="s">
        <v>87</v>
      </c>
      <c r="AU74" s="27"/>
      <c r="AW74" s="25" t="s">
        <v>90</v>
      </c>
      <c r="AX74" s="27" t="s">
        <v>95</v>
      </c>
      <c r="AY74" s="27"/>
      <c r="AZ74" s="32"/>
      <c r="BA74" s="41"/>
    </row>
    <row r="75" spans="1:53" x14ac:dyDescent="0.2">
      <c r="A75" s="25">
        <v>68</v>
      </c>
      <c r="B75" s="26"/>
      <c r="C75" s="27"/>
      <c r="D75" s="25"/>
      <c r="E75" s="28"/>
      <c r="F75" s="27"/>
      <c r="G75" s="28"/>
      <c r="H75" s="27"/>
      <c r="I75" s="28"/>
      <c r="J75" s="27">
        <v>2</v>
      </c>
      <c r="K75" s="29" t="s">
        <v>35</v>
      </c>
      <c r="L75" s="39"/>
      <c r="M75" s="31"/>
      <c r="N75" s="27"/>
      <c r="P75" s="32"/>
      <c r="Q75" s="25"/>
      <c r="R75" s="27"/>
      <c r="S75" s="27"/>
      <c r="T75" s="28"/>
      <c r="U75" s="27"/>
      <c r="V75" s="27"/>
      <c r="W75" s="28"/>
      <c r="X75" s="33"/>
      <c r="Y75" s="32"/>
      <c r="Z75" s="25"/>
      <c r="AA75" s="27"/>
      <c r="AB75" s="28"/>
      <c r="AC75" s="27"/>
      <c r="AD75" s="27"/>
      <c r="AE75" s="33"/>
      <c r="AG75" s="25"/>
      <c r="AH75" s="34"/>
      <c r="AI75" s="27"/>
      <c r="AJ75" s="27"/>
      <c r="AK75" s="27"/>
      <c r="AL75" s="25"/>
      <c r="AM75" s="34"/>
      <c r="AN75" s="27"/>
      <c r="AO75" s="27"/>
      <c r="AP75" s="36"/>
      <c r="AQ75" s="37"/>
      <c r="AR75" s="32"/>
      <c r="AS75" s="25" t="s">
        <v>96</v>
      </c>
      <c r="AT75" s="27" t="s">
        <v>87</v>
      </c>
      <c r="AU75" s="27"/>
      <c r="AW75" s="25" t="s">
        <v>90</v>
      </c>
      <c r="AX75" s="27" t="s">
        <v>95</v>
      </c>
      <c r="AY75" s="27"/>
      <c r="AZ75" s="32"/>
      <c r="BA75" s="41"/>
    </row>
    <row r="76" spans="1:53" x14ac:dyDescent="0.2">
      <c r="A76" s="25">
        <v>69</v>
      </c>
      <c r="B76" s="26"/>
      <c r="C76" s="27"/>
      <c r="D76" s="25"/>
      <c r="E76" s="28"/>
      <c r="F76" s="27"/>
      <c r="G76" s="28"/>
      <c r="H76" s="27"/>
      <c r="I76" s="28"/>
      <c r="J76" s="27">
        <v>2</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27"/>
      <c r="AW76" s="25" t="s">
        <v>90</v>
      </c>
      <c r="AX76" s="27" t="s">
        <v>95</v>
      </c>
      <c r="AY76" s="27"/>
      <c r="AZ76" s="32"/>
      <c r="BA76" s="41"/>
    </row>
    <row r="77" spans="1:53" x14ac:dyDescent="0.2">
      <c r="A77" s="25">
        <v>70</v>
      </c>
      <c r="B77" s="26"/>
      <c r="C77" s="27"/>
      <c r="D77" s="25"/>
      <c r="E77" s="28"/>
      <c r="F77" s="27"/>
      <c r="G77" s="28"/>
      <c r="H77" s="27"/>
      <c r="I77" s="28"/>
      <c r="J77" s="27">
        <v>2</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71</v>
      </c>
      <c r="B78" s="26"/>
      <c r="C78" s="27"/>
      <c r="D78" s="25"/>
      <c r="E78" s="28"/>
      <c r="F78" s="27"/>
      <c r="G78" s="28"/>
      <c r="H78" s="27"/>
      <c r="I78" s="28"/>
      <c r="J78" s="27">
        <v>2</v>
      </c>
      <c r="K78" s="29" t="s">
        <v>35</v>
      </c>
      <c r="L78" s="39"/>
      <c r="M78" s="31"/>
      <c r="N78" s="27"/>
      <c r="P78" s="32"/>
      <c r="Q78" s="25"/>
      <c r="R78" s="27"/>
      <c r="S78" s="27"/>
      <c r="T78" s="28"/>
      <c r="U78" s="27"/>
      <c r="V78" s="27"/>
      <c r="W78" s="28"/>
      <c r="X78" s="33"/>
      <c r="Y78" s="32"/>
      <c r="Z78" s="25"/>
      <c r="AA78" s="27"/>
      <c r="AB78" s="28"/>
      <c r="AC78" s="27"/>
      <c r="AD78" s="27"/>
      <c r="AE78" s="33"/>
      <c r="AF78" s="32"/>
      <c r="AG78" s="90"/>
      <c r="AH78" s="91"/>
      <c r="AI78" s="27"/>
      <c r="AJ78" s="27"/>
      <c r="AK78" s="28"/>
      <c r="AL78" s="27"/>
      <c r="AM78" s="27"/>
      <c r="AN78" s="27"/>
      <c r="AO78" s="27"/>
      <c r="AP78" s="36"/>
      <c r="AQ78" s="37"/>
      <c r="AS78" s="25"/>
      <c r="AT78" s="27"/>
      <c r="AU78" s="27"/>
      <c r="AW78" s="25" t="s">
        <v>90</v>
      </c>
      <c r="AX78" s="27" t="s">
        <v>95</v>
      </c>
      <c r="AY78" s="27"/>
      <c r="AZ78" s="32"/>
      <c r="BA78" s="41"/>
    </row>
    <row r="79" spans="1:53" x14ac:dyDescent="0.2">
      <c r="A79" s="25">
        <v>72</v>
      </c>
      <c r="B79" s="26"/>
      <c r="C79" s="27"/>
      <c r="D79" s="25"/>
      <c r="E79" s="28"/>
      <c r="F79" s="27"/>
      <c r="G79" s="28"/>
      <c r="H79" s="27"/>
      <c r="I79" s="28"/>
      <c r="J79" s="27">
        <v>2</v>
      </c>
      <c r="K79" s="29" t="s">
        <v>35</v>
      </c>
      <c r="L79" s="39"/>
      <c r="M79" s="31"/>
      <c r="N79" s="27"/>
      <c r="P79" s="32"/>
      <c r="Q79" s="25"/>
      <c r="R79" s="27"/>
      <c r="S79" s="27"/>
      <c r="T79" s="28"/>
      <c r="U79" s="27"/>
      <c r="V79" s="27"/>
      <c r="W79" s="28"/>
      <c r="X79" s="33"/>
      <c r="Y79" s="32"/>
      <c r="Z79" s="25"/>
      <c r="AA79" s="27"/>
      <c r="AB79" s="28"/>
      <c r="AC79" s="27"/>
      <c r="AD79" s="27"/>
      <c r="AE79" s="33"/>
      <c r="AF79" s="32"/>
      <c r="AG79" s="90"/>
      <c r="AH79" s="91"/>
      <c r="AI79" s="27"/>
      <c r="AJ79" s="27"/>
      <c r="AK79" s="28"/>
      <c r="AL79" s="27"/>
      <c r="AM79" s="27"/>
      <c r="AN79" s="27"/>
      <c r="AO79" s="27"/>
      <c r="AP79" s="36"/>
      <c r="AQ79" s="37"/>
      <c r="AS79" s="25"/>
      <c r="AT79" s="27"/>
      <c r="AU79" s="27"/>
      <c r="AW79" s="25"/>
      <c r="AX79" s="27"/>
      <c r="AY79" s="27"/>
      <c r="AZ79" s="32"/>
      <c r="BA79" s="41"/>
    </row>
    <row r="80" spans="1:53" x14ac:dyDescent="0.2">
      <c r="A80" s="25">
        <v>73</v>
      </c>
      <c r="B80" s="26"/>
      <c r="C80" s="27"/>
      <c r="D80" s="25"/>
      <c r="E80" s="28"/>
      <c r="F80" s="27"/>
      <c r="G80" s="28"/>
      <c r="H80" s="27"/>
      <c r="I80" s="28"/>
      <c r="J80" s="27">
        <v>2</v>
      </c>
      <c r="K80" s="29" t="s">
        <v>35</v>
      </c>
      <c r="L80" s="39"/>
      <c r="M80" s="31"/>
      <c r="N80" s="27"/>
      <c r="P80" s="32"/>
      <c r="Q80" s="25"/>
      <c r="R80" s="27"/>
      <c r="S80" s="27"/>
      <c r="T80" s="28"/>
      <c r="U80" s="27"/>
      <c r="V80" s="27"/>
      <c r="W80" s="28"/>
      <c r="X80" s="33"/>
      <c r="Y80" s="32"/>
      <c r="Z80" s="25"/>
      <c r="AA80" s="27"/>
      <c r="AB80" s="28"/>
      <c r="AC80" s="27"/>
      <c r="AD80" s="27"/>
      <c r="AE80" s="33"/>
      <c r="AF80" s="32"/>
      <c r="AG80" s="90"/>
      <c r="AH80" s="91"/>
      <c r="AI80" s="27"/>
      <c r="AJ80" s="27"/>
      <c r="AK80" s="28"/>
      <c r="AL80" s="27"/>
      <c r="AM80" s="27"/>
      <c r="AN80" s="27"/>
      <c r="AO80" s="27"/>
      <c r="AP80" s="36"/>
      <c r="AQ80" s="37"/>
      <c r="AS80" s="25"/>
      <c r="AT80" s="27"/>
      <c r="AU80" s="27"/>
      <c r="AW80" s="25"/>
      <c r="AX80" s="27"/>
      <c r="AY80" s="27"/>
      <c r="AZ80" s="32"/>
      <c r="BA80" s="41"/>
    </row>
    <row r="81" spans="1:53" x14ac:dyDescent="0.2">
      <c r="A81" s="25">
        <v>74</v>
      </c>
      <c r="B81" s="26"/>
      <c r="C81" s="27"/>
      <c r="D81" s="25"/>
      <c r="E81" s="28"/>
      <c r="F81" s="27"/>
      <c r="G81" s="28"/>
      <c r="H81" s="27"/>
      <c r="I81" s="28"/>
      <c r="J81" s="27">
        <v>2</v>
      </c>
      <c r="K81" s="29" t="s">
        <v>35</v>
      </c>
      <c r="L81" s="39"/>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c r="AO81" s="27"/>
      <c r="AP81" s="36"/>
      <c r="AQ81" s="37"/>
      <c r="AS81" s="25"/>
      <c r="AT81" s="27"/>
      <c r="AU81" s="27"/>
      <c r="AW81" s="25"/>
      <c r="AX81" s="27"/>
      <c r="AY81" s="27"/>
      <c r="AZ81" s="32"/>
      <c r="BA81" s="41"/>
    </row>
    <row r="82" spans="1:53" x14ac:dyDescent="0.2">
      <c r="A82" s="25">
        <v>75</v>
      </c>
      <c r="B82" s="26"/>
      <c r="C82" s="27"/>
      <c r="D82" s="25"/>
      <c r="E82" s="28"/>
      <c r="F82" s="27"/>
      <c r="G82" s="28"/>
      <c r="H82" s="27"/>
      <c r="I82" s="28"/>
      <c r="J82" s="27">
        <v>2</v>
      </c>
      <c r="K82" s="29" t="s">
        <v>35</v>
      </c>
      <c r="L82" s="39"/>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c r="AO82" s="27"/>
      <c r="AP82" s="36"/>
      <c r="AQ82" s="37"/>
      <c r="AR82" s="32"/>
      <c r="AS82" s="25"/>
      <c r="AT82" s="27"/>
      <c r="AU82" s="27"/>
      <c r="AW82" s="25"/>
      <c r="AX82" s="27"/>
      <c r="AY82" s="27"/>
      <c r="AZ82" s="32"/>
      <c r="BA82" s="41"/>
    </row>
    <row r="83" spans="1:53" x14ac:dyDescent="0.2">
      <c r="A83" s="25">
        <v>76</v>
      </c>
      <c r="B83" s="26"/>
      <c r="C83" s="27"/>
      <c r="D83" s="25"/>
      <c r="E83" s="28"/>
      <c r="F83" s="27"/>
      <c r="G83" s="28"/>
      <c r="H83" s="27"/>
      <c r="I83" s="28"/>
      <c r="J83" s="27">
        <v>2</v>
      </c>
      <c r="K83" s="29" t="s">
        <v>35</v>
      </c>
      <c r="L83" s="39"/>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c r="AO83" s="27"/>
      <c r="AP83" s="36"/>
      <c r="AQ83" s="37"/>
      <c r="AR83" s="32"/>
      <c r="AS83" s="25"/>
      <c r="AT83" s="27"/>
      <c r="AU83" s="27"/>
      <c r="AW83" s="25"/>
      <c r="AX83" s="27"/>
      <c r="AY83" s="27"/>
      <c r="AZ83" s="32"/>
      <c r="BA83" s="41"/>
    </row>
    <row r="84" spans="1:53" x14ac:dyDescent="0.2">
      <c r="A84" s="25">
        <v>77</v>
      </c>
      <c r="B84" s="26"/>
      <c r="C84" s="27"/>
      <c r="D84" s="25"/>
      <c r="E84" s="28"/>
      <c r="F84" s="27"/>
      <c r="G84" s="28"/>
      <c r="H84" s="27"/>
      <c r="I84" s="28"/>
      <c r="J84" s="27">
        <v>2</v>
      </c>
      <c r="K84" s="29" t="s">
        <v>35</v>
      </c>
      <c r="L84" s="39"/>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c r="AO84" s="27"/>
      <c r="AP84" s="36"/>
      <c r="AQ84" s="37"/>
      <c r="AR84" s="32"/>
      <c r="AS84" s="25"/>
      <c r="AT84" s="27"/>
      <c r="AU84" s="27"/>
      <c r="AW84" s="25"/>
      <c r="AX84" s="27"/>
      <c r="AY84" s="27"/>
      <c r="AZ84" s="32"/>
      <c r="BA84" s="41"/>
    </row>
    <row r="85" spans="1:53" x14ac:dyDescent="0.2">
      <c r="A85" s="25">
        <v>78</v>
      </c>
      <c r="B85" s="26"/>
      <c r="C85" s="27"/>
      <c r="D85" s="25"/>
      <c r="E85" s="28"/>
      <c r="F85" s="27"/>
      <c r="G85" s="28"/>
      <c r="H85" s="27"/>
      <c r="I85" s="28"/>
      <c r="J85" s="27">
        <v>2</v>
      </c>
      <c r="K85" s="29" t="s">
        <v>35</v>
      </c>
      <c r="L85" s="39"/>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c r="AO85" s="27"/>
      <c r="AP85" s="36"/>
      <c r="AQ85" s="37"/>
      <c r="AR85" s="32"/>
      <c r="AS85" s="25"/>
      <c r="AT85" s="27"/>
      <c r="AU85" s="27"/>
      <c r="AW85" s="25"/>
      <c r="AX85" s="27"/>
      <c r="AY85" s="27"/>
      <c r="AZ85" s="32"/>
      <c r="BA85" s="41"/>
    </row>
    <row r="86" spans="1:53" x14ac:dyDescent="0.2">
      <c r="A86" s="25">
        <v>79</v>
      </c>
      <c r="B86" s="26"/>
      <c r="C86" s="27"/>
      <c r="D86" s="25"/>
      <c r="E86" s="28"/>
      <c r="F86" s="27"/>
      <c r="G86" s="28"/>
      <c r="H86" s="27"/>
      <c r="I86" s="28"/>
      <c r="J86" s="27">
        <v>2</v>
      </c>
      <c r="K86" s="29" t="s">
        <v>35</v>
      </c>
      <c r="L86" s="39"/>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c r="AO86" s="27"/>
      <c r="AP86" s="36"/>
      <c r="AQ86" s="37"/>
      <c r="AR86" s="32"/>
      <c r="AS86" s="25"/>
      <c r="AT86" s="27"/>
      <c r="AU86" s="27"/>
      <c r="AW86" s="25"/>
      <c r="AX86" s="27"/>
      <c r="AY86" s="27"/>
      <c r="AZ86" s="32"/>
      <c r="BA86" s="41"/>
    </row>
    <row r="87" spans="1:53" x14ac:dyDescent="0.2">
      <c r="A87" s="25">
        <v>80</v>
      </c>
      <c r="B87" s="26"/>
      <c r="C87" s="27"/>
      <c r="D87" s="25"/>
      <c r="E87" s="28"/>
      <c r="F87" s="27"/>
      <c r="G87" s="28"/>
      <c r="H87" s="27"/>
      <c r="I87" s="28"/>
      <c r="J87" s="27">
        <v>2</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R87" s="32"/>
      <c r="AS87" s="25"/>
      <c r="AT87" s="27"/>
      <c r="AU87" s="27"/>
      <c r="AW87" s="25"/>
      <c r="AX87" s="27"/>
      <c r="AY87" s="27"/>
      <c r="AZ87" s="32"/>
      <c r="BA87" s="41"/>
    </row>
    <row r="88" spans="1:53" x14ac:dyDescent="0.2">
      <c r="A88" s="25">
        <v>81</v>
      </c>
      <c r="B88" s="26"/>
      <c r="C88" s="27"/>
      <c r="D88" s="25"/>
      <c r="E88" s="28"/>
      <c r="F88" s="27"/>
      <c r="G88" s="28"/>
      <c r="H88" s="27"/>
      <c r="I88" s="28"/>
      <c r="J88" s="27">
        <v>2</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R88" s="32"/>
      <c r="AS88" s="25"/>
      <c r="AT88" s="27"/>
      <c r="AU88" s="27"/>
      <c r="AW88" s="25"/>
      <c r="AX88" s="27"/>
      <c r="AY88" s="27"/>
      <c r="AZ88" s="32"/>
      <c r="BA88" s="41"/>
    </row>
    <row r="89" spans="1:53" x14ac:dyDescent="0.2">
      <c r="A89" s="25">
        <v>82</v>
      </c>
      <c r="B89" s="26"/>
      <c r="C89" s="27"/>
      <c r="D89" s="25"/>
      <c r="E89" s="28"/>
      <c r="F89" s="27"/>
      <c r="G89" s="28"/>
      <c r="H89" s="27"/>
      <c r="I89" s="28"/>
      <c r="J89" s="27">
        <v>2</v>
      </c>
      <c r="K89" s="29" t="s">
        <v>35</v>
      </c>
      <c r="L89" s="39"/>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R89" s="32"/>
      <c r="AS89" s="25"/>
      <c r="AT89" s="27"/>
      <c r="AU89" s="27"/>
      <c r="AW89" s="25"/>
      <c r="AX89" s="27"/>
      <c r="AY89" s="27"/>
      <c r="AZ89" s="32"/>
      <c r="BA89" s="41"/>
    </row>
    <row r="90" spans="1:53" x14ac:dyDescent="0.2">
      <c r="A90" s="25">
        <v>83</v>
      </c>
      <c r="B90" s="26"/>
      <c r="C90" s="27"/>
      <c r="D90" s="25"/>
      <c r="E90" s="28"/>
      <c r="F90" s="27"/>
      <c r="G90" s="28"/>
      <c r="H90" s="27"/>
      <c r="I90" s="28"/>
      <c r="J90" s="27">
        <v>2</v>
      </c>
      <c r="K90" s="29" t="s">
        <v>35</v>
      </c>
      <c r="L90" s="39"/>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R90" s="32"/>
      <c r="AS90" s="25"/>
      <c r="AT90" s="27"/>
      <c r="AU90" s="27"/>
      <c r="AW90" s="25"/>
      <c r="AX90" s="27"/>
      <c r="AY90" s="27"/>
      <c r="AZ90" s="32"/>
      <c r="BA90" s="41"/>
    </row>
    <row r="91" spans="1:53" x14ac:dyDescent="0.2">
      <c r="A91" s="25">
        <v>84</v>
      </c>
      <c r="B91" s="26"/>
      <c r="C91" s="27"/>
      <c r="D91" s="25"/>
      <c r="E91" s="28"/>
      <c r="F91" s="27"/>
      <c r="G91" s="28"/>
      <c r="H91" s="27"/>
      <c r="I91" s="28"/>
      <c r="J91" s="27">
        <v>2</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c r="AT91" s="27"/>
      <c r="AU91" s="27"/>
      <c r="AW91" s="25"/>
      <c r="AX91" s="27"/>
      <c r="AY91" s="27"/>
      <c r="AZ91" s="32"/>
      <c r="BA91" s="41"/>
    </row>
    <row r="92" spans="1:53" x14ac:dyDescent="0.2">
      <c r="A92" s="25">
        <v>85</v>
      </c>
      <c r="B92" s="26"/>
      <c r="C92" s="27"/>
      <c r="D92" s="25"/>
      <c r="E92" s="28"/>
      <c r="F92" s="27"/>
      <c r="G92" s="28"/>
      <c r="H92" s="27"/>
      <c r="I92" s="28"/>
      <c r="J92" s="27">
        <v>2</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c r="AT92" s="27"/>
      <c r="AU92" s="27"/>
      <c r="AW92" s="25"/>
      <c r="AX92" s="27"/>
      <c r="AY92" s="27"/>
      <c r="AZ92" s="32"/>
      <c r="BA92" s="41"/>
    </row>
    <row r="93" spans="1:53" x14ac:dyDescent="0.2">
      <c r="A93" s="25">
        <v>86</v>
      </c>
      <c r="B93" s="26"/>
      <c r="C93" s="27"/>
      <c r="D93" s="25"/>
      <c r="E93" s="28"/>
      <c r="F93" s="27"/>
      <c r="G93" s="28"/>
      <c r="H93" s="27"/>
      <c r="I93" s="28"/>
      <c r="J93" s="27">
        <v>2</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c r="AT93" s="27"/>
      <c r="AU93" s="27"/>
      <c r="AW93" s="25"/>
      <c r="AX93" s="27"/>
      <c r="AY93" s="27"/>
      <c r="AZ93" s="32"/>
      <c r="BA93" s="41"/>
    </row>
    <row r="94" spans="1:53" x14ac:dyDescent="0.2">
      <c r="A94" s="25">
        <v>87</v>
      </c>
      <c r="B94" s="26"/>
      <c r="C94" s="27"/>
      <c r="D94" s="25"/>
      <c r="E94" s="28"/>
      <c r="F94" s="27"/>
      <c r="G94" s="28"/>
      <c r="H94" s="27"/>
      <c r="I94" s="28"/>
      <c r="J94" s="27">
        <v>2</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c r="AT94" s="27"/>
      <c r="AU94" s="27"/>
      <c r="AW94" s="25"/>
      <c r="AX94" s="27"/>
      <c r="AY94" s="27"/>
      <c r="AZ94" s="32"/>
      <c r="BA94" s="41"/>
    </row>
    <row r="95" spans="1:53" x14ac:dyDescent="0.2">
      <c r="A95" s="25">
        <v>88</v>
      </c>
      <c r="B95" s="26"/>
      <c r="C95" s="27"/>
      <c r="D95" s="25"/>
      <c r="E95" s="28"/>
      <c r="F95" s="27"/>
      <c r="G95" s="28"/>
      <c r="H95" s="27"/>
      <c r="I95" s="28"/>
      <c r="J95" s="27">
        <v>2</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c r="AT95" s="27"/>
      <c r="AU95" s="27"/>
      <c r="AW95" s="25"/>
      <c r="AX95" s="27"/>
      <c r="AY95" s="27"/>
      <c r="AZ95" s="32"/>
      <c r="BA95" s="41"/>
    </row>
    <row r="96" spans="1:53" x14ac:dyDescent="0.2">
      <c r="A96" s="25">
        <v>89</v>
      </c>
      <c r="B96" s="26"/>
      <c r="C96" s="27"/>
      <c r="D96" s="25"/>
      <c r="E96" s="28"/>
      <c r="F96" s="27"/>
      <c r="G96" s="28"/>
      <c r="H96" s="27"/>
      <c r="I96" s="28"/>
      <c r="J96" s="27">
        <v>2</v>
      </c>
      <c r="K96" s="29" t="s">
        <v>35</v>
      </c>
      <c r="L96" s="39"/>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c r="AT96" s="27"/>
      <c r="AU96" s="27"/>
      <c r="AW96" s="25"/>
      <c r="AX96" s="27"/>
      <c r="AY96" s="27"/>
      <c r="AZ96" s="32"/>
      <c r="BA96" s="41"/>
    </row>
    <row r="97" spans="1:53" x14ac:dyDescent="0.2">
      <c r="A97" s="25">
        <v>90</v>
      </c>
      <c r="B97" s="26"/>
      <c r="C97" s="27"/>
      <c r="D97" s="25"/>
      <c r="E97" s="28"/>
      <c r="F97" s="27"/>
      <c r="G97" s="28"/>
      <c r="H97" s="27"/>
      <c r="I97" s="28"/>
      <c r="J97" s="27">
        <v>2</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c r="AT97" s="27"/>
      <c r="AU97" s="27"/>
      <c r="AW97" s="25"/>
      <c r="AX97" s="27"/>
      <c r="AY97" s="27"/>
      <c r="AZ97" s="32"/>
      <c r="BA97" s="41"/>
    </row>
    <row r="98" spans="1:53" x14ac:dyDescent="0.2">
      <c r="B98" s="26"/>
    </row>
  </sheetData>
  <mergeCells count="52">
    <mergeCell ref="X11:X18"/>
    <mergeCell ref="AV4:AV6"/>
    <mergeCell ref="AW4:AW6"/>
    <mergeCell ref="AG4:AG5"/>
    <mergeCell ref="X4:X6"/>
    <mergeCell ref="O27:O47"/>
    <mergeCell ref="AR4:AR6"/>
    <mergeCell ref="AS4:AS6"/>
    <mergeCell ref="AT4:AT6"/>
    <mergeCell ref="AU4:AU6"/>
    <mergeCell ref="AH4:AH6"/>
    <mergeCell ref="AI4:AK5"/>
    <mergeCell ref="AL4:AL6"/>
    <mergeCell ref="AM4:AM5"/>
    <mergeCell ref="AN4:AP5"/>
    <mergeCell ref="AQ4:AQ6"/>
    <mergeCell ref="Y4:Y6"/>
    <mergeCell ref="Z4:AB5"/>
    <mergeCell ref="AC4:AD5"/>
    <mergeCell ref="AE4:AE6"/>
    <mergeCell ref="AF4:AF6"/>
    <mergeCell ref="H4:I5"/>
    <mergeCell ref="J4:J6"/>
    <mergeCell ref="K4:K6"/>
    <mergeCell ref="L4:L6"/>
    <mergeCell ref="M4:M6"/>
    <mergeCell ref="N4:N6"/>
    <mergeCell ref="AS1:AV3"/>
    <mergeCell ref="AW1:AZ3"/>
    <mergeCell ref="BA1:BA3"/>
    <mergeCell ref="AG3:AK3"/>
    <mergeCell ref="AM3:AP3"/>
    <mergeCell ref="AG1:AP2"/>
    <mergeCell ref="O4:O6"/>
    <mergeCell ref="P4:P6"/>
    <mergeCell ref="Q4:Q6"/>
    <mergeCell ref="R4:T5"/>
    <mergeCell ref="U4:W5"/>
    <mergeCell ref="AX4:AX6"/>
    <mergeCell ref="AY4:AY6"/>
    <mergeCell ref="AZ4:AZ6"/>
    <mergeCell ref="BA4:BA6"/>
    <mergeCell ref="A4:A6"/>
    <mergeCell ref="B4:B6"/>
    <mergeCell ref="C4:C6"/>
    <mergeCell ref="D4:E5"/>
    <mergeCell ref="F4:G5"/>
    <mergeCell ref="A1:C3"/>
    <mergeCell ref="D1:M3"/>
    <mergeCell ref="N1:P3"/>
    <mergeCell ref="Q1:Y3"/>
    <mergeCell ref="Z1:AF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DDCF-825B-453C-BC8F-A4F4D3D34C4B}">
  <dimension ref="A1"/>
  <sheetViews>
    <sheetView workbookViewId="0"/>
  </sheetViews>
  <sheetFormatPr baseColWidth="10" defaultColWidth="8.83203125"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37ABC-1B27-4889-BD4B-E1C1A48BBC91}">
  <dimension ref="A1:BA131"/>
  <sheetViews>
    <sheetView zoomScale="85" zoomScaleNormal="85" workbookViewId="0">
      <pane xSplit="1" topLeftCell="B1" activePane="topRight" state="frozen"/>
      <selection pane="topRight" activeCell="D37" sqref="D37"/>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0.33203125"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22.33203125"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13.83203125" customWidth="1"/>
    <col min="50" max="50" width="26.5" bestFit="1" customWidth="1"/>
    <col min="51" max="51" width="24.1640625" bestFit="1" customWidth="1"/>
    <col min="52" max="52" width="41.1640625" bestFit="1" customWidth="1"/>
    <col min="53" max="53" width="18.83203125" bestFit="1" customWidth="1"/>
  </cols>
  <sheetData>
    <row r="1" spans="1:53" x14ac:dyDescent="0.2">
      <c r="A1" s="94" t="s">
        <v>99</v>
      </c>
      <c r="B1" t="s">
        <v>415</v>
      </c>
    </row>
    <row r="2" spans="1:53" x14ac:dyDescent="0.2">
      <c r="A2" s="94" t="s">
        <v>100</v>
      </c>
    </row>
    <row r="3" spans="1:53" x14ac:dyDescent="0.2">
      <c r="A3" s="94" t="s">
        <v>101</v>
      </c>
    </row>
    <row r="4" spans="1:53" x14ac:dyDescent="0.2">
      <c r="A4" s="94" t="s">
        <v>102</v>
      </c>
    </row>
    <row r="5" spans="1:53" x14ac:dyDescent="0.2">
      <c r="A5" s="94" t="s">
        <v>103</v>
      </c>
    </row>
    <row r="6" spans="1:53" x14ac:dyDescent="0.2">
      <c r="A6" s="94" t="s">
        <v>104</v>
      </c>
    </row>
    <row r="7" spans="1:53" x14ac:dyDescent="0.2">
      <c r="A7" s="94" t="s">
        <v>106</v>
      </c>
    </row>
    <row r="8" spans="1:53" x14ac:dyDescent="0.2">
      <c r="A8" s="94" t="s">
        <v>416</v>
      </c>
    </row>
    <row r="9" spans="1:53" ht="16" thickBot="1" x14ac:dyDescent="0.25">
      <c r="A9" s="94" t="s">
        <v>417</v>
      </c>
    </row>
    <row r="10" spans="1:53" ht="23" x14ac:dyDescent="0.2">
      <c r="A10" s="209" t="s">
        <v>0</v>
      </c>
      <c r="B10" s="210"/>
      <c r="C10" s="210"/>
      <c r="D10" s="215" t="s">
        <v>1</v>
      </c>
      <c r="E10" s="215"/>
      <c r="F10" s="215"/>
      <c r="G10" s="215"/>
      <c r="H10" s="215"/>
      <c r="I10" s="215"/>
      <c r="J10" s="215"/>
      <c r="K10" s="215"/>
      <c r="L10" s="215"/>
      <c r="M10" s="215"/>
      <c r="N10" s="218" t="s">
        <v>2</v>
      </c>
      <c r="O10" s="218"/>
      <c r="P10" s="219"/>
      <c r="Q10" s="224" t="s">
        <v>3</v>
      </c>
      <c r="R10" s="225"/>
      <c r="S10" s="225"/>
      <c r="T10" s="225"/>
      <c r="U10" s="225"/>
      <c r="V10" s="225"/>
      <c r="W10" s="225"/>
      <c r="X10" s="225"/>
      <c r="Y10" s="226"/>
      <c r="Z10" s="230" t="s">
        <v>4</v>
      </c>
      <c r="AA10" s="231"/>
      <c r="AB10" s="231"/>
      <c r="AC10" s="231"/>
      <c r="AD10" s="231"/>
      <c r="AE10" s="231"/>
      <c r="AF10" s="232"/>
      <c r="AG10" s="271" t="s">
        <v>5</v>
      </c>
      <c r="AH10" s="271"/>
      <c r="AI10" s="271"/>
      <c r="AJ10" s="271"/>
      <c r="AK10" s="271"/>
      <c r="AL10" s="271"/>
      <c r="AM10" s="271"/>
      <c r="AN10" s="271"/>
      <c r="AO10" s="271"/>
      <c r="AP10" s="271"/>
      <c r="AQ10" s="1"/>
      <c r="AR10" s="2"/>
      <c r="AS10" s="251" t="s">
        <v>6</v>
      </c>
      <c r="AT10" s="252"/>
      <c r="AU10" s="252"/>
      <c r="AV10" s="252"/>
      <c r="AW10" s="257" t="s">
        <v>7</v>
      </c>
      <c r="AX10" s="258"/>
      <c r="AY10" s="258"/>
      <c r="AZ10" s="259"/>
      <c r="BA10" s="266" t="s">
        <v>8</v>
      </c>
    </row>
    <row r="11" spans="1:53" ht="23" x14ac:dyDescent="0.2">
      <c r="A11" s="211"/>
      <c r="B11" s="212"/>
      <c r="C11" s="212"/>
      <c r="D11" s="216"/>
      <c r="E11" s="216"/>
      <c r="F11" s="216"/>
      <c r="G11" s="216"/>
      <c r="H11" s="216"/>
      <c r="I11" s="216"/>
      <c r="J11" s="216"/>
      <c r="K11" s="216"/>
      <c r="L11" s="216"/>
      <c r="M11" s="216"/>
      <c r="N11" s="220"/>
      <c r="O11" s="220"/>
      <c r="P11" s="221"/>
      <c r="Q11" s="227"/>
      <c r="R11" s="228"/>
      <c r="S11" s="228"/>
      <c r="T11" s="228"/>
      <c r="U11" s="228"/>
      <c r="V11" s="228"/>
      <c r="W11" s="228"/>
      <c r="X11" s="228"/>
      <c r="Y11" s="229"/>
      <c r="Z11" s="233"/>
      <c r="AA11" s="234"/>
      <c r="AB11" s="234"/>
      <c r="AC11" s="234"/>
      <c r="AD11" s="234"/>
      <c r="AE11" s="234"/>
      <c r="AF11" s="235"/>
      <c r="AG11" s="272"/>
      <c r="AH11" s="272"/>
      <c r="AI11" s="272"/>
      <c r="AJ11" s="272"/>
      <c r="AK11" s="272"/>
      <c r="AL11" s="272"/>
      <c r="AM11" s="272"/>
      <c r="AN11" s="272"/>
      <c r="AO11" s="272"/>
      <c r="AP11" s="272"/>
      <c r="AQ11" s="3"/>
      <c r="AR11" s="4"/>
      <c r="AS11" s="253"/>
      <c r="AT11" s="254"/>
      <c r="AU11" s="254"/>
      <c r="AV11" s="254"/>
      <c r="AW11" s="260"/>
      <c r="AX11" s="261"/>
      <c r="AY11" s="261"/>
      <c r="AZ11" s="262"/>
      <c r="BA11" s="267"/>
    </row>
    <row r="12" spans="1:53" ht="21" thickBot="1" x14ac:dyDescent="0.25">
      <c r="A12" s="213"/>
      <c r="B12" s="214"/>
      <c r="C12" s="214"/>
      <c r="D12" s="217"/>
      <c r="E12" s="217"/>
      <c r="F12" s="217"/>
      <c r="G12" s="217"/>
      <c r="H12" s="217"/>
      <c r="I12" s="217"/>
      <c r="J12" s="217"/>
      <c r="K12" s="217"/>
      <c r="L12" s="217"/>
      <c r="M12" s="217"/>
      <c r="N12" s="222"/>
      <c r="O12" s="222"/>
      <c r="P12" s="223"/>
      <c r="Q12" s="227"/>
      <c r="R12" s="228"/>
      <c r="S12" s="228"/>
      <c r="T12" s="228"/>
      <c r="U12" s="228"/>
      <c r="V12" s="228"/>
      <c r="W12" s="228"/>
      <c r="X12" s="228"/>
      <c r="Y12" s="229"/>
      <c r="Z12" s="233"/>
      <c r="AA12" s="234"/>
      <c r="AB12" s="234"/>
      <c r="AC12" s="234"/>
      <c r="AD12" s="234"/>
      <c r="AE12" s="234"/>
      <c r="AF12" s="235"/>
      <c r="AG12" s="269" t="s">
        <v>9</v>
      </c>
      <c r="AH12" s="269"/>
      <c r="AI12" s="269"/>
      <c r="AJ12" s="269"/>
      <c r="AK12" s="270"/>
      <c r="AL12" s="5"/>
      <c r="AM12" s="269" t="s">
        <v>10</v>
      </c>
      <c r="AN12" s="269"/>
      <c r="AO12" s="269"/>
      <c r="AP12" s="270"/>
      <c r="AQ12" s="6"/>
      <c r="AR12" s="7"/>
      <c r="AS12" s="255"/>
      <c r="AT12" s="256"/>
      <c r="AU12" s="256"/>
      <c r="AV12" s="256"/>
      <c r="AW12" s="263"/>
      <c r="AX12" s="264"/>
      <c r="AY12" s="264"/>
      <c r="AZ12" s="265"/>
      <c r="BA12" s="268"/>
    </row>
    <row r="13" spans="1:53" x14ac:dyDescent="0.2">
      <c r="A13" s="236" t="s">
        <v>11</v>
      </c>
      <c r="B13" s="239" t="s">
        <v>12</v>
      </c>
      <c r="C13" s="239" t="s">
        <v>13</v>
      </c>
      <c r="D13" s="242" t="s">
        <v>14</v>
      </c>
      <c r="E13" s="243"/>
      <c r="F13" s="246" t="s">
        <v>15</v>
      </c>
      <c r="G13" s="243"/>
      <c r="H13" s="292" t="s">
        <v>16</v>
      </c>
      <c r="I13" s="293"/>
      <c r="J13" s="296" t="s">
        <v>17</v>
      </c>
      <c r="K13" s="299" t="s">
        <v>18</v>
      </c>
      <c r="L13" s="292" t="s">
        <v>19</v>
      </c>
      <c r="M13" s="303" t="s">
        <v>20</v>
      </c>
      <c r="N13" s="248" t="s">
        <v>21</v>
      </c>
      <c r="O13" s="248" t="s">
        <v>19</v>
      </c>
      <c r="P13" s="248" t="s">
        <v>20</v>
      </c>
      <c r="Q13" s="273" t="s">
        <v>22</v>
      </c>
      <c r="R13" s="276" t="s">
        <v>23</v>
      </c>
      <c r="S13" s="276"/>
      <c r="T13" s="277"/>
      <c r="U13" s="280" t="s">
        <v>24</v>
      </c>
      <c r="V13" s="280"/>
      <c r="W13" s="281"/>
      <c r="X13" s="353" t="s">
        <v>19</v>
      </c>
      <c r="Y13" s="330" t="s">
        <v>20</v>
      </c>
      <c r="Z13" s="333" t="s">
        <v>23</v>
      </c>
      <c r="AA13" s="334"/>
      <c r="AB13" s="335"/>
      <c r="AC13" s="339" t="s">
        <v>24</v>
      </c>
      <c r="AD13" s="339"/>
      <c r="AE13" s="339" t="s">
        <v>19</v>
      </c>
      <c r="AF13" s="342" t="s">
        <v>20</v>
      </c>
      <c r="AG13" s="351" t="s">
        <v>25</v>
      </c>
      <c r="AH13" s="318" t="s">
        <v>26</v>
      </c>
      <c r="AI13" s="321" t="s">
        <v>24</v>
      </c>
      <c r="AJ13" s="321"/>
      <c r="AK13" s="321"/>
      <c r="AL13" s="323" t="s">
        <v>27</v>
      </c>
      <c r="AM13" s="325" t="s">
        <v>25</v>
      </c>
      <c r="AN13" s="321" t="s">
        <v>24</v>
      </c>
      <c r="AO13" s="321"/>
      <c r="AP13" s="309"/>
      <c r="AQ13" s="327" t="s">
        <v>19</v>
      </c>
      <c r="AR13" s="309" t="s">
        <v>20</v>
      </c>
      <c r="AS13" s="312" t="s">
        <v>28</v>
      </c>
      <c r="AT13" s="315" t="s">
        <v>29</v>
      </c>
      <c r="AU13" s="315" t="s">
        <v>19</v>
      </c>
      <c r="AV13" s="315" t="s">
        <v>20</v>
      </c>
      <c r="AW13" s="348" t="s">
        <v>30</v>
      </c>
      <c r="AX13" s="284" t="s">
        <v>29</v>
      </c>
      <c r="AY13" s="284" t="s">
        <v>19</v>
      </c>
      <c r="AZ13" s="287" t="s">
        <v>20</v>
      </c>
      <c r="BA13" s="290" t="s">
        <v>31</v>
      </c>
    </row>
    <row r="14" spans="1:53" x14ac:dyDescent="0.2">
      <c r="A14" s="237"/>
      <c r="B14" s="240"/>
      <c r="C14" s="240"/>
      <c r="D14" s="244"/>
      <c r="E14" s="245"/>
      <c r="F14" s="247"/>
      <c r="G14" s="245"/>
      <c r="H14" s="294"/>
      <c r="I14" s="295"/>
      <c r="J14" s="297"/>
      <c r="K14" s="300"/>
      <c r="L14" s="294"/>
      <c r="M14" s="304"/>
      <c r="N14" s="249"/>
      <c r="O14" s="249"/>
      <c r="P14" s="249"/>
      <c r="Q14" s="274"/>
      <c r="R14" s="278"/>
      <c r="S14" s="278"/>
      <c r="T14" s="279"/>
      <c r="U14" s="282"/>
      <c r="V14" s="282"/>
      <c r="W14" s="283"/>
      <c r="X14" s="354"/>
      <c r="Y14" s="331"/>
      <c r="Z14" s="336"/>
      <c r="AA14" s="337"/>
      <c r="AB14" s="338"/>
      <c r="AC14" s="340"/>
      <c r="AD14" s="340"/>
      <c r="AE14" s="340"/>
      <c r="AF14" s="343"/>
      <c r="AG14" s="352"/>
      <c r="AH14" s="319"/>
      <c r="AI14" s="322"/>
      <c r="AJ14" s="322"/>
      <c r="AK14" s="322"/>
      <c r="AL14" s="324"/>
      <c r="AM14" s="326"/>
      <c r="AN14" s="322"/>
      <c r="AO14" s="322"/>
      <c r="AP14" s="310"/>
      <c r="AQ14" s="328"/>
      <c r="AR14" s="310"/>
      <c r="AS14" s="313"/>
      <c r="AT14" s="316"/>
      <c r="AU14" s="316"/>
      <c r="AV14" s="316"/>
      <c r="AW14" s="349"/>
      <c r="AX14" s="285"/>
      <c r="AY14" s="285"/>
      <c r="AZ14" s="288"/>
      <c r="BA14" s="290"/>
    </row>
    <row r="15" spans="1:53" ht="57" thickBot="1" x14ac:dyDescent="0.25">
      <c r="A15" s="238"/>
      <c r="B15" s="241"/>
      <c r="C15" s="241"/>
      <c r="D15" s="8" t="s">
        <v>32</v>
      </c>
      <c r="E15" s="9" t="s">
        <v>33</v>
      </c>
      <c r="F15" s="10" t="s">
        <v>32</v>
      </c>
      <c r="G15" s="9" t="s">
        <v>33</v>
      </c>
      <c r="H15" s="11" t="s">
        <v>32</v>
      </c>
      <c r="I15" s="12" t="s">
        <v>33</v>
      </c>
      <c r="J15" s="298"/>
      <c r="K15" s="301"/>
      <c r="L15" s="302"/>
      <c r="M15" s="305"/>
      <c r="N15" s="250"/>
      <c r="O15" s="250"/>
      <c r="P15" s="250"/>
      <c r="Q15" s="275"/>
      <c r="R15" s="13" t="s">
        <v>32</v>
      </c>
      <c r="S15" s="13" t="s">
        <v>34</v>
      </c>
      <c r="T15" s="14" t="s">
        <v>33</v>
      </c>
      <c r="U15" s="15" t="s">
        <v>32</v>
      </c>
      <c r="V15" s="15" t="s">
        <v>34</v>
      </c>
      <c r="W15" s="16" t="s">
        <v>33</v>
      </c>
      <c r="X15" s="355"/>
      <c r="Y15" s="332"/>
      <c r="Z15" s="17" t="s">
        <v>32</v>
      </c>
      <c r="AA15" s="18" t="s">
        <v>34</v>
      </c>
      <c r="AB15" s="19" t="s">
        <v>33</v>
      </c>
      <c r="AC15" s="20" t="s">
        <v>32</v>
      </c>
      <c r="AD15" s="20" t="s">
        <v>34</v>
      </c>
      <c r="AE15" s="341"/>
      <c r="AF15" s="344"/>
      <c r="AG15" s="21" t="s">
        <v>34</v>
      </c>
      <c r="AH15" s="320"/>
      <c r="AI15" s="22" t="s">
        <v>32</v>
      </c>
      <c r="AJ15" s="22" t="s">
        <v>34</v>
      </c>
      <c r="AK15" s="22" t="s">
        <v>33</v>
      </c>
      <c r="AL15" s="324"/>
      <c r="AM15" s="23" t="s">
        <v>33</v>
      </c>
      <c r="AN15" s="22" t="s">
        <v>32</v>
      </c>
      <c r="AO15" s="22" t="s">
        <v>34</v>
      </c>
      <c r="AP15" s="24" t="s">
        <v>33</v>
      </c>
      <c r="AQ15" s="329"/>
      <c r="AR15" s="311"/>
      <c r="AS15" s="314"/>
      <c r="AT15" s="317"/>
      <c r="AU15" s="317"/>
      <c r="AV15" s="317"/>
      <c r="AW15" s="350"/>
      <c r="AX15" s="286"/>
      <c r="AY15" s="286"/>
      <c r="AZ15" s="289"/>
      <c r="BA15" s="291"/>
    </row>
    <row r="16" spans="1:53" ht="16" thickBot="1" x14ac:dyDescent="0.25">
      <c r="A16" s="25">
        <v>0</v>
      </c>
      <c r="B16" s="26"/>
      <c r="C16" s="27"/>
      <c r="D16" s="25"/>
      <c r="E16" s="28"/>
      <c r="F16" s="27"/>
      <c r="G16" s="28"/>
      <c r="H16" s="27"/>
      <c r="I16" s="28"/>
      <c r="J16" s="27">
        <v>4</v>
      </c>
      <c r="K16" s="29" t="s">
        <v>35</v>
      </c>
      <c r="L16" s="30" t="s">
        <v>160</v>
      </c>
      <c r="M16" s="31"/>
      <c r="N16" s="27"/>
      <c r="P16" s="32"/>
      <c r="Q16" s="25"/>
      <c r="R16" s="27"/>
      <c r="S16" s="27"/>
      <c r="T16" s="28"/>
      <c r="U16" s="27"/>
      <c r="V16" s="27"/>
      <c r="W16" s="28"/>
      <c r="X16" s="33"/>
      <c r="Y16" s="32"/>
      <c r="Z16" s="25"/>
      <c r="AA16" s="27"/>
      <c r="AB16" s="28"/>
      <c r="AC16" s="27"/>
      <c r="AD16" s="27"/>
      <c r="AE16" s="33"/>
      <c r="AG16" s="25"/>
      <c r="AH16" s="34"/>
      <c r="AI16" s="27"/>
      <c r="AJ16" s="27"/>
      <c r="AK16" s="27"/>
      <c r="AL16" s="25"/>
      <c r="AM16" s="35"/>
      <c r="AN16" s="27"/>
      <c r="AO16" s="27"/>
      <c r="AP16" s="36"/>
      <c r="AQ16" s="37"/>
      <c r="AR16" s="32"/>
      <c r="AS16" s="25"/>
      <c r="AT16" s="27"/>
      <c r="AU16" s="27"/>
      <c r="AW16" s="25"/>
      <c r="AX16" s="27"/>
      <c r="AY16" s="27"/>
      <c r="AZ16" s="32"/>
      <c r="BA16" s="38"/>
    </row>
    <row r="17" spans="1:53" ht="16" thickBot="1" x14ac:dyDescent="0.25">
      <c r="A17" s="25">
        <v>1</v>
      </c>
      <c r="B17" s="26"/>
      <c r="C17" s="27"/>
      <c r="D17" s="25"/>
      <c r="E17" s="28"/>
      <c r="F17" s="27"/>
      <c r="G17" s="28"/>
      <c r="H17" s="27"/>
      <c r="I17" s="28"/>
      <c r="J17" s="27">
        <v>4</v>
      </c>
      <c r="K17" s="29" t="s">
        <v>35</v>
      </c>
      <c r="L17" s="39"/>
      <c r="M17" s="31"/>
      <c r="N17" s="27"/>
      <c r="P17" s="32"/>
      <c r="Q17" s="40"/>
      <c r="R17" s="27"/>
      <c r="S17" s="27"/>
      <c r="T17" s="28"/>
      <c r="U17" s="27"/>
      <c r="V17" s="27"/>
      <c r="W17" s="28"/>
      <c r="X17" s="33"/>
      <c r="Y17" s="32"/>
      <c r="Z17" s="25"/>
      <c r="AA17" s="27"/>
      <c r="AB17" s="28"/>
      <c r="AC17" s="27"/>
      <c r="AD17" s="27"/>
      <c r="AE17" s="33"/>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2</v>
      </c>
      <c r="B18" s="26"/>
      <c r="C18" s="27"/>
      <c r="D18" s="25"/>
      <c r="E18" s="28"/>
      <c r="F18" s="27"/>
      <c r="G18" s="28"/>
      <c r="H18" s="27"/>
      <c r="I18" s="28"/>
      <c r="J18" s="27">
        <v>4</v>
      </c>
      <c r="K18" s="29" t="s">
        <v>35</v>
      </c>
      <c r="L18" s="39"/>
      <c r="M18" s="31"/>
      <c r="N18" s="27"/>
      <c r="O18" s="42"/>
      <c r="Q18" s="43" t="s">
        <v>37</v>
      </c>
      <c r="R18" s="27"/>
      <c r="S18" s="27"/>
      <c r="T18" s="28"/>
      <c r="U18" s="27"/>
      <c r="V18" s="27"/>
      <c r="W18" s="28"/>
      <c r="X18" s="33"/>
      <c r="Y18" s="32"/>
      <c r="Z18" s="25"/>
      <c r="AA18" s="27"/>
      <c r="AB18" s="28"/>
      <c r="AC18" s="27"/>
      <c r="AD18" s="27"/>
      <c r="AE18" s="33"/>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3</v>
      </c>
      <c r="B19" s="26"/>
      <c r="C19" s="27"/>
      <c r="D19" s="25"/>
      <c r="E19" s="28"/>
      <c r="F19" s="27"/>
      <c r="G19" s="28"/>
      <c r="H19" s="27"/>
      <c r="I19" s="28"/>
      <c r="J19" s="27">
        <v>6</v>
      </c>
      <c r="K19" s="29" t="s">
        <v>35</v>
      </c>
      <c r="L19" s="44" t="s">
        <v>287</v>
      </c>
      <c r="M19" s="31" t="s">
        <v>353</v>
      </c>
      <c r="N19" s="27" t="s">
        <v>240</v>
      </c>
      <c r="O19" s="45" t="s">
        <v>41</v>
      </c>
      <c r="P19" s="46"/>
      <c r="Q19" s="25"/>
      <c r="R19" s="27"/>
      <c r="S19" s="27"/>
      <c r="T19" s="28"/>
      <c r="U19" s="27">
        <v>5</v>
      </c>
      <c r="V19" s="27"/>
      <c r="W19" s="28">
        <v>5</v>
      </c>
      <c r="X19" s="47" t="s">
        <v>43</v>
      </c>
      <c r="Y19" s="32"/>
      <c r="Z19" s="25"/>
      <c r="AA19" s="27"/>
      <c r="AB19" s="28"/>
      <c r="AC19" s="27">
        <v>3</v>
      </c>
      <c r="AD19" s="27">
        <v>2</v>
      </c>
      <c r="AE19" s="48" t="s">
        <v>342</v>
      </c>
      <c r="AG19" s="25"/>
      <c r="AH19" s="34"/>
      <c r="AI19" s="27"/>
      <c r="AJ19" s="27"/>
      <c r="AK19" s="27"/>
      <c r="AL19" s="25"/>
      <c r="AM19" s="34"/>
      <c r="AN19" s="27"/>
      <c r="AO19" s="27"/>
      <c r="AP19" s="36"/>
      <c r="AQ19" s="37"/>
      <c r="AR19" s="32"/>
      <c r="AS19" s="25"/>
      <c r="AT19" s="27"/>
      <c r="AU19" s="27"/>
      <c r="AW19" s="25"/>
      <c r="AX19" s="27"/>
      <c r="AY19" s="27"/>
      <c r="AZ19" s="32"/>
      <c r="BA19" s="41"/>
    </row>
    <row r="20" spans="1:53" x14ac:dyDescent="0.2">
      <c r="A20" s="25">
        <v>4</v>
      </c>
      <c r="B20" s="26"/>
      <c r="C20" s="27"/>
      <c r="D20" s="25"/>
      <c r="E20" s="28"/>
      <c r="F20" s="27"/>
      <c r="G20" s="28"/>
      <c r="H20" s="27"/>
      <c r="I20" s="28"/>
      <c r="J20" s="27">
        <v>6</v>
      </c>
      <c r="K20" s="29" t="s">
        <v>35</v>
      </c>
      <c r="L20" s="39"/>
      <c r="M20" s="31"/>
      <c r="N20" s="27" t="s">
        <v>240</v>
      </c>
      <c r="O20" t="s">
        <v>46</v>
      </c>
      <c r="P20" s="32"/>
      <c r="Q20" s="25"/>
      <c r="R20" s="27"/>
      <c r="S20" s="27"/>
      <c r="T20" s="28"/>
      <c r="U20" s="27">
        <v>5</v>
      </c>
      <c r="V20" s="27"/>
      <c r="W20" s="28">
        <v>5</v>
      </c>
      <c r="X20" s="345" t="s">
        <v>47</v>
      </c>
      <c r="Y20" s="32"/>
      <c r="Z20" s="25"/>
      <c r="AA20" s="27"/>
      <c r="AB20" s="28"/>
      <c r="AC20" s="27">
        <v>3</v>
      </c>
      <c r="AD20" s="27">
        <v>2</v>
      </c>
      <c r="AE20" s="33"/>
      <c r="AG20" s="25"/>
      <c r="AH20" s="34"/>
      <c r="AI20" s="27"/>
      <c r="AJ20" s="27"/>
      <c r="AK20" s="27"/>
      <c r="AL20" s="25"/>
      <c r="AM20" s="34"/>
      <c r="AN20" s="27"/>
      <c r="AO20" s="27"/>
      <c r="AP20" s="36"/>
      <c r="AQ20" s="37"/>
      <c r="AR20" s="32"/>
      <c r="AS20" s="25"/>
      <c r="AT20" s="27"/>
      <c r="AU20" s="27"/>
      <c r="AW20" s="25"/>
      <c r="AX20" s="27"/>
      <c r="AY20" s="27"/>
      <c r="AZ20" s="32"/>
      <c r="BA20" s="41"/>
    </row>
    <row r="21" spans="1:53" x14ac:dyDescent="0.2">
      <c r="A21" s="25">
        <v>5</v>
      </c>
      <c r="B21" s="26"/>
      <c r="C21" s="27"/>
      <c r="D21" s="25"/>
      <c r="E21" s="28"/>
      <c r="F21" s="27"/>
      <c r="G21" s="28"/>
      <c r="H21" s="27"/>
      <c r="I21" s="28"/>
      <c r="J21" s="27">
        <v>6</v>
      </c>
      <c r="K21" s="29" t="s">
        <v>35</v>
      </c>
      <c r="L21" s="39"/>
      <c r="M21" s="31"/>
      <c r="N21" s="27" t="s">
        <v>240</v>
      </c>
      <c r="P21" s="32"/>
      <c r="Q21" s="25"/>
      <c r="R21" s="27"/>
      <c r="S21" s="27"/>
      <c r="T21" s="28"/>
      <c r="U21" s="27">
        <v>5</v>
      </c>
      <c r="V21" s="27"/>
      <c r="W21" s="28">
        <v>5</v>
      </c>
      <c r="X21" s="346"/>
      <c r="Y21" s="32"/>
      <c r="Z21" s="25"/>
      <c r="AA21" s="27"/>
      <c r="AB21" s="28"/>
      <c r="AC21" s="27">
        <v>3</v>
      </c>
      <c r="AD21" s="27">
        <v>2</v>
      </c>
      <c r="AE21" s="33"/>
      <c r="AG21" s="25"/>
      <c r="AH21" s="34"/>
      <c r="AI21" s="27"/>
      <c r="AJ21" s="27"/>
      <c r="AK21" s="27"/>
      <c r="AL21" s="25"/>
      <c r="AM21" s="34"/>
      <c r="AN21" s="27"/>
      <c r="AO21" s="27"/>
      <c r="AP21" s="36"/>
      <c r="AQ21" s="37"/>
      <c r="AR21" s="32"/>
      <c r="AS21" s="25"/>
      <c r="AT21" s="27"/>
      <c r="AU21" s="27"/>
      <c r="AW21" s="25"/>
      <c r="AX21" s="27"/>
      <c r="AY21" s="27"/>
      <c r="AZ21" s="32"/>
      <c r="BA21" s="41"/>
    </row>
    <row r="22" spans="1:53" x14ac:dyDescent="0.2">
      <c r="A22" s="25">
        <v>6</v>
      </c>
      <c r="B22" s="26"/>
      <c r="C22" s="27"/>
      <c r="D22" s="25"/>
      <c r="E22" s="28"/>
      <c r="F22" s="27"/>
      <c r="G22" s="28"/>
      <c r="H22" s="27"/>
      <c r="I22" s="28"/>
      <c r="J22" s="27">
        <v>6</v>
      </c>
      <c r="K22" s="29" t="s">
        <v>35</v>
      </c>
      <c r="L22" s="39"/>
      <c r="M22" s="31"/>
      <c r="N22" s="27" t="s">
        <v>240</v>
      </c>
      <c r="P22" s="32"/>
      <c r="Q22" s="25"/>
      <c r="R22" s="27"/>
      <c r="S22" s="27"/>
      <c r="T22" s="28"/>
      <c r="U22" s="27">
        <v>5</v>
      </c>
      <c r="V22" s="27"/>
      <c r="W22" s="28">
        <v>5</v>
      </c>
      <c r="X22" s="346"/>
      <c r="Y22" s="32"/>
      <c r="Z22" s="25"/>
      <c r="AA22" s="27"/>
      <c r="AB22" s="28"/>
      <c r="AC22" s="27">
        <v>3</v>
      </c>
      <c r="AD22" s="27">
        <v>2</v>
      </c>
      <c r="AE22" s="33"/>
      <c r="AG22" s="25"/>
      <c r="AH22" s="34"/>
      <c r="AI22" s="27"/>
      <c r="AJ22" s="27"/>
      <c r="AK22" s="27"/>
      <c r="AL22" s="25"/>
      <c r="AM22" s="34"/>
      <c r="AN22" s="27"/>
      <c r="AO22" s="27"/>
      <c r="AP22" s="36"/>
      <c r="AQ22" s="37"/>
      <c r="AR22" s="32"/>
      <c r="AS22" s="25"/>
      <c r="AT22" s="27"/>
      <c r="AU22" s="27"/>
      <c r="AW22" s="25"/>
      <c r="AX22" s="27"/>
      <c r="AY22" s="27"/>
      <c r="AZ22" s="32"/>
      <c r="BA22" s="41"/>
    </row>
    <row r="23" spans="1:53" x14ac:dyDescent="0.2">
      <c r="A23" s="25">
        <v>7</v>
      </c>
      <c r="B23" s="26"/>
      <c r="C23" s="27"/>
      <c r="D23" s="25"/>
      <c r="E23" s="28"/>
      <c r="F23" s="27"/>
      <c r="G23" s="28"/>
      <c r="H23" s="27"/>
      <c r="I23" s="28"/>
      <c r="J23" s="27">
        <v>6</v>
      </c>
      <c r="K23" s="29" t="s">
        <v>35</v>
      </c>
      <c r="L23" s="39"/>
      <c r="M23" s="31"/>
      <c r="N23" s="27" t="s">
        <v>240</v>
      </c>
      <c r="P23" s="32"/>
      <c r="Q23" s="25"/>
      <c r="R23" s="27"/>
      <c r="S23" s="27"/>
      <c r="T23" s="28"/>
      <c r="U23" s="27">
        <v>5</v>
      </c>
      <c r="V23" s="27"/>
      <c r="W23" s="28">
        <v>5</v>
      </c>
      <c r="X23" s="346"/>
      <c r="Y23" s="32"/>
      <c r="Z23" s="25"/>
      <c r="AA23" s="27"/>
      <c r="AB23" s="28"/>
      <c r="AC23" s="27">
        <v>3</v>
      </c>
      <c r="AD23" s="27">
        <v>2</v>
      </c>
      <c r="AE23" s="33"/>
      <c r="AG23" s="25"/>
      <c r="AH23" s="34"/>
      <c r="AI23" s="27"/>
      <c r="AJ23" s="27"/>
      <c r="AK23" s="27"/>
      <c r="AL23" s="25"/>
      <c r="AM23" s="34"/>
      <c r="AN23" s="27"/>
      <c r="AO23" s="27"/>
      <c r="AP23" s="36"/>
      <c r="AQ23" s="37"/>
      <c r="AR23" s="32"/>
      <c r="AS23" s="25"/>
      <c r="AT23" s="27"/>
      <c r="AU23" s="27"/>
      <c r="AW23" s="25"/>
      <c r="AX23" s="27"/>
      <c r="AY23" s="27"/>
      <c r="AZ23" s="32"/>
      <c r="BA23" s="41"/>
    </row>
    <row r="24" spans="1:53" x14ac:dyDescent="0.2">
      <c r="A24" s="25">
        <v>8</v>
      </c>
      <c r="B24" s="26"/>
      <c r="C24" s="27"/>
      <c r="D24" s="25"/>
      <c r="E24" s="28"/>
      <c r="F24" s="27"/>
      <c r="G24" s="28"/>
      <c r="H24" s="27"/>
      <c r="I24" s="28"/>
      <c r="J24" s="27">
        <v>6</v>
      </c>
      <c r="K24" s="29" t="s">
        <v>35</v>
      </c>
      <c r="L24" s="39"/>
      <c r="M24" s="31"/>
      <c r="N24" s="27" t="s">
        <v>240</v>
      </c>
      <c r="P24" s="32"/>
      <c r="Q24" s="25"/>
      <c r="R24" s="27"/>
      <c r="S24" s="27"/>
      <c r="T24" s="28"/>
      <c r="U24" s="27">
        <v>5</v>
      </c>
      <c r="V24" s="27"/>
      <c r="W24" s="28">
        <v>5</v>
      </c>
      <c r="X24" s="346"/>
      <c r="Y24" s="32"/>
      <c r="Z24" s="25"/>
      <c r="AA24" s="27"/>
      <c r="AB24" s="28"/>
      <c r="AC24" s="27">
        <v>3</v>
      </c>
      <c r="AD24" s="27">
        <v>2</v>
      </c>
      <c r="AE24" s="33"/>
      <c r="AG24" s="25"/>
      <c r="AH24" s="34"/>
      <c r="AI24" s="27"/>
      <c r="AJ24" s="27"/>
      <c r="AK24" s="27"/>
      <c r="AL24" s="25"/>
      <c r="AM24" s="34"/>
      <c r="AN24" s="27"/>
      <c r="AO24" s="27"/>
      <c r="AP24" s="36"/>
      <c r="AQ24" s="37"/>
      <c r="AR24" s="32"/>
      <c r="AS24" s="25"/>
      <c r="AT24" s="27"/>
      <c r="AU24" s="27"/>
      <c r="AW24" s="25"/>
      <c r="AX24" s="27"/>
      <c r="AY24" s="27"/>
      <c r="AZ24" s="32"/>
      <c r="BA24" s="41"/>
    </row>
    <row r="25" spans="1:53" ht="16" thickBot="1" x14ac:dyDescent="0.25">
      <c r="A25" s="25">
        <v>9</v>
      </c>
      <c r="B25" s="26"/>
      <c r="C25" s="27"/>
      <c r="D25" s="25"/>
      <c r="E25" s="28"/>
      <c r="F25" s="27"/>
      <c r="G25" s="28"/>
      <c r="H25" s="27"/>
      <c r="I25" s="28"/>
      <c r="J25" s="27">
        <v>6</v>
      </c>
      <c r="K25" s="29" t="s">
        <v>35</v>
      </c>
      <c r="L25" s="39"/>
      <c r="M25" s="31"/>
      <c r="N25" s="27" t="s">
        <v>240</v>
      </c>
      <c r="P25" s="32"/>
      <c r="Q25" s="25"/>
      <c r="R25" s="27"/>
      <c r="S25" s="27"/>
      <c r="T25" s="28"/>
      <c r="U25" s="27">
        <v>5</v>
      </c>
      <c r="V25" s="27"/>
      <c r="W25" s="28">
        <v>5</v>
      </c>
      <c r="X25" s="346"/>
      <c r="Y25" s="32"/>
      <c r="Z25" s="25"/>
      <c r="AA25" s="27"/>
      <c r="AB25" s="28"/>
      <c r="AC25" s="27">
        <v>3</v>
      </c>
      <c r="AD25" s="27">
        <v>2</v>
      </c>
      <c r="AE25" s="33"/>
      <c r="AG25" s="25"/>
      <c r="AH25" s="34"/>
      <c r="AI25" s="27"/>
      <c r="AJ25" s="27"/>
      <c r="AK25" s="27"/>
      <c r="AL25" s="25"/>
      <c r="AM25" s="34"/>
      <c r="AN25" s="27"/>
      <c r="AO25" s="27"/>
      <c r="AP25" s="36"/>
      <c r="AQ25" s="37"/>
      <c r="AR25" s="32"/>
      <c r="AS25" s="25"/>
      <c r="AT25" s="27"/>
      <c r="AU25" s="27"/>
      <c r="AW25" s="25"/>
      <c r="AX25" s="27"/>
      <c r="AY25" s="27"/>
      <c r="AZ25" s="32"/>
      <c r="BA25" s="41"/>
    </row>
    <row r="26" spans="1:53" ht="16" thickBot="1" x14ac:dyDescent="0.25">
      <c r="A26" s="25">
        <v>10</v>
      </c>
      <c r="B26" s="26"/>
      <c r="C26" s="27"/>
      <c r="D26" s="25"/>
      <c r="E26" s="28"/>
      <c r="F26" s="27"/>
      <c r="G26" s="28"/>
      <c r="H26" s="27"/>
      <c r="I26" s="28"/>
      <c r="J26" s="27">
        <v>6</v>
      </c>
      <c r="K26" s="29" t="s">
        <v>35</v>
      </c>
      <c r="L26" s="39"/>
      <c r="M26" s="31"/>
      <c r="N26" s="27" t="s">
        <v>240</v>
      </c>
      <c r="O26" s="49"/>
      <c r="P26" s="32"/>
      <c r="Q26" s="25"/>
      <c r="R26" s="27"/>
      <c r="S26" s="27"/>
      <c r="T26" s="28"/>
      <c r="U26" s="27">
        <v>5</v>
      </c>
      <c r="V26" s="27"/>
      <c r="W26" s="28">
        <v>5</v>
      </c>
      <c r="X26" s="346"/>
      <c r="Y26" s="32"/>
      <c r="Z26" s="25"/>
      <c r="AA26" s="27"/>
      <c r="AB26" s="28"/>
      <c r="AC26" s="27">
        <v>5</v>
      </c>
      <c r="AD26" s="27">
        <v>5</v>
      </c>
      <c r="AE26" s="50" t="s">
        <v>343</v>
      </c>
      <c r="AG26" s="25"/>
      <c r="AH26" s="34"/>
      <c r="AI26" s="27"/>
      <c r="AJ26" s="27"/>
      <c r="AK26" s="27"/>
      <c r="AL26" s="25"/>
      <c r="AM26" s="34"/>
      <c r="AN26" s="27"/>
      <c r="AO26" s="27"/>
      <c r="AP26" s="36"/>
      <c r="AQ26" s="37"/>
      <c r="AR26" s="32"/>
      <c r="AS26" s="25"/>
      <c r="AT26" s="27"/>
      <c r="AU26" s="27"/>
      <c r="AW26" s="25"/>
      <c r="AX26" s="27"/>
      <c r="AY26" s="27"/>
      <c r="AZ26" s="32"/>
      <c r="BA26" s="41"/>
    </row>
    <row r="27" spans="1:53" ht="16" thickBot="1" x14ac:dyDescent="0.25">
      <c r="A27" s="25">
        <v>11</v>
      </c>
      <c r="B27" s="26"/>
      <c r="C27" s="27"/>
      <c r="D27" s="25"/>
      <c r="E27" s="28"/>
      <c r="F27" s="27"/>
      <c r="G27" s="28"/>
      <c r="H27" s="27"/>
      <c r="I27" s="28"/>
      <c r="J27" s="27">
        <v>6</v>
      </c>
      <c r="K27" s="29" t="s">
        <v>35</v>
      </c>
      <c r="L27" s="52"/>
      <c r="M27" s="31"/>
      <c r="N27" s="27" t="s">
        <v>240</v>
      </c>
      <c r="P27" s="32"/>
      <c r="Q27" s="25"/>
      <c r="R27" s="27"/>
      <c r="S27" s="27"/>
      <c r="T27" s="28"/>
      <c r="U27" s="27">
        <v>5</v>
      </c>
      <c r="V27" s="27"/>
      <c r="W27" s="28">
        <v>5</v>
      </c>
      <c r="X27" s="347"/>
      <c r="Y27" s="32"/>
      <c r="Z27" s="25"/>
      <c r="AA27" s="27"/>
      <c r="AB27" s="28"/>
      <c r="AC27" s="27">
        <v>5</v>
      </c>
      <c r="AD27" s="27">
        <v>5</v>
      </c>
      <c r="AE27" s="33"/>
      <c r="AF27" s="32"/>
      <c r="AG27" s="25"/>
      <c r="AH27" s="34"/>
      <c r="AI27" s="27"/>
      <c r="AJ27" s="27"/>
      <c r="AK27" s="27"/>
      <c r="AL27" s="25"/>
      <c r="AM27" s="34"/>
      <c r="AN27" s="27"/>
      <c r="AO27" s="27"/>
      <c r="AP27" s="36"/>
      <c r="AQ27" s="37"/>
      <c r="AR27" s="32"/>
      <c r="AS27" s="25"/>
      <c r="AT27" s="27"/>
      <c r="AU27" s="27"/>
      <c r="AW27" s="25"/>
      <c r="AX27" s="27"/>
      <c r="AY27" s="27"/>
      <c r="AZ27" s="32"/>
      <c r="BA27" s="41"/>
    </row>
    <row r="28" spans="1:53" ht="16" thickBot="1" x14ac:dyDescent="0.25">
      <c r="A28" s="25">
        <v>12</v>
      </c>
      <c r="B28" s="26"/>
      <c r="C28" s="27"/>
      <c r="D28" s="25"/>
      <c r="E28" s="28"/>
      <c r="F28" s="27"/>
      <c r="G28" s="28"/>
      <c r="H28" s="27"/>
      <c r="I28" s="28"/>
      <c r="J28" s="27">
        <v>6</v>
      </c>
      <c r="K28" s="29" t="s">
        <v>35</v>
      </c>
      <c r="L28" s="53"/>
      <c r="M28" s="31"/>
      <c r="N28" s="27" t="s">
        <v>240</v>
      </c>
      <c r="P28" s="32"/>
      <c r="Q28" s="25"/>
      <c r="R28" s="27"/>
      <c r="S28" s="27"/>
      <c r="T28" s="28"/>
      <c r="U28" s="27">
        <v>1</v>
      </c>
      <c r="V28" s="27"/>
      <c r="W28" s="28">
        <v>1</v>
      </c>
      <c r="X28" s="54" t="s">
        <v>49</v>
      </c>
      <c r="Y28" s="32"/>
      <c r="Z28" s="25"/>
      <c r="AA28" s="27"/>
      <c r="AB28" s="28"/>
      <c r="AC28" s="27">
        <v>10</v>
      </c>
      <c r="AD28" s="27">
        <v>5</v>
      </c>
      <c r="AE28" s="50" t="s">
        <v>344</v>
      </c>
      <c r="AG28" s="25"/>
      <c r="AH28" s="34"/>
      <c r="AI28" s="27"/>
      <c r="AJ28" s="27"/>
      <c r="AK28" s="27"/>
      <c r="AL28" s="25"/>
      <c r="AM28" s="34"/>
      <c r="AN28" s="27"/>
      <c r="AO28" s="27"/>
      <c r="AP28" s="36"/>
      <c r="AQ28" s="37"/>
      <c r="AR28" s="32"/>
      <c r="AS28" s="25"/>
      <c r="AT28" s="27"/>
      <c r="AU28" s="27"/>
      <c r="AW28" s="25"/>
      <c r="AX28" s="27"/>
      <c r="AY28" s="27"/>
      <c r="AZ28" s="32"/>
      <c r="BA28" s="41"/>
    </row>
    <row r="29" spans="1:53" ht="16" thickBot="1" x14ac:dyDescent="0.25">
      <c r="A29" s="25">
        <v>13</v>
      </c>
      <c r="B29" s="26"/>
      <c r="C29" s="27"/>
      <c r="D29" s="25"/>
      <c r="E29" s="28"/>
      <c r="F29" s="27"/>
      <c r="G29" s="28"/>
      <c r="H29" s="27"/>
      <c r="I29" s="28"/>
      <c r="J29" s="27">
        <v>6</v>
      </c>
      <c r="K29" s="29" t="s">
        <v>35</v>
      </c>
      <c r="L29" s="39"/>
      <c r="M29" s="31"/>
      <c r="N29" s="27" t="s">
        <v>240</v>
      </c>
      <c r="P29" s="32"/>
      <c r="Q29" s="25"/>
      <c r="R29" s="27"/>
      <c r="S29" s="27"/>
      <c r="T29" s="28"/>
      <c r="U29" s="27">
        <v>1</v>
      </c>
      <c r="V29" s="27"/>
      <c r="W29" s="28">
        <v>1</v>
      </c>
      <c r="X29" s="33"/>
      <c r="Y29" s="32"/>
      <c r="Z29" s="55"/>
      <c r="AA29" s="56"/>
      <c r="AB29" s="57"/>
      <c r="AC29" s="27">
        <v>10</v>
      </c>
      <c r="AD29" s="27">
        <v>5</v>
      </c>
      <c r="AE29" s="33"/>
      <c r="AG29" s="25"/>
      <c r="AH29" s="34"/>
      <c r="AI29" s="27"/>
      <c r="AJ29" s="27"/>
      <c r="AK29" s="27"/>
      <c r="AL29" s="25"/>
      <c r="AM29" s="34"/>
      <c r="AN29" s="27"/>
      <c r="AO29" s="27"/>
      <c r="AP29" s="36"/>
      <c r="AQ29" s="37"/>
      <c r="AR29" s="32"/>
      <c r="AS29" s="25"/>
      <c r="AT29" s="27"/>
      <c r="AU29" s="201"/>
      <c r="AW29" s="25"/>
      <c r="AX29" s="27"/>
      <c r="AY29" s="27"/>
      <c r="AZ29" s="32"/>
      <c r="BA29" s="41"/>
    </row>
    <row r="30" spans="1:53" ht="16" thickBot="1" x14ac:dyDescent="0.25">
      <c r="A30" s="25">
        <v>14</v>
      </c>
      <c r="B30" s="26"/>
      <c r="C30" s="27"/>
      <c r="D30" s="25"/>
      <c r="E30" s="28"/>
      <c r="F30" s="27"/>
      <c r="G30" s="28"/>
      <c r="H30" s="27"/>
      <c r="I30" s="28"/>
      <c r="J30" s="27">
        <v>6</v>
      </c>
      <c r="K30" s="29" t="s">
        <v>35</v>
      </c>
      <c r="L30" s="39"/>
      <c r="M30" s="31"/>
      <c r="N30" s="27" t="s">
        <v>240</v>
      </c>
      <c r="P30" s="32"/>
      <c r="Q30" s="25"/>
      <c r="R30" s="27"/>
      <c r="S30" s="27"/>
      <c r="T30" s="28"/>
      <c r="U30" s="27">
        <v>1</v>
      </c>
      <c r="V30" s="27"/>
      <c r="W30" s="28">
        <v>1</v>
      </c>
      <c r="X30" s="33"/>
      <c r="Y30" s="32"/>
      <c r="Z30" s="59"/>
      <c r="AA30" s="60"/>
      <c r="AB30" s="61"/>
      <c r="AC30" s="27">
        <v>10</v>
      </c>
      <c r="AD30" s="27">
        <v>5</v>
      </c>
      <c r="AE30" s="33"/>
      <c r="AG30" s="25"/>
      <c r="AH30" s="34"/>
      <c r="AI30" s="27"/>
      <c r="AJ30" s="27"/>
      <c r="AK30" s="27"/>
      <c r="AL30" s="25"/>
      <c r="AM30" s="34"/>
      <c r="AN30" s="27"/>
      <c r="AO30" s="27"/>
      <c r="AP30" s="36"/>
      <c r="AQ30" s="37"/>
      <c r="AR30" s="32"/>
      <c r="AS30" s="25"/>
      <c r="AT30" s="27"/>
      <c r="AW30" s="25"/>
      <c r="AX30" s="27"/>
      <c r="AY30" s="27"/>
      <c r="AZ30" s="32"/>
      <c r="BA30" s="62"/>
    </row>
    <row r="31" spans="1:53" ht="16" thickBot="1" x14ac:dyDescent="0.25">
      <c r="A31" s="25">
        <v>15</v>
      </c>
      <c r="B31" s="26"/>
      <c r="C31" s="27"/>
      <c r="D31" s="25"/>
      <c r="E31" s="28"/>
      <c r="F31" s="27"/>
      <c r="G31" s="28"/>
      <c r="H31" s="27"/>
      <c r="I31" s="28"/>
      <c r="J31" s="27">
        <v>6</v>
      </c>
      <c r="K31" s="29" t="s">
        <v>35</v>
      </c>
      <c r="L31" s="39"/>
      <c r="M31" s="31"/>
      <c r="N31" s="27" t="s">
        <v>240</v>
      </c>
      <c r="P31" s="32"/>
      <c r="Q31" s="25"/>
      <c r="R31" s="27"/>
      <c r="S31" s="27"/>
      <c r="T31" s="28"/>
      <c r="U31" s="27">
        <v>1</v>
      </c>
      <c r="V31" s="27"/>
      <c r="W31" s="28">
        <v>1</v>
      </c>
      <c r="X31" s="33"/>
      <c r="Y31" s="32"/>
      <c r="Z31" s="25"/>
      <c r="AA31" s="27"/>
      <c r="AB31" s="28"/>
      <c r="AC31" s="27">
        <v>10</v>
      </c>
      <c r="AD31" s="27">
        <v>5</v>
      </c>
      <c r="AE31" s="33"/>
      <c r="AG31" s="25"/>
      <c r="AH31" s="34"/>
      <c r="AI31" s="27"/>
      <c r="AJ31" s="27"/>
      <c r="AK31" s="27"/>
      <c r="AL31" s="25"/>
      <c r="AM31" s="34"/>
      <c r="AN31" s="27"/>
      <c r="AO31" s="27"/>
      <c r="AP31" s="36"/>
      <c r="AQ31" s="37"/>
      <c r="AR31" s="32"/>
      <c r="AS31" s="25"/>
      <c r="AT31" s="27"/>
      <c r="AU31" s="201"/>
      <c r="AW31" s="25"/>
      <c r="AX31" s="27"/>
      <c r="AY31" s="27"/>
      <c r="AZ31" s="32"/>
      <c r="BA31" s="41"/>
    </row>
    <row r="32" spans="1:53" ht="16" thickBot="1" x14ac:dyDescent="0.25">
      <c r="A32" s="25">
        <v>16</v>
      </c>
      <c r="B32" s="26"/>
      <c r="C32" s="27"/>
      <c r="D32" s="25"/>
      <c r="E32" s="28"/>
      <c r="F32" s="27"/>
      <c r="G32" s="28"/>
      <c r="H32" s="27"/>
      <c r="I32" s="28"/>
      <c r="J32" s="27">
        <v>6</v>
      </c>
      <c r="K32" s="29" t="s">
        <v>35</v>
      </c>
      <c r="L32" s="44" t="s">
        <v>288</v>
      </c>
      <c r="M32" s="31"/>
      <c r="N32" s="27" t="s">
        <v>240</v>
      </c>
      <c r="P32" s="32"/>
      <c r="Q32" s="25"/>
      <c r="R32" s="27"/>
      <c r="S32" s="27"/>
      <c r="T32" s="28"/>
      <c r="U32" s="27">
        <v>1</v>
      </c>
      <c r="V32" s="27"/>
      <c r="W32" s="28">
        <v>1</v>
      </c>
      <c r="X32" s="63" t="s">
        <v>60</v>
      </c>
      <c r="Y32" s="46" t="s">
        <v>61</v>
      </c>
      <c r="AB32" s="28"/>
      <c r="AC32" s="27">
        <v>10</v>
      </c>
      <c r="AD32" s="27">
        <v>5</v>
      </c>
      <c r="AE32" s="33"/>
      <c r="AG32" s="25"/>
      <c r="AH32" s="34"/>
      <c r="AI32" s="27"/>
      <c r="AJ32" s="27"/>
      <c r="AK32" s="27"/>
      <c r="AL32" s="25"/>
      <c r="AM32" s="34"/>
      <c r="AN32" s="27"/>
      <c r="AO32" s="27"/>
      <c r="AP32" s="36"/>
      <c r="AQ32" s="64"/>
      <c r="AR32" s="65"/>
      <c r="AS32" s="25"/>
      <c r="AT32" s="27"/>
      <c r="AU32" s="27"/>
      <c r="AW32" s="25"/>
      <c r="AX32" s="27"/>
      <c r="AY32" s="27"/>
      <c r="AZ32" s="32"/>
      <c r="BA32" s="41"/>
    </row>
    <row r="33" spans="1:53" x14ac:dyDescent="0.2">
      <c r="A33" s="25">
        <v>17</v>
      </c>
      <c r="B33" s="26"/>
      <c r="C33" s="27"/>
      <c r="D33" s="25"/>
      <c r="E33" s="28"/>
      <c r="F33" s="27"/>
      <c r="G33" s="28"/>
      <c r="H33" s="27"/>
      <c r="I33" s="28"/>
      <c r="J33" s="27">
        <v>6</v>
      </c>
      <c r="K33" s="29" t="s">
        <v>35</v>
      </c>
      <c r="L33" s="39"/>
      <c r="M33" s="31"/>
      <c r="N33" s="27" t="s">
        <v>240</v>
      </c>
      <c r="P33" s="32"/>
      <c r="Q33" s="25"/>
      <c r="R33" s="27"/>
      <c r="S33" s="27"/>
      <c r="T33" s="28"/>
      <c r="U33" s="27"/>
      <c r="V33" s="27" t="s">
        <v>154</v>
      </c>
      <c r="W33" s="28"/>
      <c r="X33" s="33" t="s">
        <v>155</v>
      </c>
      <c r="Y33" s="32"/>
      <c r="Z33" s="25"/>
      <c r="AA33" s="27"/>
      <c r="AB33" s="28"/>
      <c r="AC33" s="27">
        <v>10</v>
      </c>
      <c r="AD33" s="27">
        <v>5</v>
      </c>
      <c r="AE33" s="33"/>
      <c r="AG33" s="25"/>
      <c r="AH33" s="34"/>
      <c r="AI33" s="27"/>
      <c r="AJ33" s="27"/>
      <c r="AK33" s="27"/>
      <c r="AL33" s="25"/>
      <c r="AM33" s="34"/>
      <c r="AN33" s="27"/>
      <c r="AO33" s="27"/>
      <c r="AP33" s="36"/>
      <c r="AQ33" s="37"/>
      <c r="AR33" s="32"/>
      <c r="AS33" s="25"/>
      <c r="AT33" s="27"/>
      <c r="AU33" s="27"/>
      <c r="AW33" s="25"/>
      <c r="AX33" s="27"/>
      <c r="AY33" s="27"/>
      <c r="AZ33" s="32"/>
      <c r="BA33" s="41"/>
    </row>
    <row r="34" spans="1:53" ht="16" thickBot="1" x14ac:dyDescent="0.25">
      <c r="A34" s="25">
        <v>18</v>
      </c>
      <c r="B34" s="26"/>
      <c r="C34" s="27"/>
      <c r="D34" s="25"/>
      <c r="E34" s="28"/>
      <c r="F34" s="27"/>
      <c r="G34" s="28"/>
      <c r="H34" s="27"/>
      <c r="I34" s="28"/>
      <c r="J34" s="27">
        <v>6</v>
      </c>
      <c r="K34" s="29" t="s">
        <v>35</v>
      </c>
      <c r="L34" s="39"/>
      <c r="M34" s="31"/>
      <c r="N34" s="27" t="s">
        <v>240</v>
      </c>
      <c r="P34" s="66"/>
      <c r="Q34" s="25"/>
      <c r="R34" s="27"/>
      <c r="S34" s="27"/>
      <c r="T34" s="28"/>
      <c r="U34" s="27"/>
      <c r="V34" s="27" t="s">
        <v>154</v>
      </c>
      <c r="W34" s="28"/>
      <c r="X34" s="33"/>
      <c r="Y34" s="32"/>
      <c r="Z34" s="25"/>
      <c r="AA34" s="27"/>
      <c r="AB34" s="28"/>
      <c r="AC34" s="27">
        <v>10</v>
      </c>
      <c r="AD34" s="27">
        <v>5</v>
      </c>
      <c r="AE34" s="33"/>
      <c r="AG34" s="25"/>
      <c r="AH34" s="34"/>
      <c r="AI34" s="27"/>
      <c r="AJ34" s="27"/>
      <c r="AK34" s="27"/>
      <c r="AL34" s="25"/>
      <c r="AM34" s="34"/>
      <c r="AN34" s="27"/>
      <c r="AO34" s="27"/>
      <c r="AP34" s="36"/>
      <c r="AQ34" s="67" t="s">
        <v>65</v>
      </c>
      <c r="AR34" s="46" t="s">
        <v>350</v>
      </c>
      <c r="AS34" s="25"/>
      <c r="AT34" s="27"/>
      <c r="AW34" s="25"/>
      <c r="AX34" s="27"/>
      <c r="AY34" s="27"/>
      <c r="AZ34" s="32"/>
      <c r="BA34" s="41"/>
    </row>
    <row r="35" spans="1:53" ht="16" thickBot="1" x14ac:dyDescent="0.25">
      <c r="A35" s="25">
        <v>19</v>
      </c>
      <c r="B35" s="26"/>
      <c r="C35" s="27"/>
      <c r="D35" s="25"/>
      <c r="E35" s="28"/>
      <c r="F35" s="27"/>
      <c r="G35" s="28"/>
      <c r="H35" s="27"/>
      <c r="I35" s="28"/>
      <c r="J35" s="27">
        <v>6</v>
      </c>
      <c r="K35" s="29" t="s">
        <v>35</v>
      </c>
      <c r="L35" s="39"/>
      <c r="M35" s="31"/>
      <c r="N35" s="27" t="s">
        <v>240</v>
      </c>
      <c r="P35" s="32"/>
      <c r="Q35" s="25"/>
      <c r="R35" s="27"/>
      <c r="S35" s="27"/>
      <c r="T35" s="28"/>
      <c r="U35" s="27"/>
      <c r="V35" s="27" t="s">
        <v>154</v>
      </c>
      <c r="W35" s="28"/>
      <c r="X35" s="33"/>
      <c r="Y35" s="32"/>
      <c r="Z35" s="25"/>
      <c r="AA35" s="27"/>
      <c r="AB35" s="28"/>
      <c r="AC35" s="27">
        <v>10</v>
      </c>
      <c r="AD35" s="27">
        <v>5</v>
      </c>
      <c r="AE35" s="33"/>
      <c r="AG35" s="25"/>
      <c r="AH35" s="34"/>
      <c r="AI35" s="27"/>
      <c r="AJ35" s="27"/>
      <c r="AK35" s="27"/>
      <c r="AL35" s="25"/>
      <c r="AM35" s="34"/>
      <c r="AN35" s="27"/>
      <c r="AO35" s="27"/>
      <c r="AP35" s="36"/>
      <c r="AQ35" s="203"/>
      <c r="AR35" s="32" t="s">
        <v>64</v>
      </c>
      <c r="AS35" s="25"/>
      <c r="AT35" s="27"/>
      <c r="AU35" s="27"/>
      <c r="AW35" s="25"/>
      <c r="AX35" s="27"/>
      <c r="AY35" s="27"/>
      <c r="AZ35" s="32"/>
      <c r="BA35" s="62"/>
    </row>
    <row r="36" spans="1:53" x14ac:dyDescent="0.2">
      <c r="A36" s="25">
        <v>20</v>
      </c>
      <c r="B36" s="26"/>
      <c r="C36" s="27"/>
      <c r="D36" s="25"/>
      <c r="E36" s="28"/>
      <c r="F36" s="27"/>
      <c r="G36" s="28"/>
      <c r="H36" s="27"/>
      <c r="I36" s="28"/>
      <c r="J36" s="27">
        <v>6</v>
      </c>
      <c r="K36" s="29" t="s">
        <v>35</v>
      </c>
      <c r="L36" s="39"/>
      <c r="M36" s="197"/>
      <c r="N36" s="27" t="s">
        <v>240</v>
      </c>
      <c r="O36" s="306" t="s">
        <v>66</v>
      </c>
      <c r="P36" s="32"/>
      <c r="Q36" s="25"/>
      <c r="R36" s="27"/>
      <c r="S36" s="27"/>
      <c r="T36" s="28"/>
      <c r="U36" s="27"/>
      <c r="V36" s="27" t="s">
        <v>154</v>
      </c>
      <c r="W36" s="28"/>
      <c r="X36" s="33"/>
      <c r="Y36" s="32"/>
      <c r="Z36" s="25"/>
      <c r="AA36" s="27"/>
      <c r="AB36" s="28"/>
      <c r="AC36" s="27">
        <v>10</v>
      </c>
      <c r="AD36" s="27">
        <v>5</v>
      </c>
      <c r="AE36" s="33"/>
      <c r="AG36" s="25"/>
      <c r="AH36" s="34"/>
      <c r="AI36" s="27"/>
      <c r="AJ36" s="27"/>
      <c r="AK36" s="27"/>
      <c r="AL36" s="25"/>
      <c r="AM36" s="34"/>
      <c r="AN36" s="27"/>
      <c r="AO36" s="27"/>
      <c r="AP36" s="36"/>
      <c r="AQ36" s="37"/>
      <c r="AR36" s="32" t="s">
        <v>64</v>
      </c>
      <c r="AS36" s="25"/>
      <c r="AT36" s="27"/>
      <c r="AU36" s="27"/>
      <c r="AW36" s="25"/>
      <c r="AX36" s="27"/>
      <c r="AY36" s="27"/>
      <c r="AZ36" s="32"/>
      <c r="BA36" s="41"/>
    </row>
    <row r="37" spans="1:53" ht="16" thickBot="1" x14ac:dyDescent="0.25">
      <c r="A37" s="70">
        <v>21</v>
      </c>
      <c r="B37" s="26"/>
      <c r="C37" s="71"/>
      <c r="D37" s="70"/>
      <c r="E37" s="72"/>
      <c r="F37" s="71"/>
      <c r="G37" s="72"/>
      <c r="H37" s="71"/>
      <c r="I37" s="72"/>
      <c r="J37" s="27">
        <v>6</v>
      </c>
      <c r="K37" s="29" t="s">
        <v>35</v>
      </c>
      <c r="L37" s="39"/>
      <c r="M37" s="198"/>
      <c r="N37" s="27" t="s">
        <v>240</v>
      </c>
      <c r="O37" s="307"/>
      <c r="P37" s="74"/>
      <c r="Q37" s="70"/>
      <c r="R37" s="71"/>
      <c r="S37" s="71"/>
      <c r="T37" s="72"/>
      <c r="U37" s="71"/>
      <c r="V37" s="71" t="s">
        <v>154</v>
      </c>
      <c r="W37" s="72"/>
      <c r="X37" s="33"/>
      <c r="Y37" s="75"/>
      <c r="Z37" s="70"/>
      <c r="AA37" s="71"/>
      <c r="AB37" s="72"/>
      <c r="AC37" s="27">
        <v>10</v>
      </c>
      <c r="AD37" s="71">
        <v>5</v>
      </c>
      <c r="AE37" s="33"/>
      <c r="AF37" s="76"/>
      <c r="AG37" s="70"/>
      <c r="AH37" s="77"/>
      <c r="AI37" s="27"/>
      <c r="AJ37" s="27"/>
      <c r="AK37" s="27"/>
      <c r="AL37" s="70"/>
      <c r="AM37" s="77"/>
      <c r="AN37" s="27"/>
      <c r="AO37" s="71"/>
      <c r="AP37" s="78"/>
      <c r="AQ37" s="37"/>
      <c r="AR37" s="32" t="s">
        <v>64</v>
      </c>
      <c r="AS37" s="70"/>
      <c r="AT37" s="27"/>
      <c r="AU37" s="71"/>
      <c r="AV37" s="76"/>
      <c r="AW37" s="70"/>
      <c r="AX37" s="71"/>
      <c r="AY37" s="71"/>
      <c r="AZ37" s="75"/>
      <c r="BA37" s="79"/>
    </row>
    <row r="38" spans="1:53" ht="16" thickBot="1" x14ac:dyDescent="0.25">
      <c r="A38" s="25">
        <v>22</v>
      </c>
      <c r="B38" s="26"/>
      <c r="C38" s="27"/>
      <c r="D38" s="25"/>
      <c r="E38" s="28"/>
      <c r="F38" s="27"/>
      <c r="G38" s="28"/>
      <c r="H38" s="27"/>
      <c r="I38" s="28"/>
      <c r="J38" s="27">
        <v>6</v>
      </c>
      <c r="K38" s="29" t="s">
        <v>35</v>
      </c>
      <c r="L38" s="39"/>
      <c r="M38" s="197"/>
      <c r="N38" s="27" t="s">
        <v>240</v>
      </c>
      <c r="O38" s="307"/>
      <c r="P38" s="46"/>
      <c r="Q38" s="43"/>
      <c r="R38" s="27"/>
      <c r="S38" s="27"/>
      <c r="T38" s="28"/>
      <c r="U38" s="27"/>
      <c r="V38" s="27" t="s">
        <v>154</v>
      </c>
      <c r="W38" s="28"/>
      <c r="X38" s="33"/>
      <c r="Y38" s="32"/>
      <c r="Z38" s="60"/>
      <c r="AA38" s="60"/>
      <c r="AB38" s="61"/>
      <c r="AC38" s="27">
        <v>10</v>
      </c>
      <c r="AD38" s="27">
        <v>5</v>
      </c>
      <c r="AE38" s="33"/>
      <c r="AG38" s="25"/>
      <c r="AH38" s="34"/>
      <c r="AI38" s="27"/>
      <c r="AJ38" s="27"/>
      <c r="AK38" s="27"/>
      <c r="AL38" s="25"/>
      <c r="AM38" s="34"/>
      <c r="AN38" s="27"/>
      <c r="AO38" s="27"/>
      <c r="AP38" s="36"/>
      <c r="AQ38" s="37"/>
      <c r="AR38" s="32" t="s">
        <v>64</v>
      </c>
      <c r="AS38" s="25"/>
      <c r="AT38" s="27"/>
      <c r="AU38" s="27"/>
      <c r="AW38" s="25"/>
      <c r="AX38" s="27"/>
      <c r="AY38" s="27"/>
      <c r="AZ38" s="32"/>
      <c r="BA38" s="80" t="s">
        <v>68</v>
      </c>
    </row>
    <row r="39" spans="1:53" ht="16" thickBot="1" x14ac:dyDescent="0.25">
      <c r="A39" s="25">
        <v>23</v>
      </c>
      <c r="B39" s="26"/>
      <c r="C39" s="27"/>
      <c r="D39" s="25"/>
      <c r="E39" s="28"/>
      <c r="F39" s="27"/>
      <c r="G39" s="28"/>
      <c r="H39" s="27"/>
      <c r="I39" s="28"/>
      <c r="J39" s="27">
        <v>6</v>
      </c>
      <c r="K39" s="29" t="s">
        <v>35</v>
      </c>
      <c r="L39" s="39"/>
      <c r="M39" s="31"/>
      <c r="N39" s="27" t="s">
        <v>240</v>
      </c>
      <c r="O39" s="307"/>
      <c r="P39" s="32"/>
      <c r="Q39" s="25"/>
      <c r="R39" s="27"/>
      <c r="S39" s="27"/>
      <c r="T39" s="28"/>
      <c r="U39" s="27"/>
      <c r="V39" s="27" t="s">
        <v>154</v>
      </c>
      <c r="W39" s="28"/>
      <c r="X39" s="33"/>
      <c r="Y39" s="32"/>
      <c r="Z39" s="25"/>
      <c r="AA39" s="27"/>
      <c r="AB39" s="28"/>
      <c r="AC39" s="27">
        <v>10</v>
      </c>
      <c r="AD39" s="27">
        <v>5</v>
      </c>
      <c r="AE39" s="33"/>
      <c r="AG39" s="25"/>
      <c r="AH39" s="34"/>
      <c r="AI39" s="27"/>
      <c r="AJ39" s="27"/>
      <c r="AK39" s="27"/>
      <c r="AL39" s="25"/>
      <c r="AM39" s="34"/>
      <c r="AN39" s="27"/>
      <c r="AO39" s="27"/>
      <c r="AP39" s="36"/>
      <c r="AQ39" s="37"/>
      <c r="AR39" s="32" t="s">
        <v>64</v>
      </c>
      <c r="AS39" s="25"/>
      <c r="AT39" s="27"/>
      <c r="AU39" s="201"/>
      <c r="AW39" s="25"/>
      <c r="AX39" s="27"/>
      <c r="AY39" s="27"/>
      <c r="AZ39" s="32"/>
      <c r="BA39" s="41"/>
    </row>
    <row r="40" spans="1:53" ht="16" thickBot="1" x14ac:dyDescent="0.25">
      <c r="A40" s="25">
        <v>24</v>
      </c>
      <c r="B40" s="26"/>
      <c r="C40" s="27"/>
      <c r="D40" s="25"/>
      <c r="E40" s="28"/>
      <c r="F40" s="27"/>
      <c r="G40" s="28"/>
      <c r="H40" s="27"/>
      <c r="I40" s="28"/>
      <c r="J40" s="27">
        <v>6</v>
      </c>
      <c r="K40" s="29" t="s">
        <v>35</v>
      </c>
      <c r="L40" s="44" t="s">
        <v>289</v>
      </c>
      <c r="M40" s="31"/>
      <c r="N40" s="27" t="s">
        <v>240</v>
      </c>
      <c r="O40" s="307"/>
      <c r="P40" s="32"/>
      <c r="Q40" s="25"/>
      <c r="R40" s="27"/>
      <c r="S40" s="27"/>
      <c r="T40" s="28"/>
      <c r="U40" s="27"/>
      <c r="V40" s="27" t="s">
        <v>154</v>
      </c>
      <c r="W40" s="28"/>
      <c r="X40" s="33"/>
      <c r="Y40" s="32"/>
      <c r="Z40" s="25"/>
      <c r="AA40" s="27"/>
      <c r="AB40" s="28"/>
      <c r="AC40" s="27">
        <v>10</v>
      </c>
      <c r="AD40" s="27">
        <v>5</v>
      </c>
      <c r="AF40" s="46" t="s">
        <v>290</v>
      </c>
      <c r="AG40" s="25"/>
      <c r="AH40" s="34"/>
      <c r="AI40" s="27"/>
      <c r="AJ40" s="27"/>
      <c r="AK40" s="27"/>
      <c r="AL40" s="25"/>
      <c r="AM40" s="34"/>
      <c r="AN40" s="27"/>
      <c r="AO40" s="27"/>
      <c r="AP40" s="36"/>
      <c r="AQ40" s="37"/>
      <c r="AR40" s="46" t="s">
        <v>351</v>
      </c>
      <c r="AS40" s="25" t="s">
        <v>72</v>
      </c>
      <c r="AT40" s="27" t="s">
        <v>52</v>
      </c>
      <c r="AU40" s="58" t="s">
        <v>295</v>
      </c>
      <c r="AW40" s="25"/>
      <c r="AX40" s="27"/>
      <c r="AY40" s="27"/>
      <c r="AZ40" s="32"/>
      <c r="BA40" s="41"/>
    </row>
    <row r="41" spans="1:53" ht="16" thickBot="1" x14ac:dyDescent="0.25">
      <c r="A41" s="25">
        <v>25</v>
      </c>
      <c r="B41" s="26"/>
      <c r="C41" s="27"/>
      <c r="D41" s="25"/>
      <c r="E41" s="28"/>
      <c r="F41" s="27"/>
      <c r="G41" s="28"/>
      <c r="H41" s="27"/>
      <c r="I41" s="28"/>
      <c r="J41" s="27">
        <v>6</v>
      </c>
      <c r="K41" s="29" t="s">
        <v>35</v>
      </c>
      <c r="L41" s="39"/>
      <c r="M41" s="31"/>
      <c r="N41" s="27" t="s">
        <v>240</v>
      </c>
      <c r="O41" s="307"/>
      <c r="P41" s="81"/>
      <c r="Q41" s="43"/>
      <c r="R41" s="27"/>
      <c r="S41" s="27"/>
      <c r="T41" s="28"/>
      <c r="U41" s="27"/>
      <c r="V41" s="27" t="s">
        <v>154</v>
      </c>
      <c r="W41" s="28"/>
      <c r="X41" s="33"/>
      <c r="Y41" s="32"/>
      <c r="Z41" s="27"/>
      <c r="AA41" s="27"/>
      <c r="AB41" s="28"/>
      <c r="AC41" s="27"/>
      <c r="AD41" s="27"/>
      <c r="AE41" s="27"/>
      <c r="AG41" s="25"/>
      <c r="AH41" s="34"/>
      <c r="AI41" s="27"/>
      <c r="AJ41" s="27"/>
      <c r="AK41" s="27"/>
      <c r="AL41" s="25"/>
      <c r="AM41" s="34"/>
      <c r="AN41" s="27"/>
      <c r="AO41" s="27"/>
      <c r="AP41" s="36"/>
      <c r="AQ41" s="37"/>
      <c r="AR41" s="32" t="s">
        <v>75</v>
      </c>
      <c r="AS41" s="25" t="s">
        <v>72</v>
      </c>
      <c r="AT41" s="27" t="s">
        <v>52</v>
      </c>
      <c r="AW41" s="25"/>
      <c r="AX41" s="27"/>
      <c r="AY41" s="27"/>
      <c r="AZ41" s="32"/>
      <c r="BA41" s="41"/>
    </row>
    <row r="42" spans="1:53" ht="16" thickBot="1" x14ac:dyDescent="0.25">
      <c r="A42" s="25">
        <v>26</v>
      </c>
      <c r="B42" s="26"/>
      <c r="C42" s="27"/>
      <c r="D42" s="25"/>
      <c r="E42" s="28"/>
      <c r="F42" s="27"/>
      <c r="G42" s="28"/>
      <c r="H42" s="27"/>
      <c r="I42" s="28"/>
      <c r="J42" s="27">
        <v>6</v>
      </c>
      <c r="K42" s="29" t="s">
        <v>35</v>
      </c>
      <c r="L42" s="39"/>
      <c r="M42" s="31"/>
      <c r="N42" s="27" t="s">
        <v>240</v>
      </c>
      <c r="O42" s="307"/>
      <c r="P42" s="32"/>
      <c r="Q42" s="25"/>
      <c r="R42" s="27"/>
      <c r="S42" s="27"/>
      <c r="T42" s="28"/>
      <c r="U42" s="27"/>
      <c r="V42" s="27" t="s">
        <v>154</v>
      </c>
      <c r="W42" s="28"/>
      <c r="X42" s="33"/>
      <c r="Y42" s="32"/>
      <c r="Z42" s="25"/>
      <c r="AA42" s="27"/>
      <c r="AB42" s="28"/>
      <c r="AC42" s="27"/>
      <c r="AD42" s="27"/>
      <c r="AE42" s="33"/>
      <c r="AG42" s="25"/>
      <c r="AH42" s="34"/>
      <c r="AI42" s="27"/>
      <c r="AJ42" s="27"/>
      <c r="AK42" s="27"/>
      <c r="AL42" s="25"/>
      <c r="AM42" s="34"/>
      <c r="AN42" s="27"/>
      <c r="AO42" s="27"/>
      <c r="AP42" s="36"/>
      <c r="AQ42" s="37"/>
      <c r="AR42" s="32" t="s">
        <v>75</v>
      </c>
      <c r="AS42" s="25" t="s">
        <v>72</v>
      </c>
      <c r="AT42" s="27" t="s">
        <v>52</v>
      </c>
      <c r="AW42" s="25"/>
      <c r="AX42" s="27"/>
      <c r="AY42" s="27"/>
      <c r="AZ42" s="32"/>
      <c r="BA42" s="41"/>
    </row>
    <row r="43" spans="1:53" ht="16" thickBot="1" x14ac:dyDescent="0.25">
      <c r="A43" s="25">
        <v>27</v>
      </c>
      <c r="B43" s="26"/>
      <c r="C43" s="27"/>
      <c r="D43" s="25"/>
      <c r="E43" s="28"/>
      <c r="F43" s="27"/>
      <c r="G43" s="28"/>
      <c r="H43" s="27"/>
      <c r="I43" s="28"/>
      <c r="J43" s="27">
        <v>6</v>
      </c>
      <c r="K43" s="29" t="s">
        <v>35</v>
      </c>
      <c r="L43" s="39"/>
      <c r="M43" s="31"/>
      <c r="N43" s="27" t="s">
        <v>240</v>
      </c>
      <c r="O43" s="307"/>
      <c r="P43" s="32"/>
      <c r="Q43" s="25"/>
      <c r="R43" s="27"/>
      <c r="S43" s="27"/>
      <c r="T43" s="28"/>
      <c r="U43" s="27"/>
      <c r="V43" s="27" t="s">
        <v>154</v>
      </c>
      <c r="W43" s="28"/>
      <c r="X43" s="33"/>
      <c r="Y43" s="32"/>
      <c r="Z43" s="25"/>
      <c r="AA43" s="27"/>
      <c r="AB43" s="28"/>
      <c r="AC43" s="27"/>
      <c r="AD43" s="27"/>
      <c r="AE43" s="33"/>
      <c r="AG43" s="25"/>
      <c r="AH43" s="34"/>
      <c r="AI43" s="27"/>
      <c r="AJ43" s="27"/>
      <c r="AK43" s="27"/>
      <c r="AL43" s="25"/>
      <c r="AM43" s="34"/>
      <c r="AN43" s="27"/>
      <c r="AO43" s="27"/>
      <c r="AP43" s="36"/>
      <c r="AQ43" s="82" t="s">
        <v>292</v>
      </c>
      <c r="AR43" s="32" t="s">
        <v>352</v>
      </c>
      <c r="AS43" s="25" t="s">
        <v>72</v>
      </c>
      <c r="AT43" s="27" t="s">
        <v>52</v>
      </c>
      <c r="AU43" s="27"/>
      <c r="AW43" s="25"/>
      <c r="AX43" s="27"/>
      <c r="AY43" s="27"/>
      <c r="AZ43" s="32"/>
      <c r="BA43" s="41"/>
    </row>
    <row r="44" spans="1:53" x14ac:dyDescent="0.2">
      <c r="A44" s="25">
        <v>28</v>
      </c>
      <c r="B44" s="26"/>
      <c r="C44" s="27"/>
      <c r="D44" s="25"/>
      <c r="E44" s="28"/>
      <c r="F44" s="27"/>
      <c r="G44" s="28"/>
      <c r="H44" s="27"/>
      <c r="I44" s="28"/>
      <c r="J44" s="27">
        <v>6</v>
      </c>
      <c r="K44" s="29" t="s">
        <v>35</v>
      </c>
      <c r="L44" s="39"/>
      <c r="M44" s="31"/>
      <c r="N44" s="27" t="s">
        <v>240</v>
      </c>
      <c r="O44" s="307"/>
      <c r="P44" s="32"/>
      <c r="Q44" s="25"/>
      <c r="R44" s="27"/>
      <c r="S44" s="27"/>
      <c r="T44" s="28"/>
      <c r="U44" s="27"/>
      <c r="V44" s="27" t="s">
        <v>154</v>
      </c>
      <c r="W44" s="28"/>
      <c r="Y44" s="32"/>
      <c r="Z44" s="25"/>
      <c r="AA44" s="27"/>
      <c r="AB44" s="28"/>
      <c r="AC44" s="27"/>
      <c r="AD44" s="27"/>
      <c r="AE44" s="33"/>
      <c r="AG44" s="25"/>
      <c r="AH44" s="34"/>
      <c r="AI44" s="27"/>
      <c r="AJ44" s="27"/>
      <c r="AK44" s="27"/>
      <c r="AL44" s="25"/>
      <c r="AM44" s="34"/>
      <c r="AN44" s="27"/>
      <c r="AO44" s="27"/>
      <c r="AP44" s="36"/>
      <c r="AR44" s="32" t="s">
        <v>293</v>
      </c>
      <c r="AS44" s="25" t="s">
        <v>72</v>
      </c>
      <c r="AT44" s="27" t="s">
        <v>52</v>
      </c>
      <c r="AU44" s="27"/>
      <c r="AW44" s="25"/>
      <c r="AX44" s="27"/>
      <c r="AY44" s="27"/>
      <c r="AZ44" s="32"/>
      <c r="BA44" s="41"/>
    </row>
    <row r="45" spans="1:53" ht="17.25" customHeight="1" thickBot="1" x14ac:dyDescent="0.25">
      <c r="A45" s="25">
        <v>29</v>
      </c>
      <c r="B45" s="26"/>
      <c r="C45" s="27"/>
      <c r="D45" s="25"/>
      <c r="E45" s="28"/>
      <c r="F45" s="27"/>
      <c r="G45" s="28"/>
      <c r="H45" s="27"/>
      <c r="I45" s="28"/>
      <c r="J45" s="27">
        <v>6</v>
      </c>
      <c r="K45" s="29" t="s">
        <v>345</v>
      </c>
      <c r="L45" s="39"/>
      <c r="M45" s="31"/>
      <c r="N45" s="27" t="s">
        <v>240</v>
      </c>
      <c r="O45" s="307"/>
      <c r="P45" s="32"/>
      <c r="Q45" s="25"/>
      <c r="R45" s="27"/>
      <c r="S45" s="27"/>
      <c r="T45" s="28"/>
      <c r="U45" s="27"/>
      <c r="V45" s="27" t="s">
        <v>154</v>
      </c>
      <c r="W45" s="28"/>
      <c r="X45" s="33"/>
      <c r="Y45" s="32"/>
      <c r="Z45" s="25"/>
      <c r="AA45" s="27"/>
      <c r="AB45" s="28"/>
      <c r="AC45" s="27"/>
      <c r="AD45" s="27"/>
      <c r="AE45" s="33"/>
      <c r="AG45" s="25"/>
      <c r="AH45" s="34"/>
      <c r="AI45" s="27"/>
      <c r="AJ45" s="27"/>
      <c r="AK45" s="27"/>
      <c r="AL45" s="25"/>
      <c r="AM45" s="34"/>
      <c r="AN45" s="27"/>
      <c r="AO45" s="27"/>
      <c r="AP45" s="36"/>
      <c r="AQ45" s="37"/>
      <c r="AR45" s="32" t="s">
        <v>293</v>
      </c>
      <c r="AS45" s="25" t="s">
        <v>72</v>
      </c>
      <c r="AT45" s="27" t="s">
        <v>52</v>
      </c>
      <c r="AU45" s="27"/>
      <c r="AW45" s="25"/>
      <c r="AX45" s="27"/>
      <c r="AY45" s="27"/>
      <c r="AZ45" s="32"/>
      <c r="BA45" s="41"/>
    </row>
    <row r="46" spans="1:53" s="87" customFormat="1" ht="16" thickBot="1" x14ac:dyDescent="0.25">
      <c r="A46" s="25">
        <v>30</v>
      </c>
      <c r="B46" s="26"/>
      <c r="C46" s="27"/>
      <c r="D46" s="25"/>
      <c r="E46" s="28"/>
      <c r="F46" s="27"/>
      <c r="G46" s="28"/>
      <c r="H46" s="27"/>
      <c r="I46" s="28"/>
      <c r="J46" s="27">
        <v>6</v>
      </c>
      <c r="K46" s="29" t="s">
        <v>346</v>
      </c>
      <c r="L46" s="39"/>
      <c r="M46" s="31"/>
      <c r="N46" s="27" t="s">
        <v>240</v>
      </c>
      <c r="O46" s="307"/>
      <c r="Q46" s="83"/>
      <c r="R46" s="83"/>
      <c r="S46" s="83"/>
      <c r="T46" s="83"/>
      <c r="U46" s="83"/>
      <c r="V46" s="83" t="s">
        <v>154</v>
      </c>
      <c r="W46" s="83"/>
      <c r="X46" s="83"/>
      <c r="Z46" s="83"/>
      <c r="AA46" s="83"/>
      <c r="AB46" s="83"/>
      <c r="AC46" s="83"/>
      <c r="AD46" s="83"/>
      <c r="AE46" s="83"/>
      <c r="AG46" s="83"/>
      <c r="AH46" s="83"/>
      <c r="AI46" s="83"/>
      <c r="AJ46" s="83"/>
      <c r="AK46" s="83"/>
      <c r="AL46" s="83"/>
      <c r="AM46" s="83"/>
      <c r="AN46" s="83"/>
      <c r="AO46" s="83"/>
      <c r="AP46" s="83"/>
      <c r="AR46" s="190" t="s">
        <v>294</v>
      </c>
      <c r="AS46" s="83" t="s">
        <v>72</v>
      </c>
      <c r="AT46" s="83" t="s">
        <v>52</v>
      </c>
      <c r="AU46" s="83"/>
      <c r="AW46" s="83"/>
      <c r="AX46" s="83"/>
      <c r="AY46" s="83"/>
      <c r="BA46" s="83"/>
    </row>
    <row r="47" spans="1:53" x14ac:dyDescent="0.2">
      <c r="A47" s="25">
        <v>31</v>
      </c>
      <c r="B47" s="26"/>
      <c r="C47" s="27"/>
      <c r="D47" s="25"/>
      <c r="E47" s="28"/>
      <c r="F47" s="27"/>
      <c r="G47" s="28"/>
      <c r="H47" s="27"/>
      <c r="I47" s="28"/>
      <c r="J47" s="202">
        <v>45357</v>
      </c>
      <c r="K47" s="29" t="s">
        <v>347</v>
      </c>
      <c r="L47" s="39"/>
      <c r="M47" s="31"/>
      <c r="N47" s="27" t="s">
        <v>272</v>
      </c>
      <c r="O47" s="307"/>
      <c r="P47" s="32"/>
      <c r="Q47" s="25"/>
      <c r="R47" s="27"/>
      <c r="S47" s="27"/>
      <c r="T47" s="28"/>
      <c r="U47" s="27"/>
      <c r="V47" s="27" t="s">
        <v>154</v>
      </c>
      <c r="W47" s="28"/>
      <c r="X47" s="33"/>
      <c r="Y47" s="32"/>
      <c r="Z47" s="25"/>
      <c r="AA47" s="27"/>
      <c r="AB47" s="28"/>
      <c r="AC47" s="27"/>
      <c r="AD47" s="27"/>
      <c r="AE47" s="33"/>
      <c r="AG47" s="25"/>
      <c r="AH47" s="34"/>
      <c r="AI47" s="27"/>
      <c r="AJ47" s="27"/>
      <c r="AK47" s="27"/>
      <c r="AL47" s="25"/>
      <c r="AM47" s="34"/>
      <c r="AN47" s="27"/>
      <c r="AO47" s="27"/>
      <c r="AP47" s="36"/>
      <c r="AQ47" s="37"/>
      <c r="AR47" s="66"/>
      <c r="AS47" s="25" t="s">
        <v>72</v>
      </c>
      <c r="AT47" s="27" t="s">
        <v>52</v>
      </c>
      <c r="AU47" s="27"/>
      <c r="AW47" s="25"/>
      <c r="AX47" s="27"/>
      <c r="AY47" s="27"/>
      <c r="AZ47" s="32"/>
      <c r="BA47" s="41"/>
    </row>
    <row r="48" spans="1:53" x14ac:dyDescent="0.2">
      <c r="A48" s="25">
        <v>32</v>
      </c>
      <c r="B48" s="26"/>
      <c r="C48" s="27"/>
      <c r="D48" s="25"/>
      <c r="E48" s="28"/>
      <c r="F48" s="27"/>
      <c r="G48" s="28"/>
      <c r="H48" s="27"/>
      <c r="I48" s="28"/>
      <c r="J48" s="202">
        <v>45357</v>
      </c>
      <c r="K48" s="29" t="s">
        <v>35</v>
      </c>
      <c r="L48" s="39"/>
      <c r="M48" s="31"/>
      <c r="N48" s="27" t="s">
        <v>272</v>
      </c>
      <c r="O48" s="307"/>
      <c r="P48" s="32"/>
      <c r="Q48" s="25"/>
      <c r="R48" s="27"/>
      <c r="S48" s="27"/>
      <c r="T48" s="28"/>
      <c r="U48" s="27"/>
      <c r="V48" s="27" t="s">
        <v>154</v>
      </c>
      <c r="W48" s="28"/>
      <c r="X48" s="33"/>
      <c r="Y48" s="32"/>
      <c r="Z48" s="25"/>
      <c r="AA48" s="27"/>
      <c r="AB48" s="28"/>
      <c r="AC48" s="27"/>
      <c r="AD48" s="27"/>
      <c r="AE48" s="33"/>
      <c r="AG48" s="25"/>
      <c r="AH48" s="34"/>
      <c r="AI48" s="27"/>
      <c r="AJ48" s="27"/>
      <c r="AK48" s="27"/>
      <c r="AL48" s="25"/>
      <c r="AM48" s="34"/>
      <c r="AN48" s="27"/>
      <c r="AO48" s="27"/>
      <c r="AP48" s="36"/>
      <c r="AQ48" s="37"/>
      <c r="AR48" s="32"/>
      <c r="AS48" s="25" t="s">
        <v>72</v>
      </c>
      <c r="AT48" s="27" t="s">
        <v>52</v>
      </c>
      <c r="AU48" s="27"/>
      <c r="AW48" s="25"/>
      <c r="AX48" s="27"/>
      <c r="AY48" s="27"/>
      <c r="AZ48" s="32"/>
      <c r="BA48" s="41"/>
    </row>
    <row r="49" spans="1:53" x14ac:dyDescent="0.2">
      <c r="A49" s="25">
        <v>33</v>
      </c>
      <c r="B49" s="26"/>
      <c r="C49" s="27"/>
      <c r="D49" s="25"/>
      <c r="E49" s="28"/>
      <c r="F49" s="27"/>
      <c r="G49" s="28"/>
      <c r="H49" s="27"/>
      <c r="I49" s="28"/>
      <c r="J49" s="202">
        <v>45357</v>
      </c>
      <c r="K49" s="29" t="s">
        <v>35</v>
      </c>
      <c r="L49" s="39"/>
      <c r="M49" s="31"/>
      <c r="N49" s="27" t="s">
        <v>272</v>
      </c>
      <c r="O49" s="307"/>
      <c r="P49" s="32"/>
      <c r="Q49" s="25"/>
      <c r="R49" s="27"/>
      <c r="S49" s="27"/>
      <c r="T49" s="28"/>
      <c r="U49" s="27"/>
      <c r="V49" s="27" t="s">
        <v>154</v>
      </c>
      <c r="W49" s="28"/>
      <c r="X49" s="33"/>
      <c r="Y49" s="32"/>
      <c r="Z49" s="25"/>
      <c r="AA49" s="27"/>
      <c r="AB49" s="28"/>
      <c r="AC49" s="27"/>
      <c r="AD49" s="27"/>
      <c r="AE49" s="33"/>
      <c r="AG49" s="25"/>
      <c r="AH49" s="34"/>
      <c r="AI49" s="27"/>
      <c r="AJ49" s="27"/>
      <c r="AK49" s="27"/>
      <c r="AL49" s="25"/>
      <c r="AM49" s="34"/>
      <c r="AN49" s="27"/>
      <c r="AO49" s="27"/>
      <c r="AP49" s="36"/>
      <c r="AQ49" s="37"/>
      <c r="AR49" s="32"/>
      <c r="AS49" s="25" t="s">
        <v>72</v>
      </c>
      <c r="AT49" s="27" t="s">
        <v>52</v>
      </c>
      <c r="AW49" s="25"/>
      <c r="AX49" s="27"/>
      <c r="AY49" s="27"/>
      <c r="AZ49" s="32"/>
      <c r="BA49" s="41"/>
    </row>
    <row r="50" spans="1:53" ht="16" thickBot="1" x14ac:dyDescent="0.25">
      <c r="A50" s="25">
        <v>34</v>
      </c>
      <c r="B50" s="26"/>
      <c r="C50" s="27"/>
      <c r="D50" s="25"/>
      <c r="E50" s="28"/>
      <c r="F50" s="27"/>
      <c r="G50" s="28"/>
      <c r="H50" s="27"/>
      <c r="I50" s="28"/>
      <c r="J50" s="202">
        <v>45357</v>
      </c>
      <c r="K50" s="29" t="s">
        <v>35</v>
      </c>
      <c r="L50" s="39"/>
      <c r="M50" s="31"/>
      <c r="N50" s="27" t="s">
        <v>272</v>
      </c>
      <c r="O50" s="307"/>
      <c r="P50" s="32"/>
      <c r="Q50" s="25"/>
      <c r="R50" s="27"/>
      <c r="S50" s="27"/>
      <c r="T50" s="28"/>
      <c r="U50" s="27"/>
      <c r="V50" s="27" t="s">
        <v>154</v>
      </c>
      <c r="W50" s="28"/>
      <c r="X50" s="33"/>
      <c r="Y50" s="32"/>
      <c r="Z50" s="25"/>
      <c r="AA50" s="27"/>
      <c r="AB50" s="28"/>
      <c r="AC50" s="27"/>
      <c r="AD50" s="27"/>
      <c r="AE50" s="33"/>
      <c r="AG50" s="25"/>
      <c r="AH50" s="34"/>
      <c r="AI50" s="27"/>
      <c r="AJ50" s="27"/>
      <c r="AK50" s="27"/>
      <c r="AL50" s="25"/>
      <c r="AM50" s="34"/>
      <c r="AN50" s="27"/>
      <c r="AO50" s="27"/>
      <c r="AP50" s="36"/>
      <c r="AQ50" s="37"/>
      <c r="AR50" s="32"/>
      <c r="AS50" s="25" t="s">
        <v>72</v>
      </c>
      <c r="AT50" s="27" t="s">
        <v>52</v>
      </c>
      <c r="AU50" s="27"/>
      <c r="AW50" s="25"/>
      <c r="AX50" s="27"/>
      <c r="AY50" s="27"/>
      <c r="AZ50" s="32"/>
      <c r="BA50" s="41"/>
    </row>
    <row r="51" spans="1:53" ht="16" thickBot="1" x14ac:dyDescent="0.25">
      <c r="A51" s="25">
        <v>35</v>
      </c>
      <c r="B51" s="26"/>
      <c r="C51" s="27"/>
      <c r="D51" s="25"/>
      <c r="E51" s="28"/>
      <c r="F51" s="27"/>
      <c r="G51" s="28"/>
      <c r="H51" s="27"/>
      <c r="I51" s="28"/>
      <c r="J51" s="202">
        <v>45357</v>
      </c>
      <c r="K51" s="29" t="s">
        <v>35</v>
      </c>
      <c r="L51" s="39"/>
      <c r="M51" s="31"/>
      <c r="N51" s="27" t="s">
        <v>272</v>
      </c>
      <c r="O51" s="307"/>
      <c r="P51" s="32"/>
      <c r="Q51" s="25"/>
      <c r="R51" s="27"/>
      <c r="S51" s="27"/>
      <c r="T51" s="28"/>
      <c r="U51" s="27"/>
      <c r="V51" s="27" t="s">
        <v>154</v>
      </c>
      <c r="W51" s="28"/>
      <c r="X51" s="33"/>
      <c r="Y51" s="32"/>
      <c r="Z51" s="25"/>
      <c r="AA51" s="27"/>
      <c r="AB51" s="28"/>
      <c r="AC51" s="27"/>
      <c r="AD51" s="27"/>
      <c r="AE51" s="33"/>
      <c r="AG51" s="25"/>
      <c r="AH51" s="34"/>
      <c r="AI51" s="27"/>
      <c r="AJ51" s="27"/>
      <c r="AK51" s="27"/>
      <c r="AL51" s="25"/>
      <c r="AM51" s="34"/>
      <c r="AN51" s="27"/>
      <c r="AO51" s="27"/>
      <c r="AP51" s="36"/>
      <c r="AQ51" s="37"/>
      <c r="AR51" s="32"/>
      <c r="AS51" s="25" t="s">
        <v>72</v>
      </c>
      <c r="AT51" s="27" t="s">
        <v>52</v>
      </c>
      <c r="AU51" s="58" t="s">
        <v>77</v>
      </c>
      <c r="AW51" s="27" t="s">
        <v>325</v>
      </c>
      <c r="AX51" s="27" t="s">
        <v>91</v>
      </c>
      <c r="AY51" s="27"/>
      <c r="AZ51" s="32"/>
      <c r="BA51" s="41"/>
    </row>
    <row r="52" spans="1:53" ht="16" thickBot="1" x14ac:dyDescent="0.25">
      <c r="A52" s="25">
        <v>36</v>
      </c>
      <c r="B52" s="26"/>
      <c r="C52" s="27"/>
      <c r="D52" s="25"/>
      <c r="E52" s="28"/>
      <c r="F52" s="27"/>
      <c r="G52" s="28"/>
      <c r="H52" s="27"/>
      <c r="I52" s="28"/>
      <c r="J52" s="202">
        <v>45357</v>
      </c>
      <c r="K52" s="29" t="s">
        <v>35</v>
      </c>
      <c r="L52" s="53"/>
      <c r="M52" s="31"/>
      <c r="N52" s="27" t="s">
        <v>272</v>
      </c>
      <c r="O52" s="307"/>
      <c r="P52" s="32"/>
      <c r="Q52" s="25"/>
      <c r="R52" s="27"/>
      <c r="S52" s="27"/>
      <c r="T52" s="28"/>
      <c r="U52" s="27"/>
      <c r="V52" s="27" t="s">
        <v>154</v>
      </c>
      <c r="W52" s="28"/>
      <c r="X52" s="33"/>
      <c r="Y52" s="32"/>
      <c r="Z52" s="25"/>
      <c r="AA52" s="27"/>
      <c r="AB52" s="28"/>
      <c r="AC52" s="27"/>
      <c r="AD52" s="27"/>
      <c r="AE52" s="33"/>
      <c r="AG52" s="25"/>
      <c r="AH52" s="34"/>
      <c r="AI52" s="27"/>
      <c r="AJ52" s="27"/>
      <c r="AK52" s="27"/>
      <c r="AL52" s="25"/>
      <c r="AM52" s="34"/>
      <c r="AN52" s="27"/>
      <c r="AO52" s="27"/>
      <c r="AP52" s="36"/>
      <c r="AQ52" s="37"/>
      <c r="AR52" s="32"/>
      <c r="AS52" s="25" t="s">
        <v>78</v>
      </c>
      <c r="AT52" s="27" t="s">
        <v>52</v>
      </c>
      <c r="AW52" s="27" t="s">
        <v>325</v>
      </c>
      <c r="AX52" s="27" t="s">
        <v>91</v>
      </c>
      <c r="AY52" s="27"/>
      <c r="AZ52" s="32"/>
      <c r="BA52" s="41"/>
    </row>
    <row r="53" spans="1:53" ht="16" thickBot="1" x14ac:dyDescent="0.25">
      <c r="A53" s="25">
        <v>37</v>
      </c>
      <c r="B53" s="26"/>
      <c r="C53" s="27"/>
      <c r="D53" s="25"/>
      <c r="E53" s="28"/>
      <c r="F53" s="27"/>
      <c r="G53" s="28"/>
      <c r="H53" s="27"/>
      <c r="I53" s="28"/>
      <c r="J53" s="202">
        <v>45357</v>
      </c>
      <c r="K53" s="29" t="s">
        <v>35</v>
      </c>
      <c r="L53" s="53"/>
      <c r="M53" s="31"/>
      <c r="N53" s="27" t="s">
        <v>272</v>
      </c>
      <c r="O53" s="307"/>
      <c r="P53" s="32"/>
      <c r="Q53" s="25"/>
      <c r="R53" s="27"/>
      <c r="S53" s="27"/>
      <c r="T53" s="28"/>
      <c r="U53" s="27"/>
      <c r="V53" s="27" t="s">
        <v>154</v>
      </c>
      <c r="W53" s="28"/>
      <c r="X53" s="33"/>
      <c r="Y53" s="32"/>
      <c r="Z53" s="59"/>
      <c r="AA53" s="60"/>
      <c r="AB53" s="61"/>
      <c r="AC53" s="27"/>
      <c r="AD53" s="27"/>
      <c r="AE53" s="33"/>
      <c r="AG53" s="25"/>
      <c r="AH53" s="34"/>
      <c r="AI53" s="27"/>
      <c r="AJ53" s="27"/>
      <c r="AK53" s="27"/>
      <c r="AL53" s="25"/>
      <c r="AM53" s="34"/>
      <c r="AN53" s="27"/>
      <c r="AO53" s="27"/>
      <c r="AP53" s="36"/>
      <c r="AQ53" s="37"/>
      <c r="AR53" s="32"/>
      <c r="AS53" s="25" t="s">
        <v>78</v>
      </c>
      <c r="AT53" s="27" t="s">
        <v>52</v>
      </c>
      <c r="AU53" s="27"/>
      <c r="AW53" s="27" t="s">
        <v>325</v>
      </c>
      <c r="AX53" s="27" t="s">
        <v>91</v>
      </c>
      <c r="AY53" s="27"/>
      <c r="AZ53" s="32"/>
      <c r="BA53" s="41"/>
    </row>
    <row r="54" spans="1:53" x14ac:dyDescent="0.2">
      <c r="A54" s="25">
        <v>38</v>
      </c>
      <c r="B54" s="26"/>
      <c r="C54" s="27"/>
      <c r="D54" s="25"/>
      <c r="E54" s="28"/>
      <c r="F54" s="27"/>
      <c r="G54" s="28"/>
      <c r="H54" s="27"/>
      <c r="I54" s="28"/>
      <c r="J54" s="202">
        <v>45357</v>
      </c>
      <c r="K54" s="29" t="s">
        <v>35</v>
      </c>
      <c r="L54" s="39"/>
      <c r="M54" s="31"/>
      <c r="N54" s="27" t="s">
        <v>272</v>
      </c>
      <c r="O54" s="307"/>
      <c r="P54" s="32"/>
      <c r="Q54" s="25"/>
      <c r="R54" s="27"/>
      <c r="S54" s="27"/>
      <c r="T54" s="28"/>
      <c r="U54" s="27"/>
      <c r="V54" s="27" t="s">
        <v>154</v>
      </c>
      <c r="W54" s="28"/>
      <c r="X54" s="33"/>
      <c r="Y54" s="32"/>
      <c r="Z54" s="25"/>
      <c r="AA54" s="27"/>
      <c r="AB54" s="28"/>
      <c r="AC54" s="27"/>
      <c r="AD54" s="27"/>
      <c r="AE54" s="33"/>
      <c r="AG54" s="25"/>
      <c r="AH54" s="34"/>
      <c r="AI54" s="27"/>
      <c r="AJ54" s="27"/>
      <c r="AK54" s="27"/>
      <c r="AL54" s="25"/>
      <c r="AM54" s="34"/>
      <c r="AN54" s="27"/>
      <c r="AO54" s="27"/>
      <c r="AP54" s="36"/>
      <c r="AQ54" s="37"/>
      <c r="AR54" s="32"/>
      <c r="AS54" s="25" t="s">
        <v>78</v>
      </c>
      <c r="AT54" s="27" t="s">
        <v>52</v>
      </c>
      <c r="AU54" s="27"/>
      <c r="AW54" s="27" t="s">
        <v>325</v>
      </c>
      <c r="AX54" s="27" t="s">
        <v>91</v>
      </c>
      <c r="AY54" s="27"/>
      <c r="AZ54" s="32"/>
      <c r="BA54" s="41"/>
    </row>
    <row r="55" spans="1:53" ht="16" thickBot="1" x14ac:dyDescent="0.25">
      <c r="A55" s="25">
        <v>39</v>
      </c>
      <c r="B55" s="26"/>
      <c r="C55" s="27"/>
      <c r="D55" s="25"/>
      <c r="E55" s="28"/>
      <c r="F55" s="27"/>
      <c r="G55" s="28"/>
      <c r="H55" s="27"/>
      <c r="I55" s="28"/>
      <c r="J55" s="202">
        <v>45357</v>
      </c>
      <c r="K55" s="29" t="s">
        <v>35</v>
      </c>
      <c r="M55" s="31"/>
      <c r="N55" s="27" t="s">
        <v>272</v>
      </c>
      <c r="O55" s="307"/>
      <c r="P55" s="32"/>
      <c r="Q55" s="25"/>
      <c r="R55" s="27"/>
      <c r="S55" s="27"/>
      <c r="T55" s="28"/>
      <c r="U55" s="27"/>
      <c r="V55" s="27" t="s">
        <v>154</v>
      </c>
      <c r="W55" s="28"/>
      <c r="X55" s="33"/>
      <c r="Y55" s="32"/>
      <c r="Z55" s="25"/>
      <c r="AA55" s="27"/>
      <c r="AB55" s="28"/>
      <c r="AC55" s="27"/>
      <c r="AD55" s="27"/>
      <c r="AE55" s="33"/>
      <c r="AG55" s="25"/>
      <c r="AH55" s="34"/>
      <c r="AI55" s="27"/>
      <c r="AJ55" s="27"/>
      <c r="AK55" s="27"/>
      <c r="AL55" s="25"/>
      <c r="AM55" s="34"/>
      <c r="AN55" s="27"/>
      <c r="AO55" s="27"/>
      <c r="AP55" s="36"/>
      <c r="AQ55" s="37"/>
      <c r="AR55" s="32"/>
      <c r="AS55" s="25" t="s">
        <v>78</v>
      </c>
      <c r="AT55" s="27" t="s">
        <v>52</v>
      </c>
      <c r="AU55" s="27"/>
      <c r="AW55" s="27" t="s">
        <v>325</v>
      </c>
      <c r="AX55" s="27" t="s">
        <v>91</v>
      </c>
      <c r="AY55" s="27"/>
      <c r="AZ55" s="32"/>
      <c r="BA55" s="41"/>
    </row>
    <row r="56" spans="1:53" ht="16" thickBot="1" x14ac:dyDescent="0.25">
      <c r="A56" s="25">
        <v>40</v>
      </c>
      <c r="B56" s="26"/>
      <c r="C56" s="27"/>
      <c r="D56" s="25"/>
      <c r="E56" s="28"/>
      <c r="F56" s="27"/>
      <c r="G56" s="28"/>
      <c r="H56" s="27"/>
      <c r="I56" s="28"/>
      <c r="J56" s="202">
        <v>45357</v>
      </c>
      <c r="K56" s="29" t="s">
        <v>35</v>
      </c>
      <c r="L56" s="53"/>
      <c r="M56" s="31"/>
      <c r="N56" s="27" t="s">
        <v>272</v>
      </c>
      <c r="O56" s="308"/>
      <c r="Q56" s="25"/>
      <c r="R56" s="27"/>
      <c r="S56" s="27"/>
      <c r="T56" s="28"/>
      <c r="U56" s="27"/>
      <c r="V56" s="27" t="s">
        <v>154</v>
      </c>
      <c r="W56" s="28"/>
      <c r="X56" s="33"/>
      <c r="Y56" s="32"/>
      <c r="Z56" s="59"/>
      <c r="AA56" s="60"/>
      <c r="AB56" s="61"/>
      <c r="AC56" s="27"/>
      <c r="AD56" s="27"/>
      <c r="AE56" s="33"/>
      <c r="AG56" s="25"/>
      <c r="AH56" s="34"/>
      <c r="AI56" s="27"/>
      <c r="AJ56" s="27"/>
      <c r="AK56" s="27"/>
      <c r="AL56" s="25"/>
      <c r="AM56" s="34"/>
      <c r="AN56" s="27"/>
      <c r="AO56" s="27"/>
      <c r="AP56" s="36"/>
      <c r="AQ56" s="37"/>
      <c r="AR56" s="32"/>
      <c r="AS56" s="25" t="s">
        <v>79</v>
      </c>
      <c r="AT56" s="27" t="s">
        <v>52</v>
      </c>
      <c r="AU56" s="58" t="s">
        <v>80</v>
      </c>
      <c r="AW56" s="27" t="s">
        <v>325</v>
      </c>
      <c r="AX56" s="27" t="s">
        <v>91</v>
      </c>
      <c r="AY56" s="27"/>
      <c r="AZ56" s="32"/>
      <c r="BA56" s="41"/>
    </row>
    <row r="57" spans="1:53" x14ac:dyDescent="0.2">
      <c r="A57" s="25">
        <v>41</v>
      </c>
      <c r="B57" s="26"/>
      <c r="C57" s="27"/>
      <c r="D57" s="25"/>
      <c r="E57" s="28"/>
      <c r="F57" s="27"/>
      <c r="G57" s="28"/>
      <c r="H57" s="27"/>
      <c r="I57" s="28"/>
      <c r="J57" s="202">
        <v>45357</v>
      </c>
      <c r="K57" s="29" t="s">
        <v>35</v>
      </c>
      <c r="M57" s="31"/>
      <c r="N57" s="27" t="s">
        <v>272</v>
      </c>
      <c r="P57" s="32"/>
      <c r="Q57" s="25"/>
      <c r="R57" s="27"/>
      <c r="S57" s="27"/>
      <c r="T57" s="28"/>
      <c r="U57" s="27"/>
      <c r="V57" s="27" t="s">
        <v>154</v>
      </c>
      <c r="W57" s="28"/>
      <c r="X57" s="33"/>
      <c r="Y57" s="32"/>
      <c r="Z57" s="25"/>
      <c r="AA57" s="27"/>
      <c r="AB57" s="28"/>
      <c r="AC57" s="27"/>
      <c r="AD57" s="27"/>
      <c r="AE57" s="33"/>
      <c r="AG57" s="25"/>
      <c r="AH57" s="34"/>
      <c r="AI57" s="27"/>
      <c r="AJ57" s="27"/>
      <c r="AK57" s="27"/>
      <c r="AL57" s="25"/>
      <c r="AM57" s="34"/>
      <c r="AN57" s="27"/>
      <c r="AO57" s="27"/>
      <c r="AP57" s="36"/>
      <c r="AQ57" s="37"/>
      <c r="AR57" s="32"/>
      <c r="AS57" s="25" t="s">
        <v>79</v>
      </c>
      <c r="AT57" s="27" t="s">
        <v>52</v>
      </c>
      <c r="AU57" s="27"/>
      <c r="AW57" s="27" t="s">
        <v>325</v>
      </c>
      <c r="AX57" s="27" t="s">
        <v>91</v>
      </c>
      <c r="AY57" s="27"/>
      <c r="AZ57" s="32"/>
      <c r="BA57" s="41"/>
    </row>
    <row r="58" spans="1:53" x14ac:dyDescent="0.2">
      <c r="A58" s="25">
        <v>42</v>
      </c>
      <c r="B58" s="26"/>
      <c r="C58" s="27"/>
      <c r="D58" s="25"/>
      <c r="E58" s="28"/>
      <c r="F58" s="27"/>
      <c r="G58" s="28"/>
      <c r="H58" s="27"/>
      <c r="I58" s="28"/>
      <c r="J58" s="202">
        <v>45357</v>
      </c>
      <c r="K58" s="29" t="s">
        <v>35</v>
      </c>
      <c r="L58" s="39"/>
      <c r="M58" s="31"/>
      <c r="N58" s="27" t="s">
        <v>272</v>
      </c>
      <c r="P58" s="32"/>
      <c r="Q58" s="25"/>
      <c r="R58" s="27"/>
      <c r="S58" s="27"/>
      <c r="T58" s="28"/>
      <c r="U58" s="27"/>
      <c r="V58" s="27" t="s">
        <v>154</v>
      </c>
      <c r="W58" s="28"/>
      <c r="X58" s="33"/>
      <c r="Y58" s="32"/>
      <c r="Z58" s="25"/>
      <c r="AA58" s="27"/>
      <c r="AB58" s="28"/>
      <c r="AC58" s="27"/>
      <c r="AD58" s="27"/>
      <c r="AE58" s="33"/>
      <c r="AG58" s="25"/>
      <c r="AH58" s="34"/>
      <c r="AI58" s="27"/>
      <c r="AJ58" s="27"/>
      <c r="AK58" s="27"/>
      <c r="AL58" s="25"/>
      <c r="AM58" s="34"/>
      <c r="AN58" s="27"/>
      <c r="AO58" s="27"/>
      <c r="AP58" s="36"/>
      <c r="AQ58" s="37"/>
      <c r="AR58" s="32"/>
      <c r="AS58" s="25" t="s">
        <v>79</v>
      </c>
      <c r="AT58" s="27" t="s">
        <v>52</v>
      </c>
      <c r="AU58" s="27"/>
      <c r="AW58" s="27" t="s">
        <v>325</v>
      </c>
      <c r="AX58" s="27" t="s">
        <v>91</v>
      </c>
      <c r="AY58" s="27"/>
      <c r="AZ58" s="32"/>
      <c r="BA58" s="41"/>
    </row>
    <row r="59" spans="1:53" ht="16" thickBot="1" x14ac:dyDescent="0.25">
      <c r="A59" s="25">
        <v>43</v>
      </c>
      <c r="B59" s="26"/>
      <c r="C59" s="27"/>
      <c r="D59" s="25"/>
      <c r="E59" s="28"/>
      <c r="F59" s="27"/>
      <c r="G59" s="28"/>
      <c r="H59" s="27"/>
      <c r="I59" s="28"/>
      <c r="J59" s="202">
        <v>45357</v>
      </c>
      <c r="K59" s="29" t="s">
        <v>35</v>
      </c>
      <c r="L59" s="39"/>
      <c r="M59" s="31"/>
      <c r="N59" s="27" t="s">
        <v>272</v>
      </c>
      <c r="P59" s="32"/>
      <c r="Q59" s="25"/>
      <c r="R59" s="27"/>
      <c r="S59" s="27"/>
      <c r="T59" s="28"/>
      <c r="U59" s="27"/>
      <c r="V59" s="27" t="s">
        <v>154</v>
      </c>
      <c r="W59" s="28"/>
      <c r="X59" s="33"/>
      <c r="Y59" s="32"/>
      <c r="Z59" s="25"/>
      <c r="AA59" s="27"/>
      <c r="AB59" s="28"/>
      <c r="AC59" s="27"/>
      <c r="AD59" s="27"/>
      <c r="AE59" s="33"/>
      <c r="AG59" s="25"/>
      <c r="AH59" s="34"/>
      <c r="AI59" s="27"/>
      <c r="AJ59" s="27"/>
      <c r="AK59" s="27"/>
      <c r="AL59" s="25"/>
      <c r="AM59" s="34"/>
      <c r="AN59" s="27"/>
      <c r="AO59" s="27"/>
      <c r="AP59" s="36"/>
      <c r="AQ59" s="37"/>
      <c r="AR59" s="32"/>
      <c r="AS59" s="25" t="s">
        <v>79</v>
      </c>
      <c r="AT59" s="27" t="s">
        <v>52</v>
      </c>
      <c r="AU59" s="27"/>
      <c r="AW59" s="27" t="s">
        <v>325</v>
      </c>
      <c r="AX59" s="27" t="s">
        <v>91</v>
      </c>
      <c r="AY59" s="27"/>
      <c r="AZ59" s="32"/>
      <c r="BA59" s="41"/>
    </row>
    <row r="60" spans="1:53" ht="16" thickBot="1" x14ac:dyDescent="0.25">
      <c r="A60" s="25">
        <v>44</v>
      </c>
      <c r="B60" s="26"/>
      <c r="C60" s="27"/>
      <c r="D60" s="25"/>
      <c r="E60" s="28"/>
      <c r="F60" s="27"/>
      <c r="G60" s="28"/>
      <c r="H60" s="27"/>
      <c r="I60" s="28"/>
      <c r="J60" s="202">
        <v>45357</v>
      </c>
      <c r="K60" s="29" t="s">
        <v>35</v>
      </c>
      <c r="L60" s="39"/>
      <c r="M60" s="31"/>
      <c r="N60" s="27" t="s">
        <v>272</v>
      </c>
      <c r="P60" s="32"/>
      <c r="Q60" s="27"/>
      <c r="R60" s="27"/>
      <c r="S60" s="27"/>
      <c r="T60" s="28"/>
      <c r="U60" s="27"/>
      <c r="V60" s="27" t="s">
        <v>154</v>
      </c>
      <c r="W60" s="28"/>
      <c r="X60" s="33"/>
      <c r="Y60" s="32"/>
      <c r="Z60" s="59"/>
      <c r="AA60" s="60"/>
      <c r="AB60" s="61"/>
      <c r="AC60" s="27"/>
      <c r="AD60" s="27"/>
      <c r="AE60" s="33"/>
      <c r="AG60" s="25"/>
      <c r="AH60" s="34"/>
      <c r="AI60" s="27"/>
      <c r="AJ60" s="27"/>
      <c r="AK60" s="27"/>
      <c r="AL60" s="25"/>
      <c r="AM60" s="34"/>
      <c r="AN60" s="27"/>
      <c r="AO60" s="27"/>
      <c r="AP60" s="36"/>
      <c r="AQ60" s="37"/>
      <c r="AR60" s="32"/>
      <c r="AS60" s="25" t="s">
        <v>79</v>
      </c>
      <c r="AT60" s="27" t="s">
        <v>52</v>
      </c>
      <c r="AU60" s="58" t="s">
        <v>81</v>
      </c>
      <c r="AW60" s="27" t="s">
        <v>325</v>
      </c>
      <c r="AX60" s="27" t="s">
        <v>303</v>
      </c>
      <c r="AY60" s="27"/>
      <c r="AZ60" s="32"/>
      <c r="BA60" s="41"/>
    </row>
    <row r="61" spans="1:53" x14ac:dyDescent="0.2">
      <c r="A61" s="25">
        <v>45</v>
      </c>
      <c r="B61" s="26"/>
      <c r="C61" s="27"/>
      <c r="D61" s="25"/>
      <c r="E61" s="28"/>
      <c r="F61" s="27"/>
      <c r="G61" s="28"/>
      <c r="H61" s="27"/>
      <c r="I61" s="28"/>
      <c r="J61" s="202">
        <v>45357</v>
      </c>
      <c r="K61" s="29" t="s">
        <v>35</v>
      </c>
      <c r="L61" s="39"/>
      <c r="M61" s="31"/>
      <c r="N61" s="27" t="s">
        <v>272</v>
      </c>
      <c r="P61" s="32"/>
      <c r="Q61" s="25"/>
      <c r="R61" s="27"/>
      <c r="S61" s="27"/>
      <c r="T61" s="28"/>
      <c r="U61" s="27"/>
      <c r="V61" s="27" t="s">
        <v>154</v>
      </c>
      <c r="W61" s="28"/>
      <c r="X61" s="33"/>
      <c r="Y61" s="32"/>
      <c r="Z61" s="25"/>
      <c r="AA61" s="27"/>
      <c r="AB61" s="28"/>
      <c r="AC61" s="27"/>
      <c r="AD61" s="27"/>
      <c r="AE61" s="33"/>
      <c r="AG61" s="25"/>
      <c r="AH61" s="34"/>
      <c r="AI61" s="27"/>
      <c r="AJ61" s="27"/>
      <c r="AK61" s="27"/>
      <c r="AL61" s="25"/>
      <c r="AM61" s="34"/>
      <c r="AN61" s="27"/>
      <c r="AO61" s="27"/>
      <c r="AP61" s="36"/>
      <c r="AQ61" s="37"/>
      <c r="AR61" s="32"/>
      <c r="AS61" s="25" t="s">
        <v>82</v>
      </c>
      <c r="AT61" s="27" t="s">
        <v>52</v>
      </c>
      <c r="AW61" s="27" t="s">
        <v>325</v>
      </c>
      <c r="AX61" s="27" t="s">
        <v>303</v>
      </c>
      <c r="AY61" s="27"/>
      <c r="AZ61" s="32"/>
      <c r="BA61" s="41"/>
    </row>
    <row r="62" spans="1:53" x14ac:dyDescent="0.2">
      <c r="A62" s="25">
        <v>46</v>
      </c>
      <c r="B62" s="26"/>
      <c r="C62" s="27"/>
      <c r="D62" s="25"/>
      <c r="E62" s="28"/>
      <c r="F62" s="27"/>
      <c r="G62" s="28"/>
      <c r="H62" s="27"/>
      <c r="I62" s="28"/>
      <c r="J62" s="202">
        <v>45357</v>
      </c>
      <c r="K62" s="29" t="s">
        <v>35</v>
      </c>
      <c r="L62" s="39"/>
      <c r="M62" s="31"/>
      <c r="N62" s="27" t="s">
        <v>272</v>
      </c>
      <c r="P62" s="32"/>
      <c r="Q62" s="25"/>
      <c r="R62" s="27"/>
      <c r="S62" s="27"/>
      <c r="T62" s="28"/>
      <c r="U62" s="27"/>
      <c r="V62" s="27" t="s">
        <v>154</v>
      </c>
      <c r="W62" s="28"/>
      <c r="X62" s="33"/>
      <c r="Y62" s="32"/>
      <c r="Z62" s="25"/>
      <c r="AA62" s="27"/>
      <c r="AB62" s="28"/>
      <c r="AC62" s="27"/>
      <c r="AD62" s="27"/>
      <c r="AE62" s="33"/>
      <c r="AG62" s="25"/>
      <c r="AH62" s="34"/>
      <c r="AI62" s="27"/>
      <c r="AJ62" s="27"/>
      <c r="AK62" s="27"/>
      <c r="AL62" s="25"/>
      <c r="AM62" s="34"/>
      <c r="AN62" s="27"/>
      <c r="AO62" s="27"/>
      <c r="AP62" s="36"/>
      <c r="AQ62" s="37"/>
      <c r="AR62" s="32"/>
      <c r="AS62" s="25" t="s">
        <v>82</v>
      </c>
      <c r="AT62" s="27" t="s">
        <v>52</v>
      </c>
      <c r="AU62" s="27"/>
      <c r="AW62" s="27" t="s">
        <v>325</v>
      </c>
      <c r="AX62" s="27" t="s">
        <v>303</v>
      </c>
      <c r="AY62" s="27"/>
      <c r="AZ62" s="32"/>
      <c r="BA62" s="41"/>
    </row>
    <row r="63" spans="1:53" x14ac:dyDescent="0.2">
      <c r="A63" s="25">
        <v>47</v>
      </c>
      <c r="B63" s="26"/>
      <c r="C63" s="27"/>
      <c r="D63" s="25"/>
      <c r="E63" s="28"/>
      <c r="F63" s="27"/>
      <c r="G63" s="28"/>
      <c r="H63" s="27"/>
      <c r="I63" s="28"/>
      <c r="J63" s="202">
        <v>45357</v>
      </c>
      <c r="K63" s="29" t="s">
        <v>35</v>
      </c>
      <c r="L63" s="39"/>
      <c r="M63" s="31"/>
      <c r="N63" s="27" t="s">
        <v>272</v>
      </c>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c r="AO63" s="27"/>
      <c r="AP63" s="36"/>
      <c r="AQ63" s="37"/>
      <c r="AR63" s="32"/>
      <c r="AS63" s="25" t="s">
        <v>82</v>
      </c>
      <c r="AT63" s="27" t="s">
        <v>52</v>
      </c>
      <c r="AU63" s="27"/>
      <c r="AW63" s="27" t="s">
        <v>325</v>
      </c>
      <c r="AX63" s="27" t="s">
        <v>303</v>
      </c>
      <c r="AY63" s="27"/>
      <c r="AZ63" s="32"/>
      <c r="BA63" s="41"/>
    </row>
    <row r="64" spans="1:53" x14ac:dyDescent="0.2">
      <c r="A64" s="25">
        <v>48</v>
      </c>
      <c r="B64" s="26"/>
      <c r="C64" s="27"/>
      <c r="D64" s="25"/>
      <c r="E64" s="28"/>
      <c r="F64" s="27"/>
      <c r="G64" s="28"/>
      <c r="H64" s="27"/>
      <c r="I64" s="28"/>
      <c r="J64" s="202">
        <v>45357</v>
      </c>
      <c r="K64" s="29" t="s">
        <v>35</v>
      </c>
      <c r="M64" s="31"/>
      <c r="N64" s="27" t="s">
        <v>272</v>
      </c>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c r="AO64" s="27"/>
      <c r="AP64" s="36"/>
      <c r="AQ64" s="37"/>
      <c r="AR64" s="32"/>
      <c r="AS64" s="25" t="s">
        <v>82</v>
      </c>
      <c r="AT64" s="27" t="s">
        <v>52</v>
      </c>
      <c r="AU64" s="27"/>
      <c r="AW64" s="27" t="s">
        <v>325</v>
      </c>
      <c r="AX64" s="27" t="s">
        <v>303</v>
      </c>
      <c r="AY64" s="27"/>
      <c r="AZ64" s="32"/>
      <c r="BA64" s="41"/>
    </row>
    <row r="65" spans="1:53" ht="16" thickBot="1" x14ac:dyDescent="0.25">
      <c r="A65" s="25">
        <v>49</v>
      </c>
      <c r="B65" s="26"/>
      <c r="C65" s="27"/>
      <c r="D65" s="25"/>
      <c r="E65" s="28"/>
      <c r="F65" s="27"/>
      <c r="G65" s="28"/>
      <c r="H65" s="27"/>
      <c r="I65" s="28"/>
      <c r="J65" s="202">
        <v>45357</v>
      </c>
      <c r="K65" s="29" t="s">
        <v>35</v>
      </c>
      <c r="L65" s="39"/>
      <c r="M65" s="31"/>
      <c r="N65" s="27" t="s">
        <v>272</v>
      </c>
      <c r="P65" s="32"/>
      <c r="Q65" s="25"/>
      <c r="R65" s="27"/>
      <c r="S65" s="27"/>
      <c r="T65" s="28"/>
      <c r="U65" s="27"/>
      <c r="V65" s="27" t="s">
        <v>154</v>
      </c>
      <c r="W65" s="28"/>
      <c r="X65" s="33"/>
      <c r="Y65" s="32"/>
      <c r="Z65" s="25"/>
      <c r="AA65" s="27"/>
      <c r="AB65" s="28"/>
      <c r="AC65" s="27"/>
      <c r="AD65" s="27"/>
      <c r="AE65" s="33"/>
      <c r="AG65" s="25"/>
      <c r="AH65" s="34"/>
      <c r="AI65" s="27"/>
      <c r="AJ65" s="27"/>
      <c r="AK65" s="27"/>
      <c r="AL65" s="25"/>
      <c r="AM65" s="34"/>
      <c r="AN65" s="27"/>
      <c r="AO65" s="27"/>
      <c r="AP65" s="36"/>
      <c r="AQ65" s="37"/>
      <c r="AR65" s="32"/>
      <c r="AS65" s="25" t="s">
        <v>82</v>
      </c>
      <c r="AT65" s="27" t="s">
        <v>52</v>
      </c>
      <c r="AU65" s="27"/>
      <c r="AW65" s="27" t="s">
        <v>325</v>
      </c>
      <c r="AX65" s="27" t="s">
        <v>303</v>
      </c>
      <c r="AY65" s="27"/>
      <c r="AZ65" s="32"/>
      <c r="BA65" s="41"/>
    </row>
    <row r="66" spans="1:53" ht="16" thickBot="1" x14ac:dyDescent="0.25">
      <c r="A66" s="25">
        <v>50</v>
      </c>
      <c r="B66" s="26"/>
      <c r="C66" s="27"/>
      <c r="D66" s="25"/>
      <c r="E66" s="28"/>
      <c r="F66" s="27"/>
      <c r="G66" s="28"/>
      <c r="H66" s="27"/>
      <c r="I66" s="28"/>
      <c r="J66" s="202">
        <v>45357</v>
      </c>
      <c r="K66" s="29" t="s">
        <v>35</v>
      </c>
      <c r="L66" s="44" t="s">
        <v>83</v>
      </c>
      <c r="M66" s="31"/>
      <c r="N66" s="27" t="s">
        <v>272</v>
      </c>
      <c r="O66" s="45" t="s">
        <v>349</v>
      </c>
      <c r="P66" s="46" t="s">
        <v>61</v>
      </c>
      <c r="Q66" s="25"/>
      <c r="R66" s="27"/>
      <c r="S66" s="27"/>
      <c r="T66" s="28"/>
      <c r="U66" s="27"/>
      <c r="V66" s="27" t="s">
        <v>154</v>
      </c>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58" t="s">
        <v>88</v>
      </c>
      <c r="AW66" s="27" t="s">
        <v>325</v>
      </c>
      <c r="AX66" s="27" t="s">
        <v>303</v>
      </c>
      <c r="AY66" s="27"/>
      <c r="AZ66" s="32"/>
      <c r="BA66" s="41"/>
    </row>
    <row r="67" spans="1:53" ht="16" thickBot="1" x14ac:dyDescent="0.25">
      <c r="A67" s="25">
        <v>51</v>
      </c>
      <c r="B67" s="26"/>
      <c r="C67" s="27"/>
      <c r="D67" s="25"/>
      <c r="E67" s="28"/>
      <c r="F67" s="27"/>
      <c r="G67" s="28"/>
      <c r="H67" s="27"/>
      <c r="I67" s="28"/>
      <c r="J67" s="27">
        <v>8</v>
      </c>
      <c r="K67" s="29" t="s">
        <v>35</v>
      </c>
      <c r="L67" s="88" t="s">
        <v>348</v>
      </c>
      <c r="M67" s="31"/>
      <c r="N67" s="27"/>
      <c r="P67" s="46"/>
      <c r="Q67" s="27"/>
      <c r="R67" s="27"/>
      <c r="S67" s="27"/>
      <c r="T67" s="28"/>
      <c r="U67" s="27"/>
      <c r="V67" s="27" t="s">
        <v>154</v>
      </c>
      <c r="W67" s="28"/>
      <c r="X67" s="33"/>
      <c r="Y67" s="32"/>
      <c r="Z67" s="25"/>
      <c r="AA67" s="27"/>
      <c r="AB67" s="28"/>
      <c r="AC67" s="27"/>
      <c r="AD67" s="27"/>
      <c r="AE67" s="33"/>
      <c r="AG67" s="25"/>
      <c r="AH67" s="34"/>
      <c r="AI67" s="27"/>
      <c r="AJ67" s="27"/>
      <c r="AK67" s="27"/>
      <c r="AL67" s="25"/>
      <c r="AM67" s="34"/>
      <c r="AN67" s="27"/>
      <c r="AO67" s="27"/>
      <c r="AP67" s="36"/>
      <c r="AQ67" s="37"/>
      <c r="AR67" s="32"/>
      <c r="AS67" s="25" t="s">
        <v>86</v>
      </c>
      <c r="AT67" s="27" t="s">
        <v>87</v>
      </c>
      <c r="AU67" s="27"/>
      <c r="AW67" s="27" t="s">
        <v>325</v>
      </c>
      <c r="AX67" s="27" t="s">
        <v>303</v>
      </c>
      <c r="AY67" s="27"/>
      <c r="AZ67" s="32"/>
      <c r="BA67" s="41"/>
    </row>
    <row r="68" spans="1:53" ht="16" thickBot="1" x14ac:dyDescent="0.25">
      <c r="A68" s="25">
        <v>52</v>
      </c>
      <c r="B68" s="26"/>
      <c r="C68" s="27"/>
      <c r="D68" s="25"/>
      <c r="E68" s="28"/>
      <c r="F68" s="27"/>
      <c r="G68" s="28"/>
      <c r="H68" s="27"/>
      <c r="I68" s="28"/>
      <c r="J68" s="27">
        <v>8</v>
      </c>
      <c r="K68" s="29" t="s">
        <v>35</v>
      </c>
      <c r="L68" s="39"/>
      <c r="M68" s="31"/>
      <c r="N68" s="27"/>
      <c r="P68" s="32"/>
      <c r="Q68" s="25"/>
      <c r="R68" s="27"/>
      <c r="S68" s="27"/>
      <c r="T68" s="28"/>
      <c r="U68" s="27"/>
      <c r="V68" s="27" t="s">
        <v>154</v>
      </c>
      <c r="W68" s="28"/>
      <c r="X68" s="33"/>
      <c r="Y68" s="32"/>
      <c r="Z68" s="25"/>
      <c r="AA68" s="27"/>
      <c r="AB68" s="28"/>
      <c r="AC68" s="27"/>
      <c r="AD68" s="27"/>
      <c r="AE68" s="33"/>
      <c r="AG68" s="25"/>
      <c r="AH68" s="34"/>
      <c r="AI68" s="27"/>
      <c r="AJ68" s="27"/>
      <c r="AK68" s="27"/>
      <c r="AL68" s="25"/>
      <c r="AM68" s="34"/>
      <c r="AN68" s="27"/>
      <c r="AO68" s="27"/>
      <c r="AP68" s="36"/>
      <c r="AQ68" s="37"/>
      <c r="AR68" s="32"/>
      <c r="AS68" s="25" t="s">
        <v>86</v>
      </c>
      <c r="AT68" s="27" t="s">
        <v>87</v>
      </c>
      <c r="AW68" s="27" t="s">
        <v>325</v>
      </c>
      <c r="AX68" s="27" t="s">
        <v>303</v>
      </c>
      <c r="AY68" s="27"/>
      <c r="AZ68" s="32"/>
      <c r="BA68" s="41"/>
    </row>
    <row r="69" spans="1:53" ht="16" thickBot="1" x14ac:dyDescent="0.25">
      <c r="A69" s="25">
        <v>53</v>
      </c>
      <c r="B69" s="26"/>
      <c r="C69" s="27"/>
      <c r="D69" s="25"/>
      <c r="E69" s="28"/>
      <c r="F69" s="27"/>
      <c r="G69" s="28"/>
      <c r="H69" s="27"/>
      <c r="I69" s="28"/>
      <c r="J69" s="27">
        <v>8</v>
      </c>
      <c r="K69" s="29" t="s">
        <v>35</v>
      </c>
      <c r="L69" s="39"/>
      <c r="M69" s="31"/>
      <c r="N69" s="27"/>
      <c r="P69" s="32"/>
      <c r="Q69" s="25"/>
      <c r="R69" s="27"/>
      <c r="S69" s="27"/>
      <c r="T69" s="28"/>
      <c r="U69" s="27"/>
      <c r="V69" s="27" t="s">
        <v>154</v>
      </c>
      <c r="W69" s="28"/>
      <c r="X69" s="33"/>
      <c r="Y69" s="32"/>
      <c r="Z69" s="25"/>
      <c r="AA69" s="27"/>
      <c r="AB69" s="28"/>
      <c r="AC69" s="27"/>
      <c r="AD69" s="27"/>
      <c r="AE69" s="33"/>
      <c r="AG69" s="25"/>
      <c r="AH69" s="34"/>
      <c r="AI69" s="27"/>
      <c r="AJ69" s="27"/>
      <c r="AK69" s="27"/>
      <c r="AL69" s="25"/>
      <c r="AM69" s="34"/>
      <c r="AN69" s="27"/>
      <c r="AO69" s="27"/>
      <c r="AP69" s="36"/>
      <c r="AQ69" s="37"/>
      <c r="AR69" s="32"/>
      <c r="AS69" s="25" t="s">
        <v>86</v>
      </c>
      <c r="AT69" s="27" t="s">
        <v>87</v>
      </c>
      <c r="AU69" s="27"/>
      <c r="AW69" s="25" t="s">
        <v>341</v>
      </c>
      <c r="AX69" s="27" t="s">
        <v>91</v>
      </c>
      <c r="AY69" s="89" t="s">
        <v>92</v>
      </c>
      <c r="AZ69" s="32"/>
      <c r="BA69" s="41"/>
    </row>
    <row r="70" spans="1:53" ht="16" thickBot="1" x14ac:dyDescent="0.25">
      <c r="A70" s="25">
        <v>54</v>
      </c>
      <c r="B70" s="26"/>
      <c r="C70" s="27"/>
      <c r="D70" s="25"/>
      <c r="E70" s="28"/>
      <c r="F70" s="27"/>
      <c r="G70" s="28"/>
      <c r="H70" s="27"/>
      <c r="I70" s="28"/>
      <c r="J70" s="27">
        <v>8</v>
      </c>
      <c r="K70" s="29" t="s">
        <v>35</v>
      </c>
      <c r="L70" s="39"/>
      <c r="M70" s="31"/>
      <c r="N70" s="27"/>
      <c r="P70" s="32"/>
      <c r="Q70" s="25"/>
      <c r="R70" s="27"/>
      <c r="S70" s="27"/>
      <c r="T70" s="28"/>
      <c r="U70" s="27"/>
      <c r="V70" s="27" t="s">
        <v>154</v>
      </c>
      <c r="W70" s="28"/>
      <c r="X70" s="33"/>
      <c r="Y70" s="32"/>
      <c r="Z70" s="25"/>
      <c r="AA70" s="27"/>
      <c r="AB70" s="28"/>
      <c r="AC70" s="27"/>
      <c r="AD70" s="27"/>
      <c r="AE70" s="33"/>
      <c r="AG70" s="25"/>
      <c r="AH70" s="34"/>
      <c r="AI70" s="27"/>
      <c r="AJ70" s="27"/>
      <c r="AK70" s="27"/>
      <c r="AL70" s="25"/>
      <c r="AM70" s="34"/>
      <c r="AN70" s="27"/>
      <c r="AO70" s="27"/>
      <c r="AP70" s="36"/>
      <c r="AQ70" s="37"/>
      <c r="AR70" s="32"/>
      <c r="AS70" s="25" t="s">
        <v>86</v>
      </c>
      <c r="AT70" s="27" t="s">
        <v>87</v>
      </c>
      <c r="AU70" s="27"/>
      <c r="AW70" s="25" t="s">
        <v>341</v>
      </c>
      <c r="AX70" s="27" t="s">
        <v>91</v>
      </c>
      <c r="AY70" s="27"/>
      <c r="AZ70" s="32"/>
      <c r="BA70" s="41"/>
    </row>
    <row r="71" spans="1:53" ht="16" thickBot="1" x14ac:dyDescent="0.25">
      <c r="A71" s="25">
        <v>55</v>
      </c>
      <c r="B71" s="26"/>
      <c r="C71" s="27"/>
      <c r="D71" s="25"/>
      <c r="E71" s="28"/>
      <c r="F71" s="27"/>
      <c r="G71" s="28"/>
      <c r="H71" s="27"/>
      <c r="I71" s="28"/>
      <c r="J71" s="27">
        <v>8</v>
      </c>
      <c r="K71" s="29" t="s">
        <v>35</v>
      </c>
      <c r="L71" s="39"/>
      <c r="M71" s="31"/>
      <c r="N71" s="27"/>
      <c r="P71" s="32"/>
      <c r="Q71" s="25"/>
      <c r="R71" s="27"/>
      <c r="S71" s="27"/>
      <c r="T71" s="28"/>
      <c r="U71" s="27"/>
      <c r="V71" s="27" t="s">
        <v>154</v>
      </c>
      <c r="W71" s="28"/>
      <c r="X71" s="33"/>
      <c r="Y71" s="32"/>
      <c r="Z71" s="25"/>
      <c r="AA71" s="27"/>
      <c r="AB71" s="28"/>
      <c r="AC71" s="27"/>
      <c r="AD71" s="27"/>
      <c r="AE71" s="33"/>
      <c r="AG71" s="25"/>
      <c r="AH71" s="34"/>
      <c r="AI71" s="27"/>
      <c r="AJ71" s="27"/>
      <c r="AK71" s="27"/>
      <c r="AL71" s="25"/>
      <c r="AM71" s="34"/>
      <c r="AN71" s="27"/>
      <c r="AO71" s="27"/>
      <c r="AP71" s="36"/>
      <c r="AQ71" s="82"/>
      <c r="AR71" s="32"/>
      <c r="AS71" s="25" t="s">
        <v>86</v>
      </c>
      <c r="AT71" s="27" t="s">
        <v>87</v>
      </c>
      <c r="AW71" s="25" t="s">
        <v>341</v>
      </c>
      <c r="AX71" s="27" t="s">
        <v>91</v>
      </c>
      <c r="AY71" s="27"/>
      <c r="AZ71" s="32"/>
      <c r="BA71" s="41"/>
    </row>
    <row r="72" spans="1:53" x14ac:dyDescent="0.2">
      <c r="A72" s="25">
        <v>56</v>
      </c>
      <c r="B72" s="26"/>
      <c r="C72" s="27"/>
      <c r="D72" s="25"/>
      <c r="E72" s="28"/>
      <c r="F72" s="27"/>
      <c r="G72" s="28"/>
      <c r="H72" s="27"/>
      <c r="I72" s="28"/>
      <c r="J72" s="27">
        <v>8</v>
      </c>
      <c r="K72" s="29" t="s">
        <v>35</v>
      </c>
      <c r="L72" s="39"/>
      <c r="M72" s="31"/>
      <c r="N72" s="27"/>
      <c r="P72" s="32"/>
      <c r="Q72" s="25"/>
      <c r="R72" s="27"/>
      <c r="S72" s="27"/>
      <c r="T72" s="28"/>
      <c r="U72" s="27"/>
      <c r="V72" s="27" t="s">
        <v>154</v>
      </c>
      <c r="W72" s="28"/>
      <c r="X72" s="33"/>
      <c r="Y72" s="32"/>
      <c r="Z72" s="25"/>
      <c r="AA72" s="27"/>
      <c r="AB72" s="28"/>
      <c r="AC72" s="27"/>
      <c r="AD72" s="27"/>
      <c r="AE72" s="33"/>
      <c r="AG72" s="25"/>
      <c r="AH72" s="34"/>
      <c r="AI72" s="27"/>
      <c r="AJ72" s="27"/>
      <c r="AK72" s="27"/>
      <c r="AL72" s="25"/>
      <c r="AM72" s="34"/>
      <c r="AN72" s="27"/>
      <c r="AO72" s="27"/>
      <c r="AP72" s="36"/>
      <c r="AQ72" s="37"/>
      <c r="AR72" s="32"/>
      <c r="AS72" s="25" t="s">
        <v>86</v>
      </c>
      <c r="AT72" s="27" t="s">
        <v>87</v>
      </c>
      <c r="AU72" s="27"/>
      <c r="AW72" s="25" t="s">
        <v>341</v>
      </c>
      <c r="AX72" s="27" t="s">
        <v>91</v>
      </c>
      <c r="AY72" s="27"/>
      <c r="AZ72" s="32"/>
      <c r="BA72" s="41"/>
    </row>
    <row r="73" spans="1:53" ht="16" thickBot="1" x14ac:dyDescent="0.25">
      <c r="A73" s="25">
        <v>57</v>
      </c>
      <c r="B73" s="26"/>
      <c r="C73" s="27"/>
      <c r="D73" s="25"/>
      <c r="E73" s="28"/>
      <c r="F73" s="27"/>
      <c r="G73" s="28"/>
      <c r="H73" s="27"/>
      <c r="I73" s="28"/>
      <c r="J73" s="27">
        <v>8</v>
      </c>
      <c r="K73" s="29" t="s">
        <v>35</v>
      </c>
      <c r="L73" s="39"/>
      <c r="M73" s="31"/>
      <c r="N73" s="27"/>
      <c r="P73" s="32"/>
      <c r="Q73" s="25"/>
      <c r="R73" s="27"/>
      <c r="S73" s="27"/>
      <c r="T73" s="28"/>
      <c r="U73" s="27"/>
      <c r="V73" s="27" t="s">
        <v>154</v>
      </c>
      <c r="W73" s="28"/>
      <c r="X73" s="33"/>
      <c r="Y73" s="32"/>
      <c r="Z73" s="25"/>
      <c r="AA73" s="27"/>
      <c r="AB73" s="28"/>
      <c r="AC73" s="27"/>
      <c r="AD73" s="27"/>
      <c r="AE73" s="33"/>
      <c r="AG73" s="25"/>
      <c r="AH73" s="34"/>
      <c r="AI73" s="27"/>
      <c r="AJ73" s="27"/>
      <c r="AK73" s="27"/>
      <c r="AL73" s="25"/>
      <c r="AM73" s="34"/>
      <c r="AN73" s="27"/>
      <c r="AO73" s="27"/>
      <c r="AP73" s="36"/>
      <c r="AQ73" s="37"/>
      <c r="AR73" s="32"/>
      <c r="AS73" s="25" t="s">
        <v>86</v>
      </c>
      <c r="AT73" s="27" t="s">
        <v>87</v>
      </c>
      <c r="AU73" s="27"/>
      <c r="AW73" s="25" t="s">
        <v>341</v>
      </c>
      <c r="AX73" s="27" t="s">
        <v>91</v>
      </c>
      <c r="AY73" s="27"/>
      <c r="AZ73" s="32"/>
      <c r="BA73" s="41"/>
    </row>
    <row r="74" spans="1:53" ht="16" thickBot="1" x14ac:dyDescent="0.25">
      <c r="A74" s="25">
        <v>58</v>
      </c>
      <c r="B74" s="26"/>
      <c r="C74" s="27"/>
      <c r="D74" s="25"/>
      <c r="E74" s="28"/>
      <c r="F74" s="27"/>
      <c r="G74" s="28"/>
      <c r="H74" s="27"/>
      <c r="I74" s="28"/>
      <c r="J74" s="27">
        <v>8</v>
      </c>
      <c r="K74" s="29" t="s">
        <v>35</v>
      </c>
      <c r="L74" s="39"/>
      <c r="M74" s="31"/>
      <c r="N74" s="27"/>
      <c r="P74" s="32"/>
      <c r="Q74" s="25"/>
      <c r="R74" s="27"/>
      <c r="S74" s="27"/>
      <c r="T74" s="28"/>
      <c r="U74" s="27"/>
      <c r="V74" s="27" t="s">
        <v>154</v>
      </c>
      <c r="W74" s="28"/>
      <c r="X74" s="33"/>
      <c r="Y74" s="32"/>
      <c r="Z74" s="25"/>
      <c r="AA74" s="27"/>
      <c r="AB74" s="28"/>
      <c r="AC74" s="27"/>
      <c r="AD74" s="27"/>
      <c r="AE74" s="33"/>
      <c r="AG74" s="25"/>
      <c r="AH74" s="34"/>
      <c r="AI74" s="27"/>
      <c r="AJ74" s="27"/>
      <c r="AK74" s="27"/>
      <c r="AL74" s="25"/>
      <c r="AM74" s="34"/>
      <c r="AN74" s="27"/>
      <c r="AO74" s="27"/>
      <c r="AP74" s="36"/>
      <c r="AQ74" s="37"/>
      <c r="AR74" s="32"/>
      <c r="AS74" s="25" t="s">
        <v>86</v>
      </c>
      <c r="AT74" s="27" t="s">
        <v>87</v>
      </c>
      <c r="AU74" s="27"/>
      <c r="AW74" s="25" t="s">
        <v>90</v>
      </c>
      <c r="AX74" s="27" t="s">
        <v>91</v>
      </c>
      <c r="AY74" s="89" t="s">
        <v>94</v>
      </c>
      <c r="AZ74" s="32"/>
      <c r="BA74" s="41"/>
    </row>
    <row r="75" spans="1:53" ht="16" thickBot="1" x14ac:dyDescent="0.25">
      <c r="A75" s="25">
        <v>59</v>
      </c>
      <c r="B75" s="26"/>
      <c r="C75" s="27"/>
      <c r="D75" s="25"/>
      <c r="E75" s="28"/>
      <c r="F75" s="27"/>
      <c r="G75" s="28"/>
      <c r="H75" s="27"/>
      <c r="I75" s="28"/>
      <c r="J75" s="27">
        <v>8</v>
      </c>
      <c r="K75" s="29" t="s">
        <v>35</v>
      </c>
      <c r="L75" s="39"/>
      <c r="M75" s="31"/>
      <c r="N75" s="27"/>
      <c r="P75" s="32"/>
      <c r="Q75" s="25"/>
      <c r="R75" s="27"/>
      <c r="S75" s="27"/>
      <c r="T75" s="28"/>
      <c r="U75" s="27"/>
      <c r="V75" s="27" t="s">
        <v>154</v>
      </c>
      <c r="W75" s="28"/>
      <c r="X75" s="33"/>
      <c r="Y75" s="32"/>
      <c r="Z75" s="25"/>
      <c r="AA75" s="27"/>
      <c r="AB75" s="28"/>
      <c r="AC75" s="27"/>
      <c r="AD75" s="27"/>
      <c r="AE75" s="33"/>
      <c r="AG75" s="25"/>
      <c r="AH75" s="34"/>
      <c r="AI75" s="27"/>
      <c r="AJ75" s="27"/>
      <c r="AK75" s="27"/>
      <c r="AL75" s="25"/>
      <c r="AM75" s="34"/>
      <c r="AN75" s="27"/>
      <c r="AO75" s="27"/>
      <c r="AP75" s="36"/>
      <c r="AQ75" s="37"/>
      <c r="AR75" s="32"/>
      <c r="AS75" s="25" t="s">
        <v>86</v>
      </c>
      <c r="AT75" s="27" t="s">
        <v>87</v>
      </c>
      <c r="AU75" s="27"/>
      <c r="AW75" s="25" t="s">
        <v>90</v>
      </c>
      <c r="AX75" s="27" t="s">
        <v>95</v>
      </c>
      <c r="AY75" s="27"/>
      <c r="AZ75" s="32"/>
      <c r="BA75" s="41"/>
    </row>
    <row r="76" spans="1:53" ht="16" thickBot="1" x14ac:dyDescent="0.25">
      <c r="A76" s="25">
        <v>60</v>
      </c>
      <c r="B76" s="26"/>
      <c r="C76" s="27"/>
      <c r="D76" s="25"/>
      <c r="E76" s="28"/>
      <c r="F76" s="27"/>
      <c r="G76" s="28"/>
      <c r="H76" s="27"/>
      <c r="I76" s="28"/>
      <c r="J76" s="27">
        <v>8</v>
      </c>
      <c r="K76" s="29" t="s">
        <v>35</v>
      </c>
      <c r="L76" s="39"/>
      <c r="M76" s="31"/>
      <c r="N76" s="27"/>
      <c r="P76" s="32"/>
      <c r="Q76" s="25"/>
      <c r="R76" s="27"/>
      <c r="S76" s="27"/>
      <c r="T76" s="28"/>
      <c r="U76" s="27"/>
      <c r="V76" s="27" t="s">
        <v>154</v>
      </c>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58" t="s">
        <v>97</v>
      </c>
      <c r="AW76" s="25" t="s">
        <v>90</v>
      </c>
      <c r="AX76" s="27" t="s">
        <v>95</v>
      </c>
      <c r="AY76" s="27"/>
      <c r="AZ76" s="32"/>
      <c r="BA76" s="41"/>
    </row>
    <row r="77" spans="1:53" x14ac:dyDescent="0.2">
      <c r="A77" s="25">
        <v>61</v>
      </c>
      <c r="B77" s="26"/>
      <c r="C77" s="27"/>
      <c r="D77" s="25"/>
      <c r="E77" s="28"/>
      <c r="F77" s="27"/>
      <c r="G77" s="28"/>
      <c r="H77" s="27"/>
      <c r="I77" s="28"/>
      <c r="J77" s="27">
        <v>8</v>
      </c>
      <c r="K77" s="29" t="s">
        <v>35</v>
      </c>
      <c r="L77" s="39"/>
      <c r="M77" s="31"/>
      <c r="N77" s="27"/>
      <c r="P77" s="32"/>
      <c r="Q77" s="25"/>
      <c r="R77" s="27"/>
      <c r="S77" s="27"/>
      <c r="T77" s="28"/>
      <c r="U77" s="27"/>
      <c r="V77" s="27" t="s">
        <v>154</v>
      </c>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62</v>
      </c>
      <c r="B78" s="26"/>
      <c r="C78" s="27"/>
      <c r="D78" s="25"/>
      <c r="E78" s="28"/>
      <c r="F78" s="27"/>
      <c r="G78" s="28"/>
      <c r="H78" s="27"/>
      <c r="I78" s="28"/>
      <c r="J78" s="27">
        <v>8</v>
      </c>
      <c r="K78" s="29" t="s">
        <v>35</v>
      </c>
      <c r="L78" s="39"/>
      <c r="M78" s="31"/>
      <c r="N78" s="27"/>
      <c r="P78" s="32"/>
      <c r="Q78" s="25"/>
      <c r="R78" s="27"/>
      <c r="S78" s="27"/>
      <c r="T78" s="28"/>
      <c r="U78" s="27"/>
      <c r="V78" s="27" t="s">
        <v>154</v>
      </c>
      <c r="W78" s="28"/>
      <c r="X78" s="33"/>
      <c r="Y78" s="32"/>
      <c r="Z78" s="25"/>
      <c r="AA78" s="27"/>
      <c r="AB78" s="28"/>
      <c r="AC78" s="27"/>
      <c r="AD78" s="27"/>
      <c r="AE78" s="33"/>
      <c r="AG78" s="25"/>
      <c r="AH78" s="34"/>
      <c r="AI78" s="27"/>
      <c r="AJ78" s="27"/>
      <c r="AK78" s="27"/>
      <c r="AL78" s="25"/>
      <c r="AM78" s="34"/>
      <c r="AN78" s="27"/>
      <c r="AO78" s="27"/>
      <c r="AP78" s="36"/>
      <c r="AQ78" s="37"/>
      <c r="AR78" s="32"/>
      <c r="AS78" s="25" t="s">
        <v>96</v>
      </c>
      <c r="AT78" s="27" t="s">
        <v>87</v>
      </c>
      <c r="AU78" s="27"/>
      <c r="AW78" s="25" t="s">
        <v>90</v>
      </c>
      <c r="AX78" s="27" t="s">
        <v>95</v>
      </c>
      <c r="AY78" s="27"/>
      <c r="AZ78" s="32"/>
      <c r="BA78" s="41"/>
    </row>
    <row r="79" spans="1:53" x14ac:dyDescent="0.2">
      <c r="A79" s="25">
        <v>63</v>
      </c>
      <c r="B79" s="26"/>
      <c r="C79" s="27"/>
      <c r="D79" s="25"/>
      <c r="E79" s="28"/>
      <c r="F79" s="27"/>
      <c r="G79" s="28"/>
      <c r="H79" s="27"/>
      <c r="I79" s="28"/>
      <c r="J79" s="27">
        <v>8</v>
      </c>
      <c r="K79" s="29" t="s">
        <v>35</v>
      </c>
      <c r="L79" s="39"/>
      <c r="M79" s="31"/>
      <c r="N79" s="27"/>
      <c r="P79" s="32"/>
      <c r="Q79" s="25"/>
      <c r="R79" s="27"/>
      <c r="S79" s="27"/>
      <c r="T79" s="28"/>
      <c r="U79" s="27"/>
      <c r="V79" s="27" t="s">
        <v>154</v>
      </c>
      <c r="W79" s="28"/>
      <c r="X79" s="33"/>
      <c r="Y79" s="32"/>
      <c r="Z79" s="25"/>
      <c r="AA79" s="27"/>
      <c r="AB79" s="28"/>
      <c r="AC79" s="27"/>
      <c r="AD79" s="27"/>
      <c r="AE79" s="33"/>
      <c r="AG79" s="25"/>
      <c r="AH79" s="34"/>
      <c r="AI79" s="27"/>
      <c r="AJ79" s="27"/>
      <c r="AK79" s="27"/>
      <c r="AL79" s="25"/>
      <c r="AM79" s="34"/>
      <c r="AN79" s="27"/>
      <c r="AO79" s="27"/>
      <c r="AP79" s="36"/>
      <c r="AQ79" s="37"/>
      <c r="AR79" s="32"/>
      <c r="AS79" s="25" t="s">
        <v>96</v>
      </c>
      <c r="AT79" s="27" t="s">
        <v>87</v>
      </c>
      <c r="AU79" s="27"/>
      <c r="AW79" s="25" t="s">
        <v>90</v>
      </c>
      <c r="AX79" s="27" t="s">
        <v>95</v>
      </c>
      <c r="AY79" s="27"/>
      <c r="AZ79" s="32"/>
      <c r="BA79" s="41"/>
    </row>
    <row r="80" spans="1:53" x14ac:dyDescent="0.2">
      <c r="A80" s="25">
        <v>64</v>
      </c>
      <c r="B80" s="26"/>
      <c r="C80" s="27"/>
      <c r="D80" s="25"/>
      <c r="E80" s="28"/>
      <c r="F80" s="27"/>
      <c r="G80" s="28"/>
      <c r="H80" s="27"/>
      <c r="I80" s="28"/>
      <c r="J80" s="27">
        <v>8</v>
      </c>
      <c r="K80" s="29" t="s">
        <v>35</v>
      </c>
      <c r="L80" s="39"/>
      <c r="M80" s="31"/>
      <c r="N80" s="27"/>
      <c r="P80" s="32"/>
      <c r="Q80" s="25"/>
      <c r="R80" s="27"/>
      <c r="S80" s="27"/>
      <c r="T80" s="28"/>
      <c r="U80" s="27"/>
      <c r="V80" s="27" t="s">
        <v>154</v>
      </c>
      <c r="W80" s="28"/>
      <c r="X80" s="33"/>
      <c r="Y80" s="32"/>
      <c r="Z80" s="25"/>
      <c r="AA80" s="27"/>
      <c r="AB80" s="28"/>
      <c r="AC80" s="27"/>
      <c r="AD80" s="27"/>
      <c r="AE80" s="33"/>
      <c r="AG80" s="25"/>
      <c r="AH80" s="34"/>
      <c r="AI80" s="27"/>
      <c r="AJ80" s="27"/>
      <c r="AK80" s="27"/>
      <c r="AL80" s="25"/>
      <c r="AM80" s="34"/>
      <c r="AN80" s="27"/>
      <c r="AO80" s="27"/>
      <c r="AP80" s="36"/>
      <c r="AQ80" s="37"/>
      <c r="AR80" s="32"/>
      <c r="AS80" s="25" t="s">
        <v>96</v>
      </c>
      <c r="AT80" s="27" t="s">
        <v>87</v>
      </c>
      <c r="AU80" s="27"/>
      <c r="AW80" s="25" t="s">
        <v>90</v>
      </c>
      <c r="AX80" s="27" t="s">
        <v>95</v>
      </c>
      <c r="AY80" s="27"/>
      <c r="AZ80" s="32"/>
      <c r="BA80" s="41"/>
    </row>
    <row r="81" spans="1:53" x14ac:dyDescent="0.2">
      <c r="A81" s="25">
        <v>65</v>
      </c>
      <c r="B81" s="26"/>
      <c r="C81" s="27"/>
      <c r="D81" s="25"/>
      <c r="E81" s="28"/>
      <c r="F81" s="27"/>
      <c r="G81" s="28"/>
      <c r="H81" s="27"/>
      <c r="I81" s="28"/>
      <c r="J81" s="27">
        <v>8</v>
      </c>
      <c r="K81" s="29" t="s">
        <v>35</v>
      </c>
      <c r="L81" s="39"/>
      <c r="M81" s="31"/>
      <c r="N81" s="27"/>
      <c r="P81" s="32"/>
      <c r="Q81" s="25"/>
      <c r="R81" s="27"/>
      <c r="S81" s="27"/>
      <c r="T81" s="28"/>
      <c r="U81" s="27"/>
      <c r="V81" s="27" t="s">
        <v>154</v>
      </c>
      <c r="W81" s="28"/>
      <c r="X81" s="33"/>
      <c r="Y81" s="32"/>
      <c r="Z81" s="25"/>
      <c r="AA81" s="27"/>
      <c r="AB81" s="28"/>
      <c r="AC81" s="27"/>
      <c r="AD81" s="27"/>
      <c r="AE81" s="33"/>
      <c r="AG81" s="25"/>
      <c r="AH81" s="34"/>
      <c r="AI81" s="27"/>
      <c r="AJ81" s="27"/>
      <c r="AK81" s="27"/>
      <c r="AL81" s="25"/>
      <c r="AM81" s="34"/>
      <c r="AN81" s="27"/>
      <c r="AO81" s="27"/>
      <c r="AP81" s="36"/>
      <c r="AQ81" s="37"/>
      <c r="AR81" s="32"/>
      <c r="AS81" s="25" t="s">
        <v>96</v>
      </c>
      <c r="AT81" s="27" t="s">
        <v>87</v>
      </c>
      <c r="AU81" s="27"/>
      <c r="AW81" s="25" t="s">
        <v>90</v>
      </c>
      <c r="AX81" s="27" t="s">
        <v>95</v>
      </c>
      <c r="AY81" s="27"/>
      <c r="AZ81" s="32"/>
      <c r="BA81" s="41"/>
    </row>
    <row r="82" spans="1:53" x14ac:dyDescent="0.2">
      <c r="A82" s="25">
        <v>66</v>
      </c>
      <c r="B82" s="26"/>
      <c r="C82" s="27"/>
      <c r="D82" s="25"/>
      <c r="E82" s="28"/>
      <c r="F82" s="27"/>
      <c r="G82" s="28"/>
      <c r="H82" s="27"/>
      <c r="I82" s="28"/>
      <c r="J82" s="27">
        <v>8</v>
      </c>
      <c r="K82" s="29" t="s">
        <v>35</v>
      </c>
      <c r="L82" s="39"/>
      <c r="M82" s="31"/>
      <c r="N82" s="27"/>
      <c r="P82" s="32"/>
      <c r="Q82" s="25"/>
      <c r="R82" s="27"/>
      <c r="S82" s="27"/>
      <c r="T82" s="28"/>
      <c r="U82" s="27"/>
      <c r="V82" s="27" t="s">
        <v>154</v>
      </c>
      <c r="W82" s="28"/>
      <c r="X82" s="33"/>
      <c r="Y82" s="32"/>
      <c r="Z82" s="25"/>
      <c r="AA82" s="27"/>
      <c r="AB82" s="28"/>
      <c r="AC82" s="27"/>
      <c r="AD82" s="27"/>
      <c r="AE82" s="33"/>
      <c r="AG82" s="25"/>
      <c r="AH82" s="34"/>
      <c r="AI82" s="27"/>
      <c r="AJ82" s="27"/>
      <c r="AK82" s="27"/>
      <c r="AL82" s="25"/>
      <c r="AM82" s="34"/>
      <c r="AN82" s="27"/>
      <c r="AO82" s="27"/>
      <c r="AP82" s="36"/>
      <c r="AQ82" s="37"/>
      <c r="AR82" s="32"/>
      <c r="AS82" s="25" t="s">
        <v>96</v>
      </c>
      <c r="AT82" s="27" t="s">
        <v>87</v>
      </c>
      <c r="AU82" s="27"/>
      <c r="AW82" s="25" t="s">
        <v>90</v>
      </c>
      <c r="AX82" s="27" t="s">
        <v>95</v>
      </c>
      <c r="AY82" s="27"/>
      <c r="AZ82" s="32"/>
      <c r="BA82" s="41"/>
    </row>
    <row r="83" spans="1:53" x14ac:dyDescent="0.2">
      <c r="A83" s="25">
        <v>67</v>
      </c>
      <c r="B83" s="26"/>
      <c r="C83" s="27"/>
      <c r="D83" s="25"/>
      <c r="E83" s="28"/>
      <c r="F83" s="27"/>
      <c r="G83" s="28"/>
      <c r="H83" s="27"/>
      <c r="I83" s="28"/>
      <c r="J83" s="27">
        <v>8</v>
      </c>
      <c r="K83" s="29" t="s">
        <v>35</v>
      </c>
      <c r="L83" s="39"/>
      <c r="M83" s="31"/>
      <c r="N83" s="27"/>
      <c r="P83" s="32"/>
      <c r="Q83" s="25"/>
      <c r="R83" s="27"/>
      <c r="S83" s="27"/>
      <c r="T83" s="28"/>
      <c r="U83" s="27"/>
      <c r="V83" s="27" t="s">
        <v>154</v>
      </c>
      <c r="W83" s="28"/>
      <c r="X83" s="33"/>
      <c r="Y83" s="32"/>
      <c r="Z83" s="25"/>
      <c r="AA83" s="27"/>
      <c r="AB83" s="28"/>
      <c r="AC83" s="27"/>
      <c r="AD83" s="27"/>
      <c r="AE83" s="33"/>
      <c r="AG83" s="25"/>
      <c r="AH83" s="34"/>
      <c r="AI83" s="27"/>
      <c r="AJ83" s="27"/>
      <c r="AK83" s="27"/>
      <c r="AL83" s="25"/>
      <c r="AM83" s="34"/>
      <c r="AN83" s="27"/>
      <c r="AO83" s="27"/>
      <c r="AP83" s="36"/>
      <c r="AQ83" s="37"/>
      <c r="AR83" s="32"/>
      <c r="AS83" s="25" t="s">
        <v>96</v>
      </c>
      <c r="AT83" s="27" t="s">
        <v>87</v>
      </c>
      <c r="AU83" s="27"/>
      <c r="AW83" s="25" t="s">
        <v>90</v>
      </c>
      <c r="AX83" s="27" t="s">
        <v>95</v>
      </c>
      <c r="AY83" s="27"/>
      <c r="AZ83" s="32"/>
      <c r="BA83" s="41"/>
    </row>
    <row r="84" spans="1:53" x14ac:dyDescent="0.2">
      <c r="A84" s="25">
        <v>68</v>
      </c>
      <c r="B84" s="26"/>
      <c r="C84" s="27"/>
      <c r="D84" s="25"/>
      <c r="E84" s="28"/>
      <c r="F84" s="27"/>
      <c r="G84" s="28"/>
      <c r="H84" s="27"/>
      <c r="I84" s="28"/>
      <c r="J84" s="27">
        <v>8</v>
      </c>
      <c r="K84" s="29" t="s">
        <v>35</v>
      </c>
      <c r="L84" s="39"/>
      <c r="M84" s="31"/>
      <c r="N84" s="27"/>
      <c r="P84" s="32"/>
      <c r="Q84" s="25"/>
      <c r="R84" s="27"/>
      <c r="S84" s="27"/>
      <c r="T84" s="28"/>
      <c r="U84" s="27"/>
      <c r="V84" s="27"/>
      <c r="W84" s="28"/>
      <c r="X84" s="33"/>
      <c r="Y84" s="32"/>
      <c r="Z84" s="25"/>
      <c r="AA84" s="27"/>
      <c r="AB84" s="28"/>
      <c r="AC84" s="27"/>
      <c r="AD84" s="27"/>
      <c r="AE84" s="33"/>
      <c r="AG84" s="25"/>
      <c r="AH84" s="34"/>
      <c r="AI84" s="27"/>
      <c r="AJ84" s="27"/>
      <c r="AK84" s="27"/>
      <c r="AL84" s="25"/>
      <c r="AM84" s="34"/>
      <c r="AN84" s="27"/>
      <c r="AO84" s="27"/>
      <c r="AP84" s="36"/>
      <c r="AQ84" s="37"/>
      <c r="AR84" s="32"/>
      <c r="AS84" s="25" t="s">
        <v>96</v>
      </c>
      <c r="AT84" s="27" t="s">
        <v>87</v>
      </c>
      <c r="AU84" s="27"/>
      <c r="AW84" s="25" t="s">
        <v>90</v>
      </c>
      <c r="AX84" s="27" t="s">
        <v>95</v>
      </c>
      <c r="AY84" s="27"/>
      <c r="AZ84" s="32"/>
      <c r="BA84" s="41"/>
    </row>
    <row r="85" spans="1:53" x14ac:dyDescent="0.2">
      <c r="A85" s="25">
        <v>69</v>
      </c>
      <c r="B85" s="26"/>
      <c r="C85" s="27"/>
      <c r="D85" s="25"/>
      <c r="E85" s="28"/>
      <c r="F85" s="27"/>
      <c r="G85" s="28"/>
      <c r="H85" s="27"/>
      <c r="I85" s="28"/>
      <c r="J85" s="27">
        <v>8</v>
      </c>
      <c r="K85" s="29" t="s">
        <v>35</v>
      </c>
      <c r="L85" s="39"/>
      <c r="M85" s="31"/>
      <c r="N85" s="27"/>
      <c r="P85" s="32"/>
      <c r="Q85" s="25"/>
      <c r="R85" s="27"/>
      <c r="S85" s="27"/>
      <c r="T85" s="28"/>
      <c r="U85" s="27"/>
      <c r="V85" s="27"/>
      <c r="W85" s="28"/>
      <c r="X85" s="33"/>
      <c r="Y85" s="32"/>
      <c r="Z85" s="25"/>
      <c r="AA85" s="27"/>
      <c r="AB85" s="28"/>
      <c r="AC85" s="27"/>
      <c r="AD85" s="27"/>
      <c r="AE85" s="33"/>
      <c r="AG85" s="25"/>
      <c r="AH85" s="34"/>
      <c r="AI85" s="27"/>
      <c r="AJ85" s="27"/>
      <c r="AK85" s="27"/>
      <c r="AL85" s="25"/>
      <c r="AM85" s="34"/>
      <c r="AN85" s="27"/>
      <c r="AO85" s="27"/>
      <c r="AP85" s="36"/>
      <c r="AQ85" s="37"/>
      <c r="AR85" s="32"/>
      <c r="AS85" s="25" t="s">
        <v>96</v>
      </c>
      <c r="AT85" s="27" t="s">
        <v>87</v>
      </c>
      <c r="AU85" s="27"/>
      <c r="AW85" s="25" t="s">
        <v>90</v>
      </c>
      <c r="AX85" s="27" t="s">
        <v>95</v>
      </c>
      <c r="AY85" s="27"/>
      <c r="AZ85" s="32"/>
      <c r="BA85" s="41"/>
    </row>
    <row r="86" spans="1:53" x14ac:dyDescent="0.2">
      <c r="A86" s="25">
        <v>70</v>
      </c>
      <c r="B86" s="26"/>
      <c r="C86" s="27"/>
      <c r="D86" s="25"/>
      <c r="E86" s="28"/>
      <c r="F86" s="27"/>
      <c r="G86" s="28"/>
      <c r="H86" s="27"/>
      <c r="I86" s="28"/>
      <c r="J86" s="27">
        <v>8</v>
      </c>
      <c r="K86" s="29" t="s">
        <v>35</v>
      </c>
      <c r="L86" s="39"/>
      <c r="M86" s="31"/>
      <c r="N86" s="27"/>
      <c r="P86" s="32"/>
      <c r="Q86" s="25"/>
      <c r="R86" s="27"/>
      <c r="S86" s="27"/>
      <c r="T86" s="28"/>
      <c r="U86" s="27"/>
      <c r="V86" s="27"/>
      <c r="W86" s="28"/>
      <c r="X86" s="33"/>
      <c r="Y86" s="32"/>
      <c r="Z86" s="25"/>
      <c r="AA86" s="27"/>
      <c r="AB86" s="28"/>
      <c r="AC86" s="27"/>
      <c r="AD86" s="27"/>
      <c r="AE86" s="33"/>
      <c r="AG86" s="25"/>
      <c r="AH86" s="34"/>
      <c r="AI86" s="27"/>
      <c r="AJ86" s="27"/>
      <c r="AK86" s="27"/>
      <c r="AL86" s="25"/>
      <c r="AM86" s="34"/>
      <c r="AN86" s="27"/>
      <c r="AO86" s="27"/>
      <c r="AP86" s="36"/>
      <c r="AQ86" s="37"/>
      <c r="AR86" s="32"/>
      <c r="AS86" s="25" t="s">
        <v>96</v>
      </c>
      <c r="AT86" s="27" t="s">
        <v>87</v>
      </c>
      <c r="AU86" s="27"/>
      <c r="AW86" s="25" t="s">
        <v>90</v>
      </c>
      <c r="AX86" s="27" t="s">
        <v>95</v>
      </c>
      <c r="AY86" s="27"/>
      <c r="AZ86" s="32"/>
      <c r="BA86" s="41"/>
    </row>
    <row r="87" spans="1:53" x14ac:dyDescent="0.2">
      <c r="A87" s="25">
        <v>71</v>
      </c>
      <c r="B87" s="26"/>
      <c r="C87" s="27"/>
      <c r="D87" s="25"/>
      <c r="E87" s="28"/>
      <c r="F87" s="27"/>
      <c r="G87" s="28"/>
      <c r="H87" s="27"/>
      <c r="I87" s="28"/>
      <c r="J87" s="27">
        <v>8</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S87" s="25" t="s">
        <v>96</v>
      </c>
      <c r="AT87" s="27" t="s">
        <v>87</v>
      </c>
      <c r="AU87" s="27"/>
      <c r="AW87" s="25" t="s">
        <v>90</v>
      </c>
      <c r="AX87" s="27" t="s">
        <v>95</v>
      </c>
      <c r="AY87" s="27"/>
      <c r="AZ87" s="32"/>
      <c r="BA87" s="41"/>
    </row>
    <row r="88" spans="1:53" x14ac:dyDescent="0.2">
      <c r="A88" s="25">
        <v>72</v>
      </c>
      <c r="B88" s="26"/>
      <c r="C88" s="27"/>
      <c r="D88" s="25"/>
      <c r="E88" s="28"/>
      <c r="F88" s="27"/>
      <c r="G88" s="28"/>
      <c r="H88" s="27"/>
      <c r="I88" s="28"/>
      <c r="J88" s="27">
        <v>8</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S88" s="25" t="s">
        <v>96</v>
      </c>
      <c r="AT88" s="27" t="s">
        <v>87</v>
      </c>
      <c r="AU88" s="27"/>
      <c r="AW88" s="25" t="s">
        <v>90</v>
      </c>
      <c r="AX88" s="27" t="s">
        <v>95</v>
      </c>
      <c r="AY88" s="27"/>
      <c r="AZ88" s="32"/>
      <c r="BA88" s="41"/>
    </row>
    <row r="89" spans="1:53" x14ac:dyDescent="0.2">
      <c r="A89" s="25">
        <v>73</v>
      </c>
      <c r="B89" s="26"/>
      <c r="C89" s="27"/>
      <c r="D89" s="25"/>
      <c r="E89" s="28"/>
      <c r="F89" s="27"/>
      <c r="G89" s="28"/>
      <c r="H89" s="27"/>
      <c r="I89" s="28"/>
      <c r="J89" s="27">
        <v>8</v>
      </c>
      <c r="K89" s="29" t="s">
        <v>35</v>
      </c>
      <c r="L89" s="173"/>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S89" s="25" t="s">
        <v>96</v>
      </c>
      <c r="AT89" s="27" t="s">
        <v>87</v>
      </c>
      <c r="AU89" s="27"/>
      <c r="AW89" s="25" t="s">
        <v>90</v>
      </c>
      <c r="AX89" s="27" t="s">
        <v>95</v>
      </c>
      <c r="AY89" s="27"/>
      <c r="AZ89" s="32"/>
      <c r="BA89" s="41"/>
    </row>
    <row r="90" spans="1:53" x14ac:dyDescent="0.2">
      <c r="A90" s="25">
        <v>74</v>
      </c>
      <c r="B90" s="26"/>
      <c r="C90" s="27"/>
      <c r="D90" s="25"/>
      <c r="E90" s="28"/>
      <c r="F90" s="27"/>
      <c r="G90" s="28"/>
      <c r="H90" s="27"/>
      <c r="I90" s="28"/>
      <c r="J90" s="27">
        <v>8</v>
      </c>
      <c r="K90" s="29" t="s">
        <v>35</v>
      </c>
      <c r="L90" s="173"/>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S90" s="25" t="s">
        <v>96</v>
      </c>
      <c r="AT90" s="27" t="s">
        <v>87</v>
      </c>
      <c r="AU90" s="27"/>
      <c r="AW90" s="25" t="s">
        <v>90</v>
      </c>
      <c r="AX90" s="27" t="s">
        <v>95</v>
      </c>
      <c r="AY90" s="27"/>
      <c r="AZ90" s="32"/>
      <c r="BA90" s="41"/>
    </row>
    <row r="91" spans="1:53" x14ac:dyDescent="0.2">
      <c r="A91" s="25">
        <v>75</v>
      </c>
      <c r="B91" s="26"/>
      <c r="C91" s="27"/>
      <c r="D91" s="25"/>
      <c r="E91" s="28"/>
      <c r="F91" s="27"/>
      <c r="G91" s="28"/>
      <c r="H91" s="27"/>
      <c r="I91" s="28"/>
      <c r="J91" s="27">
        <v>8</v>
      </c>
      <c r="K91" s="29" t="s">
        <v>35</v>
      </c>
      <c r="L91" s="173"/>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t="s">
        <v>96</v>
      </c>
      <c r="AT91" s="27" t="s">
        <v>87</v>
      </c>
      <c r="AU91" s="27"/>
      <c r="AW91" s="25" t="s">
        <v>90</v>
      </c>
      <c r="AX91" s="27" t="s">
        <v>95</v>
      </c>
      <c r="AY91" s="27"/>
      <c r="AZ91" s="32"/>
      <c r="BA91" s="41"/>
    </row>
    <row r="92" spans="1:53" x14ac:dyDescent="0.2">
      <c r="A92" s="25">
        <v>76</v>
      </c>
      <c r="B92" s="26"/>
      <c r="C92" s="27"/>
      <c r="D92" s="25"/>
      <c r="E92" s="28"/>
      <c r="F92" s="27"/>
      <c r="G92" s="28"/>
      <c r="H92" s="27"/>
      <c r="I92" s="28"/>
      <c r="J92" s="27">
        <v>8</v>
      </c>
      <c r="K92" s="29" t="s">
        <v>35</v>
      </c>
      <c r="L92" s="173"/>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t="s">
        <v>96</v>
      </c>
      <c r="AT92" s="27" t="s">
        <v>87</v>
      </c>
      <c r="AU92" s="27"/>
      <c r="AW92" s="25" t="s">
        <v>90</v>
      </c>
      <c r="AX92" s="27" t="s">
        <v>95</v>
      </c>
      <c r="AY92" s="27"/>
      <c r="AZ92" s="32"/>
      <c r="BA92" s="41"/>
    </row>
    <row r="93" spans="1:53" x14ac:dyDescent="0.2">
      <c r="A93" s="25">
        <v>77</v>
      </c>
      <c r="B93" s="26"/>
      <c r="C93" s="27"/>
      <c r="D93" s="25"/>
      <c r="E93" s="28"/>
      <c r="F93" s="27"/>
      <c r="G93" s="28"/>
      <c r="H93" s="27"/>
      <c r="I93" s="28"/>
      <c r="J93" s="27">
        <v>8</v>
      </c>
      <c r="K93" s="29" t="s">
        <v>35</v>
      </c>
      <c r="L93" s="173"/>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t="s">
        <v>96</v>
      </c>
      <c r="AT93" s="27" t="s">
        <v>87</v>
      </c>
      <c r="AU93" s="27"/>
      <c r="AW93" s="25" t="s">
        <v>90</v>
      </c>
      <c r="AX93" s="27" t="s">
        <v>95</v>
      </c>
      <c r="AY93" s="27"/>
      <c r="AZ93" s="32"/>
      <c r="BA93" s="41"/>
    </row>
    <row r="94" spans="1:53" x14ac:dyDescent="0.2">
      <c r="A94" s="25">
        <v>78</v>
      </c>
      <c r="B94" s="26"/>
      <c r="C94" s="27"/>
      <c r="D94" s="25"/>
      <c r="E94" s="28"/>
      <c r="F94" s="27"/>
      <c r="G94" s="28"/>
      <c r="H94" s="27"/>
      <c r="I94" s="28"/>
      <c r="J94" s="27">
        <v>8</v>
      </c>
      <c r="K94" s="29" t="s">
        <v>35</v>
      </c>
      <c r="L94" s="173"/>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t="s">
        <v>96</v>
      </c>
      <c r="AT94" s="27" t="s">
        <v>87</v>
      </c>
      <c r="AU94" s="27"/>
      <c r="AW94" s="25" t="s">
        <v>90</v>
      </c>
      <c r="AX94" s="27" t="s">
        <v>95</v>
      </c>
      <c r="AY94" s="27"/>
      <c r="AZ94" s="32"/>
      <c r="BA94" s="41"/>
    </row>
    <row r="95" spans="1:53" x14ac:dyDescent="0.2">
      <c r="A95" s="25">
        <v>79</v>
      </c>
      <c r="B95" s="26"/>
      <c r="C95" s="27"/>
      <c r="D95" s="25"/>
      <c r="E95" s="28"/>
      <c r="F95" s="27"/>
      <c r="G95" s="28"/>
      <c r="H95" s="27"/>
      <c r="I95" s="28"/>
      <c r="J95" s="27">
        <v>8</v>
      </c>
      <c r="K95" s="29" t="s">
        <v>35</v>
      </c>
      <c r="L95" s="173"/>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t="s">
        <v>96</v>
      </c>
      <c r="AT95" s="27" t="s">
        <v>87</v>
      </c>
      <c r="AU95" s="27"/>
      <c r="AW95" s="25" t="s">
        <v>90</v>
      </c>
      <c r="AX95" s="27" t="s">
        <v>95</v>
      </c>
      <c r="AY95" s="27"/>
      <c r="AZ95" s="32"/>
      <c r="BA95" s="41"/>
    </row>
    <row r="96" spans="1:53" x14ac:dyDescent="0.2">
      <c r="A96" s="25">
        <v>80</v>
      </c>
      <c r="B96" s="26"/>
      <c r="C96" s="27"/>
      <c r="D96" s="25"/>
      <c r="E96" s="28"/>
      <c r="F96" s="27"/>
      <c r="G96" s="28"/>
      <c r="H96" s="27"/>
      <c r="I96" s="28"/>
      <c r="J96" s="27">
        <v>8</v>
      </c>
      <c r="K96" s="29" t="s">
        <v>35</v>
      </c>
      <c r="L96" s="173"/>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t="s">
        <v>96</v>
      </c>
      <c r="AT96" s="27" t="s">
        <v>87</v>
      </c>
      <c r="AU96" s="27"/>
      <c r="AW96" s="25" t="s">
        <v>90</v>
      </c>
      <c r="AX96" s="27" t="s">
        <v>95</v>
      </c>
      <c r="AY96" s="27"/>
      <c r="AZ96" s="32"/>
      <c r="BA96" s="41"/>
    </row>
    <row r="97" spans="1:53" x14ac:dyDescent="0.2">
      <c r="A97" s="25">
        <v>81</v>
      </c>
      <c r="B97" s="26"/>
      <c r="C97" s="27"/>
      <c r="D97" s="25"/>
      <c r="E97" s="28"/>
      <c r="F97" s="27"/>
      <c r="G97" s="28"/>
      <c r="H97" s="27"/>
      <c r="I97" s="28"/>
      <c r="J97" s="27">
        <v>8</v>
      </c>
      <c r="K97" s="29" t="s">
        <v>35</v>
      </c>
      <c r="L97" s="173"/>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t="s">
        <v>96</v>
      </c>
      <c r="AT97" s="27" t="s">
        <v>87</v>
      </c>
      <c r="AU97" s="27"/>
      <c r="AW97" s="25" t="s">
        <v>90</v>
      </c>
      <c r="AX97" s="27" t="s">
        <v>95</v>
      </c>
      <c r="AY97" s="27"/>
      <c r="AZ97" s="32"/>
      <c r="BA97" s="41"/>
    </row>
    <row r="98" spans="1:53" x14ac:dyDescent="0.2">
      <c r="A98" s="25">
        <v>82</v>
      </c>
      <c r="B98" s="26"/>
      <c r="C98" s="27"/>
      <c r="D98" s="25"/>
      <c r="E98" s="28"/>
      <c r="F98" s="27"/>
      <c r="G98" s="28"/>
      <c r="H98" s="27"/>
      <c r="I98" s="28"/>
      <c r="J98" s="27">
        <v>8</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c r="AO98" s="27"/>
      <c r="AP98" s="36"/>
      <c r="AQ98" s="37"/>
      <c r="AR98" s="32"/>
      <c r="AS98" s="25" t="s">
        <v>96</v>
      </c>
      <c r="AT98" s="27" t="s">
        <v>87</v>
      </c>
      <c r="AU98" s="27"/>
      <c r="AW98" s="25" t="s">
        <v>90</v>
      </c>
      <c r="AX98" s="27" t="s">
        <v>95</v>
      </c>
      <c r="AY98" s="27"/>
      <c r="AZ98" s="32"/>
      <c r="BA98" s="41"/>
    </row>
    <row r="99" spans="1:53" x14ac:dyDescent="0.2">
      <c r="A99" s="25">
        <v>83</v>
      </c>
      <c r="B99" s="26"/>
      <c r="C99" s="27"/>
      <c r="D99" s="25"/>
      <c r="E99" s="28"/>
      <c r="F99" s="27"/>
      <c r="G99" s="28"/>
      <c r="H99" s="27"/>
      <c r="I99" s="28"/>
      <c r="J99" s="27">
        <v>8</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c r="AO99" s="27"/>
      <c r="AP99" s="36"/>
      <c r="AQ99" s="37"/>
      <c r="AR99" s="32"/>
      <c r="AS99" s="25" t="s">
        <v>96</v>
      </c>
      <c r="AT99" s="27" t="s">
        <v>87</v>
      </c>
      <c r="AU99" s="27"/>
      <c r="AW99" s="25" t="s">
        <v>90</v>
      </c>
      <c r="AX99" s="27" t="s">
        <v>95</v>
      </c>
      <c r="AY99" s="27"/>
      <c r="AZ99" s="32"/>
      <c r="BA99" s="41"/>
    </row>
    <row r="100" spans="1:53" x14ac:dyDescent="0.2">
      <c r="A100" s="25">
        <v>84</v>
      </c>
      <c r="B100" s="26"/>
      <c r="C100" s="27"/>
      <c r="D100" s="25"/>
      <c r="E100" s="28"/>
      <c r="F100" s="27"/>
      <c r="G100" s="28"/>
      <c r="H100" s="27"/>
      <c r="I100" s="28"/>
      <c r="J100" s="27">
        <v>8</v>
      </c>
      <c r="K100" s="29" t="s">
        <v>35</v>
      </c>
      <c r="L100" s="39"/>
      <c r="M100" s="31"/>
      <c r="N100" s="27"/>
      <c r="P100" s="32"/>
      <c r="Q100" s="25"/>
      <c r="R100" s="27"/>
      <c r="S100" s="27"/>
      <c r="T100" s="28"/>
      <c r="U100" s="27"/>
      <c r="V100" s="27"/>
      <c r="W100" s="28"/>
      <c r="X100" s="33"/>
      <c r="Y100" s="32"/>
      <c r="Z100" s="25"/>
      <c r="AA100" s="27"/>
      <c r="AB100" s="28"/>
      <c r="AC100" s="27"/>
      <c r="AD100" s="27"/>
      <c r="AE100" s="33"/>
      <c r="AF100" s="32"/>
      <c r="AG100" s="90"/>
      <c r="AH100" s="91"/>
      <c r="AI100" s="27"/>
      <c r="AJ100" s="27"/>
      <c r="AK100" s="28"/>
      <c r="AL100" s="27"/>
      <c r="AM100" s="27"/>
      <c r="AN100" s="27"/>
      <c r="AO100" s="27"/>
      <c r="AP100" s="36"/>
      <c r="AQ100" s="37"/>
      <c r="AR100" s="32"/>
      <c r="AS100" s="25" t="s">
        <v>96</v>
      </c>
      <c r="AT100" s="27" t="s">
        <v>87</v>
      </c>
      <c r="AU100" s="27"/>
      <c r="AW100" s="25" t="s">
        <v>90</v>
      </c>
      <c r="AX100" s="27" t="s">
        <v>95</v>
      </c>
      <c r="AY100" s="27"/>
      <c r="AZ100" s="32"/>
      <c r="BA100" s="41"/>
    </row>
    <row r="101" spans="1:53" x14ac:dyDescent="0.2">
      <c r="A101" s="25">
        <v>85</v>
      </c>
      <c r="B101" s="26"/>
      <c r="C101" s="27"/>
      <c r="D101" s="25"/>
      <c r="E101" s="28"/>
      <c r="F101" s="27"/>
      <c r="G101" s="28"/>
      <c r="H101" s="27"/>
      <c r="I101" s="28"/>
      <c r="J101" s="27">
        <v>8</v>
      </c>
      <c r="K101" s="29" t="s">
        <v>35</v>
      </c>
      <c r="L101" s="39"/>
      <c r="M101" s="31"/>
      <c r="N101" s="27"/>
      <c r="P101" s="32"/>
      <c r="Q101" s="25"/>
      <c r="R101" s="27"/>
      <c r="S101" s="27"/>
      <c r="T101" s="28"/>
      <c r="U101" s="27"/>
      <c r="V101" s="27"/>
      <c r="W101" s="28"/>
      <c r="X101" s="33"/>
      <c r="Y101" s="32"/>
      <c r="Z101" s="25"/>
      <c r="AA101" s="27"/>
      <c r="AB101" s="28"/>
      <c r="AC101" s="27"/>
      <c r="AD101" s="27"/>
      <c r="AE101" s="33"/>
      <c r="AF101" s="32"/>
      <c r="AG101" s="90"/>
      <c r="AH101" s="91"/>
      <c r="AI101" s="27"/>
      <c r="AJ101" s="27"/>
      <c r="AK101" s="28"/>
      <c r="AL101" s="27"/>
      <c r="AM101" s="27"/>
      <c r="AN101" s="27"/>
      <c r="AO101" s="27"/>
      <c r="AP101" s="36"/>
      <c r="AQ101" s="37"/>
      <c r="AR101" s="32"/>
      <c r="AS101" s="25" t="s">
        <v>96</v>
      </c>
      <c r="AT101" s="27" t="s">
        <v>87</v>
      </c>
      <c r="AU101" s="27"/>
      <c r="AW101" s="25" t="s">
        <v>90</v>
      </c>
      <c r="AX101" s="27" t="s">
        <v>95</v>
      </c>
      <c r="AY101" s="27"/>
      <c r="AZ101" s="32"/>
      <c r="BA101" s="41"/>
    </row>
    <row r="102" spans="1:53" x14ac:dyDescent="0.2">
      <c r="A102" s="25">
        <v>86</v>
      </c>
      <c r="B102" s="26"/>
      <c r="C102" s="27"/>
      <c r="D102" s="25"/>
      <c r="E102" s="28"/>
      <c r="F102" s="27"/>
      <c r="G102" s="28"/>
      <c r="H102" s="27"/>
      <c r="I102" s="28"/>
      <c r="J102" s="27">
        <v>8</v>
      </c>
      <c r="K102" s="29" t="s">
        <v>35</v>
      </c>
      <c r="L102" s="39"/>
      <c r="M102" s="31"/>
      <c r="N102" s="27"/>
      <c r="P102" s="32"/>
      <c r="Q102" s="25"/>
      <c r="R102" s="27"/>
      <c r="S102" s="27"/>
      <c r="T102" s="28"/>
      <c r="U102" s="27"/>
      <c r="V102" s="27"/>
      <c r="W102" s="28"/>
      <c r="X102" s="33"/>
      <c r="Y102" s="32"/>
      <c r="Z102" s="25"/>
      <c r="AA102" s="27"/>
      <c r="AB102" s="28"/>
      <c r="AC102" s="27"/>
      <c r="AD102" s="27"/>
      <c r="AE102" s="33"/>
      <c r="AF102" s="32"/>
      <c r="AG102" s="90"/>
      <c r="AH102" s="91"/>
      <c r="AI102" s="27"/>
      <c r="AJ102" s="27"/>
      <c r="AK102" s="28"/>
      <c r="AL102" s="27"/>
      <c r="AM102" s="27"/>
      <c r="AN102" s="27"/>
      <c r="AO102" s="27"/>
      <c r="AP102" s="36"/>
      <c r="AQ102" s="37"/>
      <c r="AR102" s="32"/>
      <c r="AS102" s="25" t="s">
        <v>96</v>
      </c>
      <c r="AT102" s="27" t="s">
        <v>87</v>
      </c>
      <c r="AU102" s="27"/>
      <c r="AW102" s="25" t="s">
        <v>90</v>
      </c>
      <c r="AX102" s="27" t="s">
        <v>95</v>
      </c>
      <c r="AY102" s="27"/>
      <c r="AZ102" s="32"/>
      <c r="BA102" s="41"/>
    </row>
    <row r="103" spans="1:53" x14ac:dyDescent="0.2">
      <c r="A103" s="25">
        <v>87</v>
      </c>
      <c r="B103" s="26"/>
      <c r="C103" s="27"/>
      <c r="D103" s="25"/>
      <c r="E103" s="28"/>
      <c r="F103" s="27"/>
      <c r="G103" s="28"/>
      <c r="H103" s="27"/>
      <c r="I103" s="28"/>
      <c r="J103" s="27">
        <v>8</v>
      </c>
      <c r="K103" s="29" t="s">
        <v>35</v>
      </c>
      <c r="L103" s="39"/>
      <c r="M103" s="31"/>
      <c r="N103" s="27"/>
      <c r="P103" s="32"/>
      <c r="Q103" s="25"/>
      <c r="R103" s="27"/>
      <c r="S103" s="27"/>
      <c r="T103" s="28"/>
      <c r="U103" s="27"/>
      <c r="V103" s="27"/>
      <c r="W103" s="28"/>
      <c r="X103" s="33"/>
      <c r="Y103" s="32"/>
      <c r="Z103" s="25"/>
      <c r="AA103" s="27"/>
      <c r="AB103" s="28"/>
      <c r="AC103" s="27"/>
      <c r="AD103" s="27"/>
      <c r="AE103" s="33"/>
      <c r="AF103" s="32"/>
      <c r="AG103" s="90"/>
      <c r="AH103" s="91"/>
      <c r="AI103" s="27"/>
      <c r="AJ103" s="27"/>
      <c r="AK103" s="28"/>
      <c r="AL103" s="27"/>
      <c r="AM103" s="27"/>
      <c r="AN103" s="27"/>
      <c r="AO103" s="27"/>
      <c r="AP103" s="36"/>
      <c r="AQ103" s="37"/>
      <c r="AR103" s="32"/>
      <c r="AS103" s="25" t="s">
        <v>96</v>
      </c>
      <c r="AT103" s="27" t="s">
        <v>87</v>
      </c>
      <c r="AU103" s="27"/>
      <c r="AW103" s="25" t="s">
        <v>90</v>
      </c>
      <c r="AX103" s="27" t="s">
        <v>95</v>
      </c>
      <c r="AY103" s="27"/>
      <c r="AZ103" s="32"/>
      <c r="BA103" s="41"/>
    </row>
    <row r="104" spans="1:53" x14ac:dyDescent="0.2">
      <c r="A104" s="25">
        <v>88</v>
      </c>
      <c r="B104" s="26"/>
      <c r="C104" s="27"/>
      <c r="D104" s="25"/>
      <c r="E104" s="28"/>
      <c r="F104" s="27"/>
      <c r="G104" s="28"/>
      <c r="H104" s="27"/>
      <c r="I104" s="28"/>
      <c r="J104" s="27">
        <v>8</v>
      </c>
      <c r="K104" s="29" t="s">
        <v>35</v>
      </c>
      <c r="L104" s="39"/>
      <c r="M104" s="31"/>
      <c r="N104" s="27"/>
      <c r="P104" s="32"/>
      <c r="Q104" s="25"/>
      <c r="R104" s="27"/>
      <c r="S104" s="27"/>
      <c r="T104" s="28"/>
      <c r="U104" s="27"/>
      <c r="V104" s="27"/>
      <c r="W104" s="28"/>
      <c r="X104" s="33"/>
      <c r="Y104" s="32"/>
      <c r="Z104" s="25"/>
      <c r="AA104" s="27"/>
      <c r="AB104" s="28"/>
      <c r="AC104" s="27"/>
      <c r="AD104" s="27"/>
      <c r="AE104" s="33"/>
      <c r="AF104" s="32"/>
      <c r="AG104" s="90"/>
      <c r="AH104" s="91"/>
      <c r="AI104" s="27"/>
      <c r="AJ104" s="27"/>
      <c r="AK104" s="28"/>
      <c r="AL104" s="27"/>
      <c r="AM104" s="27"/>
      <c r="AN104" s="27"/>
      <c r="AO104" s="27"/>
      <c r="AP104" s="36"/>
      <c r="AQ104" s="37"/>
      <c r="AR104" s="32"/>
      <c r="AS104" s="25" t="s">
        <v>96</v>
      </c>
      <c r="AT104" s="27" t="s">
        <v>87</v>
      </c>
      <c r="AU104" s="27"/>
      <c r="AW104" s="25" t="s">
        <v>90</v>
      </c>
      <c r="AX104" s="27" t="s">
        <v>95</v>
      </c>
      <c r="AY104" s="27"/>
      <c r="AZ104" s="32"/>
      <c r="BA104" s="41"/>
    </row>
    <row r="105" spans="1:53" x14ac:dyDescent="0.2">
      <c r="A105" s="25">
        <v>89</v>
      </c>
      <c r="B105" s="26"/>
      <c r="C105" s="27"/>
      <c r="D105" s="25"/>
      <c r="E105" s="28"/>
      <c r="F105" s="27"/>
      <c r="G105" s="28"/>
      <c r="H105" s="27"/>
      <c r="I105" s="28"/>
      <c r="J105" s="27">
        <v>8</v>
      </c>
      <c r="K105" s="29" t="s">
        <v>35</v>
      </c>
      <c r="L105" s="39"/>
      <c r="M105" s="31"/>
      <c r="N105" s="27"/>
      <c r="P105" s="32"/>
      <c r="Q105" s="25"/>
      <c r="R105" s="27"/>
      <c r="S105" s="27"/>
      <c r="T105" s="28"/>
      <c r="U105" s="27"/>
      <c r="V105" s="27"/>
      <c r="W105" s="28"/>
      <c r="X105" s="33"/>
      <c r="Y105" s="32"/>
      <c r="Z105" s="25"/>
      <c r="AA105" s="27"/>
      <c r="AB105" s="28"/>
      <c r="AC105" s="27"/>
      <c r="AD105" s="27"/>
      <c r="AE105" s="33"/>
      <c r="AF105" s="32"/>
      <c r="AG105" s="90"/>
      <c r="AH105" s="91"/>
      <c r="AI105" s="27"/>
      <c r="AJ105" s="27"/>
      <c r="AK105" s="28"/>
      <c r="AL105" s="27"/>
      <c r="AM105" s="27"/>
      <c r="AN105" s="27"/>
      <c r="AO105" s="27"/>
      <c r="AP105" s="36"/>
      <c r="AQ105" s="37"/>
      <c r="AR105" s="32"/>
      <c r="AS105" s="25" t="s">
        <v>96</v>
      </c>
      <c r="AT105" s="27" t="s">
        <v>87</v>
      </c>
      <c r="AU105" s="27"/>
      <c r="AW105" s="25" t="s">
        <v>90</v>
      </c>
      <c r="AX105" s="27" t="s">
        <v>95</v>
      </c>
      <c r="AY105" s="27"/>
      <c r="AZ105" s="32"/>
      <c r="BA105" s="41"/>
    </row>
    <row r="106" spans="1:53" x14ac:dyDescent="0.2">
      <c r="A106" s="25">
        <v>90</v>
      </c>
      <c r="B106" s="26"/>
      <c r="C106" s="27"/>
      <c r="D106" s="25"/>
      <c r="E106" s="28"/>
      <c r="F106" s="27"/>
      <c r="G106" s="28"/>
      <c r="H106" s="27"/>
      <c r="I106" s="28"/>
      <c r="J106" s="27">
        <v>8</v>
      </c>
      <c r="K106" s="29" t="s">
        <v>35</v>
      </c>
      <c r="L106" s="39"/>
      <c r="M106" s="31"/>
      <c r="N106" s="27"/>
      <c r="P106" s="32"/>
      <c r="Q106" s="25"/>
      <c r="R106" s="27"/>
      <c r="S106" s="27"/>
      <c r="T106" s="28"/>
      <c r="U106" s="27"/>
      <c r="V106" s="27"/>
      <c r="W106" s="28"/>
      <c r="X106" s="33"/>
      <c r="Y106" s="32"/>
      <c r="Z106" s="25"/>
      <c r="AA106" s="27"/>
      <c r="AB106" s="28"/>
      <c r="AC106" s="27"/>
      <c r="AD106" s="27"/>
      <c r="AE106" s="33"/>
      <c r="AF106" s="32"/>
      <c r="AG106" s="90"/>
      <c r="AH106" s="91"/>
      <c r="AI106" s="27"/>
      <c r="AJ106" s="27"/>
      <c r="AK106" s="28"/>
      <c r="AL106" s="27"/>
      <c r="AM106" s="27"/>
      <c r="AN106" s="27"/>
      <c r="AO106" s="27"/>
      <c r="AP106" s="36"/>
      <c r="AQ106" s="37"/>
      <c r="AR106" s="32"/>
      <c r="AS106" s="25" t="s">
        <v>96</v>
      </c>
      <c r="AT106" s="27" t="s">
        <v>87</v>
      </c>
      <c r="AU106" s="27"/>
      <c r="AW106" s="25" t="s">
        <v>90</v>
      </c>
      <c r="AX106" s="27" t="s">
        <v>95</v>
      </c>
      <c r="AY106" s="27"/>
      <c r="AZ106" s="32"/>
      <c r="BA106" s="41"/>
    </row>
    <row r="107" spans="1:53" x14ac:dyDescent="0.2">
      <c r="A107" s="25">
        <v>91</v>
      </c>
      <c r="B107" s="26"/>
      <c r="C107" s="27"/>
      <c r="AS107" s="25" t="s">
        <v>96</v>
      </c>
      <c r="AT107" s="27" t="s">
        <v>87</v>
      </c>
      <c r="AU107" s="27"/>
      <c r="AW107" s="25" t="s">
        <v>90</v>
      </c>
      <c r="AX107" s="27" t="s">
        <v>95</v>
      </c>
    </row>
    <row r="108" spans="1:53" x14ac:dyDescent="0.2">
      <c r="A108" s="25">
        <v>92</v>
      </c>
      <c r="B108" s="26"/>
      <c r="C108" s="27"/>
      <c r="AS108" s="25" t="s">
        <v>96</v>
      </c>
      <c r="AT108" s="27" t="s">
        <v>87</v>
      </c>
      <c r="AU108" s="27"/>
      <c r="AW108" s="25" t="s">
        <v>90</v>
      </c>
      <c r="AX108" s="27" t="s">
        <v>95</v>
      </c>
    </row>
    <row r="109" spans="1:53" x14ac:dyDescent="0.2">
      <c r="A109" s="25">
        <v>93</v>
      </c>
      <c r="B109" s="26"/>
      <c r="C109" s="27"/>
      <c r="AS109" s="25" t="s">
        <v>96</v>
      </c>
      <c r="AT109" s="27" t="s">
        <v>87</v>
      </c>
      <c r="AU109" s="27"/>
      <c r="AW109" s="25" t="s">
        <v>90</v>
      </c>
      <c r="AX109" s="27" t="s">
        <v>95</v>
      </c>
    </row>
    <row r="110" spans="1:53" x14ac:dyDescent="0.2">
      <c r="A110" s="25">
        <v>94</v>
      </c>
      <c r="B110" s="26"/>
      <c r="C110" s="27"/>
      <c r="AS110" s="25" t="s">
        <v>96</v>
      </c>
      <c r="AT110" s="27" t="s">
        <v>87</v>
      </c>
      <c r="AU110" s="27"/>
      <c r="AW110" s="25" t="s">
        <v>90</v>
      </c>
      <c r="AX110" s="27" t="s">
        <v>95</v>
      </c>
    </row>
    <row r="111" spans="1:53" x14ac:dyDescent="0.2">
      <c r="A111" s="25">
        <v>95</v>
      </c>
      <c r="B111" s="26"/>
      <c r="C111" s="27"/>
      <c r="AS111" s="25" t="s">
        <v>96</v>
      </c>
      <c r="AT111" s="27" t="s">
        <v>87</v>
      </c>
      <c r="AU111" s="27"/>
      <c r="AW111" s="25" t="s">
        <v>90</v>
      </c>
      <c r="AX111" s="27" t="s">
        <v>95</v>
      </c>
    </row>
    <row r="112" spans="1:53" x14ac:dyDescent="0.2">
      <c r="A112" s="25">
        <v>96</v>
      </c>
      <c r="B112" s="26"/>
      <c r="C112" s="27"/>
      <c r="AS112" s="25" t="s">
        <v>96</v>
      </c>
      <c r="AT112" s="27" t="s">
        <v>87</v>
      </c>
      <c r="AU112" s="27"/>
      <c r="AW112" s="25" t="s">
        <v>90</v>
      </c>
      <c r="AX112" s="27" t="s">
        <v>95</v>
      </c>
      <c r="BA112">
        <v>0</v>
      </c>
    </row>
    <row r="113" spans="1:53" x14ac:dyDescent="0.2">
      <c r="A113" s="25">
        <v>97</v>
      </c>
      <c r="B113" s="26"/>
      <c r="C113" s="27"/>
      <c r="AS113" s="25" t="s">
        <v>96</v>
      </c>
      <c r="AT113" s="27" t="s">
        <v>87</v>
      </c>
      <c r="AU113" s="27"/>
      <c r="AW113" s="25" t="s">
        <v>90</v>
      </c>
      <c r="AX113" s="27" t="s">
        <v>95</v>
      </c>
    </row>
    <row r="114" spans="1:53" x14ac:dyDescent="0.2">
      <c r="A114" s="25">
        <v>98</v>
      </c>
      <c r="B114" s="26"/>
      <c r="C114" s="27"/>
      <c r="K114" s="172"/>
      <c r="AS114" s="25" t="s">
        <v>96</v>
      </c>
      <c r="AT114" s="27" t="s">
        <v>87</v>
      </c>
      <c r="AU114" s="27"/>
      <c r="AW114" s="25" t="s">
        <v>90</v>
      </c>
      <c r="AX114" s="27" t="s">
        <v>95</v>
      </c>
      <c r="BA114">
        <v>0</v>
      </c>
    </row>
    <row r="115" spans="1:53" x14ac:dyDescent="0.2">
      <c r="A115" s="25">
        <v>99</v>
      </c>
      <c r="B115" s="26"/>
      <c r="AS115" s="25" t="s">
        <v>96</v>
      </c>
      <c r="AT115" s="27" t="s">
        <v>87</v>
      </c>
      <c r="AU115" s="27"/>
      <c r="AW115" s="25" t="s">
        <v>90</v>
      </c>
      <c r="AX115" s="27" t="s">
        <v>95</v>
      </c>
    </row>
    <row r="116" spans="1:53" x14ac:dyDescent="0.2">
      <c r="A116" s="25">
        <v>100</v>
      </c>
      <c r="B116" s="26"/>
      <c r="C116" s="27"/>
      <c r="AS116" s="25" t="s">
        <v>96</v>
      </c>
      <c r="AT116" s="27" t="s">
        <v>87</v>
      </c>
      <c r="AU116" s="27"/>
      <c r="AW116" s="25" t="s">
        <v>90</v>
      </c>
      <c r="AX116" s="27" t="s">
        <v>95</v>
      </c>
    </row>
    <row r="117" spans="1:53" x14ac:dyDescent="0.2">
      <c r="A117" s="25">
        <v>101</v>
      </c>
      <c r="B117" s="26"/>
      <c r="C117" s="27"/>
      <c r="AS117" s="25" t="s">
        <v>96</v>
      </c>
      <c r="AT117" s="27" t="s">
        <v>87</v>
      </c>
      <c r="AU117" s="27"/>
      <c r="AW117" s="25" t="s">
        <v>90</v>
      </c>
      <c r="AX117" s="27" t="s">
        <v>95</v>
      </c>
    </row>
    <row r="118" spans="1:53" x14ac:dyDescent="0.2">
      <c r="A118" s="25">
        <v>102</v>
      </c>
      <c r="B118" s="26"/>
      <c r="C118" s="27"/>
      <c r="AS118" s="25" t="s">
        <v>96</v>
      </c>
      <c r="AT118" s="27" t="s">
        <v>87</v>
      </c>
      <c r="AU118" s="27"/>
      <c r="AW118" s="25" t="s">
        <v>90</v>
      </c>
      <c r="AX118" s="27" t="s">
        <v>95</v>
      </c>
    </row>
    <row r="119" spans="1:53" x14ac:dyDescent="0.2">
      <c r="A119" s="25">
        <v>103</v>
      </c>
      <c r="B119" s="26"/>
      <c r="C119" s="27"/>
      <c r="AS119" s="25" t="s">
        <v>96</v>
      </c>
      <c r="AT119" s="27" t="s">
        <v>87</v>
      </c>
      <c r="AU119" s="27"/>
      <c r="AW119" s="25" t="s">
        <v>90</v>
      </c>
      <c r="AX119" s="27" t="s">
        <v>95</v>
      </c>
    </row>
    <row r="120" spans="1:53" x14ac:dyDescent="0.2">
      <c r="A120" s="25">
        <v>104</v>
      </c>
      <c r="B120" s="26"/>
      <c r="C120" s="27"/>
      <c r="AS120" s="25" t="s">
        <v>96</v>
      </c>
      <c r="AT120" s="27" t="s">
        <v>87</v>
      </c>
      <c r="AU120" s="27"/>
      <c r="AW120" s="25" t="s">
        <v>90</v>
      </c>
      <c r="AX120" s="27" t="s">
        <v>95</v>
      </c>
    </row>
    <row r="121" spans="1:53" x14ac:dyDescent="0.2">
      <c r="A121" s="25">
        <v>105</v>
      </c>
      <c r="B121" s="26"/>
      <c r="C121" s="27"/>
      <c r="AS121" s="25" t="s">
        <v>96</v>
      </c>
      <c r="AT121" s="27" t="s">
        <v>87</v>
      </c>
      <c r="AU121" s="27"/>
      <c r="AW121" s="25" t="s">
        <v>90</v>
      </c>
      <c r="AX121" s="27" t="s">
        <v>95</v>
      </c>
    </row>
    <row r="122" spans="1:53" x14ac:dyDescent="0.2">
      <c r="A122" s="25">
        <v>106</v>
      </c>
      <c r="B122" s="26"/>
    </row>
    <row r="123" spans="1:53" x14ac:dyDescent="0.2">
      <c r="A123" s="25">
        <v>107</v>
      </c>
      <c r="B123" s="26"/>
      <c r="C123" s="27"/>
    </row>
    <row r="124" spans="1:53" x14ac:dyDescent="0.2">
      <c r="A124" s="25">
        <v>108</v>
      </c>
      <c r="B124" s="26"/>
      <c r="C124" s="27"/>
    </row>
    <row r="125" spans="1:53" x14ac:dyDescent="0.2">
      <c r="A125" s="25">
        <v>109</v>
      </c>
      <c r="B125" s="26"/>
      <c r="C125" s="27"/>
    </row>
    <row r="126" spans="1:53" x14ac:dyDescent="0.2">
      <c r="A126" s="25">
        <v>110</v>
      </c>
      <c r="B126" s="26"/>
      <c r="C126" s="27"/>
    </row>
    <row r="127" spans="1:53" x14ac:dyDescent="0.2">
      <c r="A127" s="25">
        <v>111</v>
      </c>
      <c r="B127" s="26"/>
      <c r="C127" s="27"/>
    </row>
    <row r="128" spans="1:53" s="173" customFormat="1" x14ac:dyDescent="0.2">
      <c r="A128" s="173">
        <v>112</v>
      </c>
      <c r="B128" s="26"/>
    </row>
    <row r="129" spans="1:3" x14ac:dyDescent="0.2">
      <c r="A129" s="25">
        <v>113</v>
      </c>
      <c r="B129" s="26"/>
      <c r="C129" s="27"/>
    </row>
    <row r="130" spans="1:3" x14ac:dyDescent="0.2">
      <c r="A130" s="25">
        <v>114</v>
      </c>
      <c r="B130" s="26"/>
      <c r="C130" s="27"/>
    </row>
    <row r="131" spans="1:3" x14ac:dyDescent="0.2">
      <c r="A131" s="25">
        <v>115</v>
      </c>
      <c r="B131" s="26"/>
      <c r="C131" s="27"/>
    </row>
  </sheetData>
  <mergeCells count="52">
    <mergeCell ref="X20:X27"/>
    <mergeCell ref="AV13:AV15"/>
    <mergeCell ref="AW13:AW15"/>
    <mergeCell ref="AG13:AG14"/>
    <mergeCell ref="X13:X15"/>
    <mergeCell ref="O36:O56"/>
    <mergeCell ref="AR13:AR15"/>
    <mergeCell ref="AS13:AS15"/>
    <mergeCell ref="AT13:AT15"/>
    <mergeCell ref="AU13:AU15"/>
    <mergeCell ref="AH13:AH15"/>
    <mergeCell ref="AI13:AK14"/>
    <mergeCell ref="AL13:AL15"/>
    <mergeCell ref="AM13:AM14"/>
    <mergeCell ref="AN13:AP14"/>
    <mergeCell ref="AQ13:AQ15"/>
    <mergeCell ref="Y13:Y15"/>
    <mergeCell ref="Z13:AB14"/>
    <mergeCell ref="AC13:AD14"/>
    <mergeCell ref="AE13:AE15"/>
    <mergeCell ref="AF13:AF15"/>
    <mergeCell ref="H13:I14"/>
    <mergeCell ref="J13:J15"/>
    <mergeCell ref="K13:K15"/>
    <mergeCell ref="L13:L15"/>
    <mergeCell ref="M13:M15"/>
    <mergeCell ref="N13:N15"/>
    <mergeCell ref="AS10:AV12"/>
    <mergeCell ref="AW10:AZ12"/>
    <mergeCell ref="BA10:BA12"/>
    <mergeCell ref="AG12:AK12"/>
    <mergeCell ref="AM12:AP12"/>
    <mergeCell ref="AG10:AP11"/>
    <mergeCell ref="O13:O15"/>
    <mergeCell ref="P13:P15"/>
    <mergeCell ref="Q13:Q15"/>
    <mergeCell ref="R13:T14"/>
    <mergeCell ref="U13:W14"/>
    <mergeCell ref="AX13:AX15"/>
    <mergeCell ref="AY13:AY15"/>
    <mergeCell ref="AZ13:AZ15"/>
    <mergeCell ref="BA13:BA15"/>
    <mergeCell ref="A13:A15"/>
    <mergeCell ref="B13:B15"/>
    <mergeCell ref="C13:C15"/>
    <mergeCell ref="D13:E14"/>
    <mergeCell ref="F13:G14"/>
    <mergeCell ref="A10:C12"/>
    <mergeCell ref="D10:M12"/>
    <mergeCell ref="N10:P12"/>
    <mergeCell ref="Q10:Y12"/>
    <mergeCell ref="Z10:AF1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Q29" sqref="Q29"/>
    </sheetView>
  </sheetViews>
  <sheetFormatPr baseColWidth="10" defaultColWidth="8.83203125" defaultRowHeight="15"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E90C2-FB25-4638-8FEC-1335BEB48151}">
  <dimension ref="A1:BB131"/>
  <sheetViews>
    <sheetView zoomScale="150" zoomScaleNormal="85" workbookViewId="0">
      <pane xSplit="1" topLeftCell="B1" activePane="topRight" state="frozen"/>
      <selection pane="topRight" activeCell="C9" sqref="C9"/>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0.33203125"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22.33203125"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13.83203125" customWidth="1"/>
    <col min="50" max="50" width="26.5" bestFit="1" customWidth="1"/>
    <col min="51" max="51" width="24.1640625" bestFit="1" customWidth="1"/>
    <col min="52" max="52" width="41.1640625" bestFit="1" customWidth="1"/>
    <col min="53" max="53" width="18.83203125" bestFit="1" customWidth="1"/>
  </cols>
  <sheetData>
    <row r="1" spans="1:53" x14ac:dyDescent="0.2">
      <c r="A1" s="94" t="s">
        <v>99</v>
      </c>
      <c r="B1" t="s">
        <v>415</v>
      </c>
    </row>
    <row r="2" spans="1:53" x14ac:dyDescent="0.2">
      <c r="A2" s="94" t="s">
        <v>100</v>
      </c>
    </row>
    <row r="3" spans="1:53" x14ac:dyDescent="0.2">
      <c r="A3" s="94" t="s">
        <v>101</v>
      </c>
      <c r="B3">
        <v>2400</v>
      </c>
    </row>
    <row r="4" spans="1:53" x14ac:dyDescent="0.2">
      <c r="A4" s="94" t="s">
        <v>102</v>
      </c>
      <c r="B4">
        <v>82</v>
      </c>
    </row>
    <row r="5" spans="1:53" x14ac:dyDescent="0.2">
      <c r="A5" s="94" t="s">
        <v>103</v>
      </c>
      <c r="B5" s="205">
        <f>B4/B3*100</f>
        <v>3.4166666666666665</v>
      </c>
      <c r="C5" t="s">
        <v>681</v>
      </c>
    </row>
    <row r="6" spans="1:53" x14ac:dyDescent="0.2">
      <c r="A6" s="94" t="s">
        <v>104</v>
      </c>
      <c r="B6" t="s">
        <v>418</v>
      </c>
    </row>
    <row r="7" spans="1:53" x14ac:dyDescent="0.2">
      <c r="A7" s="94" t="s">
        <v>106</v>
      </c>
      <c r="B7" t="s">
        <v>669</v>
      </c>
    </row>
    <row r="8" spans="1:53" x14ac:dyDescent="0.2">
      <c r="A8" s="94" t="s">
        <v>416</v>
      </c>
      <c r="B8">
        <v>9</v>
      </c>
    </row>
    <row r="9" spans="1:53" ht="16" thickBot="1" x14ac:dyDescent="0.25">
      <c r="A9" s="94" t="s">
        <v>417</v>
      </c>
      <c r="B9">
        <v>1000</v>
      </c>
    </row>
    <row r="10" spans="1:53" ht="23" x14ac:dyDescent="0.2">
      <c r="A10" s="209" t="s">
        <v>0</v>
      </c>
      <c r="B10" s="210"/>
      <c r="C10" s="210"/>
      <c r="D10" s="215" t="s">
        <v>1</v>
      </c>
      <c r="E10" s="215"/>
      <c r="F10" s="215"/>
      <c r="G10" s="215"/>
      <c r="H10" s="215"/>
      <c r="I10" s="215"/>
      <c r="J10" s="215"/>
      <c r="K10" s="215"/>
      <c r="L10" s="215"/>
      <c r="M10" s="215"/>
      <c r="N10" s="218" t="s">
        <v>2</v>
      </c>
      <c r="O10" s="218"/>
      <c r="P10" s="219"/>
      <c r="Q10" s="224" t="s">
        <v>3</v>
      </c>
      <c r="R10" s="225"/>
      <c r="S10" s="225"/>
      <c r="T10" s="225"/>
      <c r="U10" s="225"/>
      <c r="V10" s="225"/>
      <c r="W10" s="225"/>
      <c r="X10" s="225"/>
      <c r="Y10" s="226"/>
      <c r="Z10" s="230" t="s">
        <v>4</v>
      </c>
      <c r="AA10" s="231"/>
      <c r="AB10" s="231"/>
      <c r="AC10" s="231"/>
      <c r="AD10" s="231"/>
      <c r="AE10" s="231"/>
      <c r="AF10" s="232"/>
      <c r="AG10" s="271" t="s">
        <v>5</v>
      </c>
      <c r="AH10" s="271"/>
      <c r="AI10" s="271"/>
      <c r="AJ10" s="271"/>
      <c r="AK10" s="271"/>
      <c r="AL10" s="271"/>
      <c r="AM10" s="271"/>
      <c r="AN10" s="271"/>
      <c r="AO10" s="271"/>
      <c r="AP10" s="271"/>
      <c r="AQ10" s="1"/>
      <c r="AR10" s="2"/>
      <c r="AS10" s="251" t="s">
        <v>6</v>
      </c>
      <c r="AT10" s="252"/>
      <c r="AU10" s="252"/>
      <c r="AV10" s="252"/>
      <c r="AW10" s="257" t="s">
        <v>7</v>
      </c>
      <c r="AX10" s="258"/>
      <c r="AY10" s="258"/>
      <c r="AZ10" s="259"/>
      <c r="BA10" s="266" t="s">
        <v>8</v>
      </c>
    </row>
    <row r="11" spans="1:53" ht="23" x14ac:dyDescent="0.2">
      <c r="A11" s="211"/>
      <c r="B11" s="212"/>
      <c r="C11" s="212"/>
      <c r="D11" s="216"/>
      <c r="E11" s="216"/>
      <c r="F11" s="216"/>
      <c r="G11" s="216"/>
      <c r="H11" s="216"/>
      <c r="I11" s="216"/>
      <c r="J11" s="216"/>
      <c r="K11" s="216"/>
      <c r="L11" s="216"/>
      <c r="M11" s="216"/>
      <c r="N11" s="220"/>
      <c r="O11" s="220"/>
      <c r="P11" s="221"/>
      <c r="Q11" s="227"/>
      <c r="R11" s="228"/>
      <c r="S11" s="228"/>
      <c r="T11" s="228"/>
      <c r="U11" s="228"/>
      <c r="V11" s="228"/>
      <c r="W11" s="228"/>
      <c r="X11" s="228"/>
      <c r="Y11" s="229"/>
      <c r="Z11" s="233"/>
      <c r="AA11" s="234"/>
      <c r="AB11" s="234"/>
      <c r="AC11" s="234"/>
      <c r="AD11" s="234"/>
      <c r="AE11" s="234"/>
      <c r="AF11" s="235"/>
      <c r="AG11" s="272"/>
      <c r="AH11" s="272"/>
      <c r="AI11" s="272"/>
      <c r="AJ11" s="272"/>
      <c r="AK11" s="272"/>
      <c r="AL11" s="272"/>
      <c r="AM11" s="272"/>
      <c r="AN11" s="272"/>
      <c r="AO11" s="272"/>
      <c r="AP11" s="272"/>
      <c r="AQ11" s="3"/>
      <c r="AR11" s="4"/>
      <c r="AS11" s="253"/>
      <c r="AT11" s="254"/>
      <c r="AU11" s="254"/>
      <c r="AV11" s="254"/>
      <c r="AW11" s="260"/>
      <c r="AX11" s="261"/>
      <c r="AY11" s="261"/>
      <c r="AZ11" s="262"/>
      <c r="BA11" s="267"/>
    </row>
    <row r="12" spans="1:53" ht="21" thickBot="1" x14ac:dyDescent="0.25">
      <c r="A12" s="213"/>
      <c r="B12" s="214"/>
      <c r="C12" s="214"/>
      <c r="D12" s="217"/>
      <c r="E12" s="217"/>
      <c r="F12" s="217"/>
      <c r="G12" s="217"/>
      <c r="H12" s="217"/>
      <c r="I12" s="217"/>
      <c r="J12" s="217"/>
      <c r="K12" s="217"/>
      <c r="L12" s="217"/>
      <c r="M12" s="217"/>
      <c r="N12" s="222"/>
      <c r="O12" s="222"/>
      <c r="P12" s="223"/>
      <c r="Q12" s="227"/>
      <c r="R12" s="228"/>
      <c r="S12" s="228"/>
      <c r="T12" s="228"/>
      <c r="U12" s="228"/>
      <c r="V12" s="228"/>
      <c r="W12" s="228"/>
      <c r="X12" s="228"/>
      <c r="Y12" s="229"/>
      <c r="Z12" s="233"/>
      <c r="AA12" s="234"/>
      <c r="AB12" s="234"/>
      <c r="AC12" s="234"/>
      <c r="AD12" s="234"/>
      <c r="AE12" s="234"/>
      <c r="AF12" s="235"/>
      <c r="AG12" s="269" t="s">
        <v>9</v>
      </c>
      <c r="AH12" s="269"/>
      <c r="AI12" s="269"/>
      <c r="AJ12" s="269"/>
      <c r="AK12" s="270"/>
      <c r="AL12" s="5"/>
      <c r="AM12" s="269" t="s">
        <v>10</v>
      </c>
      <c r="AN12" s="269"/>
      <c r="AO12" s="269"/>
      <c r="AP12" s="270"/>
      <c r="AQ12" s="6"/>
      <c r="AR12" s="7"/>
      <c r="AS12" s="255"/>
      <c r="AT12" s="256"/>
      <c r="AU12" s="256"/>
      <c r="AV12" s="256"/>
      <c r="AW12" s="263"/>
      <c r="AX12" s="264"/>
      <c r="AY12" s="264"/>
      <c r="AZ12" s="265"/>
      <c r="BA12" s="268"/>
    </row>
    <row r="13" spans="1:53" x14ac:dyDescent="0.2">
      <c r="A13" s="236" t="s">
        <v>11</v>
      </c>
      <c r="B13" s="239" t="s">
        <v>12</v>
      </c>
      <c r="C13" s="239" t="s">
        <v>13</v>
      </c>
      <c r="D13" s="242" t="s">
        <v>14</v>
      </c>
      <c r="E13" s="243"/>
      <c r="F13" s="246" t="s">
        <v>15</v>
      </c>
      <c r="G13" s="243"/>
      <c r="H13" s="292" t="s">
        <v>16</v>
      </c>
      <c r="I13" s="293"/>
      <c r="J13" s="296" t="s">
        <v>17</v>
      </c>
      <c r="K13" s="299" t="s">
        <v>18</v>
      </c>
      <c r="L13" s="292" t="s">
        <v>19</v>
      </c>
      <c r="M13" s="303" t="s">
        <v>20</v>
      </c>
      <c r="N13" s="248" t="s">
        <v>21</v>
      </c>
      <c r="O13" s="248" t="s">
        <v>19</v>
      </c>
      <c r="P13" s="248" t="s">
        <v>20</v>
      </c>
      <c r="Q13" s="273" t="s">
        <v>22</v>
      </c>
      <c r="R13" s="276" t="s">
        <v>23</v>
      </c>
      <c r="S13" s="276"/>
      <c r="T13" s="277"/>
      <c r="U13" s="280" t="s">
        <v>24</v>
      </c>
      <c r="V13" s="280"/>
      <c r="W13" s="281"/>
      <c r="X13" s="353" t="s">
        <v>19</v>
      </c>
      <c r="Y13" s="330" t="s">
        <v>20</v>
      </c>
      <c r="Z13" s="333" t="s">
        <v>23</v>
      </c>
      <c r="AA13" s="334"/>
      <c r="AB13" s="335"/>
      <c r="AC13" s="339" t="s">
        <v>24</v>
      </c>
      <c r="AD13" s="339"/>
      <c r="AE13" s="339" t="s">
        <v>19</v>
      </c>
      <c r="AF13" s="342" t="s">
        <v>20</v>
      </c>
      <c r="AG13" s="351" t="s">
        <v>25</v>
      </c>
      <c r="AH13" s="318" t="s">
        <v>26</v>
      </c>
      <c r="AI13" s="321" t="s">
        <v>24</v>
      </c>
      <c r="AJ13" s="321"/>
      <c r="AK13" s="321"/>
      <c r="AL13" s="323" t="s">
        <v>27</v>
      </c>
      <c r="AM13" s="325" t="s">
        <v>25</v>
      </c>
      <c r="AN13" s="321" t="s">
        <v>24</v>
      </c>
      <c r="AO13" s="321"/>
      <c r="AP13" s="309"/>
      <c r="AQ13" s="327" t="s">
        <v>19</v>
      </c>
      <c r="AR13" s="309" t="s">
        <v>20</v>
      </c>
      <c r="AS13" s="312" t="s">
        <v>28</v>
      </c>
      <c r="AT13" s="315" t="s">
        <v>29</v>
      </c>
      <c r="AU13" s="315" t="s">
        <v>19</v>
      </c>
      <c r="AV13" s="315" t="s">
        <v>20</v>
      </c>
      <c r="AW13" s="348" t="s">
        <v>30</v>
      </c>
      <c r="AX13" s="284" t="s">
        <v>29</v>
      </c>
      <c r="AY13" s="284" t="s">
        <v>19</v>
      </c>
      <c r="AZ13" s="287" t="s">
        <v>20</v>
      </c>
      <c r="BA13" s="290" t="s">
        <v>31</v>
      </c>
    </row>
    <row r="14" spans="1:53" x14ac:dyDescent="0.2">
      <c r="A14" s="237"/>
      <c r="B14" s="240"/>
      <c r="C14" s="240"/>
      <c r="D14" s="244"/>
      <c r="E14" s="245"/>
      <c r="F14" s="247"/>
      <c r="G14" s="245"/>
      <c r="H14" s="294"/>
      <c r="I14" s="295"/>
      <c r="J14" s="297"/>
      <c r="K14" s="300"/>
      <c r="L14" s="294"/>
      <c r="M14" s="304"/>
      <c r="N14" s="249"/>
      <c r="O14" s="249"/>
      <c r="P14" s="249"/>
      <c r="Q14" s="274"/>
      <c r="R14" s="278"/>
      <c r="S14" s="278"/>
      <c r="T14" s="279"/>
      <c r="U14" s="282"/>
      <c r="V14" s="282"/>
      <c r="W14" s="283"/>
      <c r="X14" s="354"/>
      <c r="Y14" s="331"/>
      <c r="Z14" s="336"/>
      <c r="AA14" s="337"/>
      <c r="AB14" s="338"/>
      <c r="AC14" s="340"/>
      <c r="AD14" s="340"/>
      <c r="AE14" s="340"/>
      <c r="AF14" s="343"/>
      <c r="AG14" s="352"/>
      <c r="AH14" s="319"/>
      <c r="AI14" s="322"/>
      <c r="AJ14" s="322"/>
      <c r="AK14" s="322"/>
      <c r="AL14" s="324"/>
      <c r="AM14" s="326"/>
      <c r="AN14" s="322"/>
      <c r="AO14" s="322"/>
      <c r="AP14" s="310"/>
      <c r="AQ14" s="328"/>
      <c r="AR14" s="310"/>
      <c r="AS14" s="313"/>
      <c r="AT14" s="316"/>
      <c r="AU14" s="316"/>
      <c r="AV14" s="316"/>
      <c r="AW14" s="349"/>
      <c r="AX14" s="285"/>
      <c r="AY14" s="285"/>
      <c r="AZ14" s="288"/>
      <c r="BA14" s="290"/>
    </row>
    <row r="15" spans="1:53" ht="57" thickBot="1" x14ac:dyDescent="0.25">
      <c r="A15" s="238"/>
      <c r="B15" s="241"/>
      <c r="C15" s="241"/>
      <c r="D15" s="8" t="s">
        <v>32</v>
      </c>
      <c r="E15" s="9" t="s">
        <v>33</v>
      </c>
      <c r="F15" s="10" t="s">
        <v>32</v>
      </c>
      <c r="G15" s="9" t="s">
        <v>33</v>
      </c>
      <c r="H15" s="11" t="s">
        <v>32</v>
      </c>
      <c r="I15" s="12" t="s">
        <v>33</v>
      </c>
      <c r="J15" s="298"/>
      <c r="K15" s="301"/>
      <c r="L15" s="302"/>
      <c r="M15" s="305"/>
      <c r="N15" s="250"/>
      <c r="O15" s="250"/>
      <c r="P15" s="250"/>
      <c r="Q15" s="275"/>
      <c r="R15" s="13" t="s">
        <v>32</v>
      </c>
      <c r="S15" s="13" t="s">
        <v>34</v>
      </c>
      <c r="T15" s="14" t="s">
        <v>33</v>
      </c>
      <c r="U15" s="15" t="s">
        <v>32</v>
      </c>
      <c r="V15" s="15" t="s">
        <v>34</v>
      </c>
      <c r="W15" s="16" t="s">
        <v>33</v>
      </c>
      <c r="X15" s="355"/>
      <c r="Y15" s="332"/>
      <c r="Z15" s="17" t="s">
        <v>32</v>
      </c>
      <c r="AA15" s="18" t="s">
        <v>34</v>
      </c>
      <c r="AB15" s="19" t="s">
        <v>33</v>
      </c>
      <c r="AC15" s="20" t="s">
        <v>32</v>
      </c>
      <c r="AD15" s="20" t="s">
        <v>34</v>
      </c>
      <c r="AE15" s="341"/>
      <c r="AF15" s="344"/>
      <c r="AG15" s="21" t="s">
        <v>34</v>
      </c>
      <c r="AH15" s="320"/>
      <c r="AI15" s="22" t="s">
        <v>32</v>
      </c>
      <c r="AJ15" s="22" t="s">
        <v>34</v>
      </c>
      <c r="AK15" s="22" t="s">
        <v>33</v>
      </c>
      <c r="AL15" s="324"/>
      <c r="AM15" s="23" t="s">
        <v>33</v>
      </c>
      <c r="AN15" s="22" t="s">
        <v>32</v>
      </c>
      <c r="AO15" s="22" t="s">
        <v>34</v>
      </c>
      <c r="AP15" s="24" t="s">
        <v>33</v>
      </c>
      <c r="AQ15" s="329"/>
      <c r="AR15" s="311"/>
      <c r="AS15" s="314"/>
      <c r="AT15" s="317"/>
      <c r="AU15" s="317"/>
      <c r="AV15" s="317"/>
      <c r="AW15" s="350"/>
      <c r="AX15" s="286"/>
      <c r="AY15" s="286"/>
      <c r="AZ15" s="289"/>
      <c r="BA15" s="291"/>
    </row>
    <row r="16" spans="1:53" ht="16" thickBot="1" x14ac:dyDescent="0.25">
      <c r="A16" s="25">
        <v>0</v>
      </c>
      <c r="B16" s="26">
        <v>45544</v>
      </c>
      <c r="C16" s="27" t="s">
        <v>232</v>
      </c>
      <c r="D16" s="25"/>
      <c r="E16" s="28"/>
      <c r="F16" s="27"/>
      <c r="G16" s="28"/>
      <c r="H16" s="27"/>
      <c r="I16" s="28"/>
      <c r="J16" s="27">
        <v>4</v>
      </c>
      <c r="K16" s="29" t="s">
        <v>35</v>
      </c>
      <c r="L16" s="30" t="s">
        <v>564</v>
      </c>
      <c r="M16" s="31" t="s">
        <v>636</v>
      </c>
      <c r="N16" s="27"/>
      <c r="P16" s="32"/>
      <c r="Q16" s="25"/>
      <c r="R16" s="27"/>
      <c r="S16" s="27"/>
      <c r="T16" s="28"/>
      <c r="U16" s="27"/>
      <c r="V16" s="27"/>
      <c r="W16" s="28"/>
      <c r="X16" s="33"/>
      <c r="Y16" s="32"/>
      <c r="Z16" s="25"/>
      <c r="AA16" s="27"/>
      <c r="AB16" s="28"/>
      <c r="AC16" s="27"/>
      <c r="AD16" s="27"/>
      <c r="AE16" s="33"/>
      <c r="AG16" s="25"/>
      <c r="AH16" s="34"/>
      <c r="AI16" s="27"/>
      <c r="AJ16" s="27"/>
      <c r="AK16" s="27"/>
      <c r="AL16" s="25"/>
      <c r="AM16" s="35"/>
      <c r="AN16" s="27"/>
      <c r="AO16" s="27"/>
      <c r="AP16" s="36"/>
      <c r="AQ16" s="37"/>
      <c r="AR16" s="32"/>
      <c r="AS16" s="25"/>
      <c r="AT16" s="27"/>
      <c r="AU16" s="27"/>
      <c r="AW16" s="25"/>
      <c r="AX16" s="27"/>
      <c r="AY16" s="27"/>
      <c r="AZ16" s="32"/>
      <c r="BA16" s="38"/>
    </row>
    <row r="17" spans="1:53" ht="16" thickBot="1" x14ac:dyDescent="0.25">
      <c r="A17" s="25">
        <v>1</v>
      </c>
      <c r="B17" s="26">
        <v>45545</v>
      </c>
      <c r="C17" s="27" t="s">
        <v>227</v>
      </c>
      <c r="D17" s="25"/>
      <c r="E17" s="28"/>
      <c r="F17" s="27"/>
      <c r="G17" s="28"/>
      <c r="H17" s="27"/>
      <c r="I17" s="28"/>
      <c r="J17" s="27">
        <v>4</v>
      </c>
      <c r="K17" s="29" t="s">
        <v>35</v>
      </c>
      <c r="L17" s="39"/>
      <c r="M17" s="31" t="s">
        <v>637</v>
      </c>
      <c r="N17" s="27"/>
      <c r="P17" s="32"/>
      <c r="Q17" s="40"/>
      <c r="R17" s="27"/>
      <c r="S17" s="27"/>
      <c r="T17" s="28"/>
      <c r="U17" s="27"/>
      <c r="V17" s="27"/>
      <c r="W17" s="28"/>
      <c r="X17" s="33"/>
      <c r="Y17" s="32"/>
      <c r="Z17" s="25"/>
      <c r="AA17" s="27"/>
      <c r="AB17" s="28"/>
      <c r="AC17" s="27"/>
      <c r="AD17" s="27"/>
      <c r="AE17" s="33"/>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2</v>
      </c>
      <c r="B18" s="26">
        <v>45546</v>
      </c>
      <c r="C18" s="27" t="s">
        <v>314</v>
      </c>
      <c r="D18" s="25"/>
      <c r="E18" s="28"/>
      <c r="F18" s="27"/>
      <c r="G18" s="28"/>
      <c r="H18" s="27"/>
      <c r="I18" s="28"/>
      <c r="J18" s="27">
        <v>4</v>
      </c>
      <c r="K18" s="29" t="s">
        <v>35</v>
      </c>
      <c r="L18" s="39"/>
      <c r="M18" s="31" t="s">
        <v>637</v>
      </c>
      <c r="N18" s="27"/>
      <c r="O18" s="42"/>
      <c r="Q18" s="43" t="s">
        <v>37</v>
      </c>
      <c r="R18" s="27"/>
      <c r="S18" s="27"/>
      <c r="T18" s="28"/>
      <c r="U18" s="27"/>
      <c r="V18" s="27"/>
      <c r="W18" s="28"/>
      <c r="X18" s="33"/>
      <c r="Y18" s="32"/>
      <c r="Z18" s="25"/>
      <c r="AA18" s="27"/>
      <c r="AB18" s="28"/>
      <c r="AC18" s="27"/>
      <c r="AD18" s="27"/>
      <c r="AE18" s="33"/>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3</v>
      </c>
      <c r="B19" s="26">
        <v>45547</v>
      </c>
      <c r="C19" s="27" t="s">
        <v>227</v>
      </c>
      <c r="D19" s="25"/>
      <c r="E19" s="28"/>
      <c r="F19" s="27"/>
      <c r="G19" s="28"/>
      <c r="H19" s="27"/>
      <c r="I19" s="28"/>
      <c r="J19" s="27">
        <v>6</v>
      </c>
      <c r="K19" s="29" t="s">
        <v>35</v>
      </c>
      <c r="L19" s="44" t="s">
        <v>287</v>
      </c>
      <c r="M19" s="31" t="s">
        <v>638</v>
      </c>
      <c r="N19" s="27" t="s">
        <v>533</v>
      </c>
      <c r="O19" s="45" t="s">
        <v>41</v>
      </c>
      <c r="P19" s="46"/>
      <c r="Q19" s="25"/>
      <c r="R19" s="27"/>
      <c r="S19" s="27"/>
      <c r="T19" s="28"/>
      <c r="U19" s="27">
        <v>5</v>
      </c>
      <c r="V19" s="27"/>
      <c r="W19" s="28">
        <v>5</v>
      </c>
      <c r="X19" s="47" t="s">
        <v>43</v>
      </c>
      <c r="Y19" s="32"/>
      <c r="Z19" s="25"/>
      <c r="AA19" s="27"/>
      <c r="AB19" s="28"/>
      <c r="AC19" s="27">
        <v>3</v>
      </c>
      <c r="AD19" s="27">
        <v>2</v>
      </c>
      <c r="AE19" s="48" t="s">
        <v>342</v>
      </c>
      <c r="AG19" s="25"/>
      <c r="AH19" s="34"/>
      <c r="AI19" s="27"/>
      <c r="AJ19" s="27"/>
      <c r="AK19" s="27"/>
      <c r="AL19" s="25"/>
      <c r="AM19" s="34"/>
      <c r="AN19" s="27"/>
      <c r="AO19" s="27"/>
      <c r="AP19" s="36"/>
      <c r="AQ19" s="37"/>
      <c r="AR19" s="32"/>
      <c r="AS19" s="25"/>
      <c r="AT19" s="27"/>
      <c r="AU19" s="27"/>
      <c r="AW19" s="25"/>
      <c r="AX19" s="27"/>
      <c r="AY19" s="27"/>
      <c r="AZ19" s="32"/>
      <c r="BA19" s="41"/>
    </row>
    <row r="20" spans="1:53" x14ac:dyDescent="0.2">
      <c r="A20" s="25">
        <v>4</v>
      </c>
      <c r="B20" s="26">
        <v>45548</v>
      </c>
      <c r="C20" s="27" t="s">
        <v>200</v>
      </c>
      <c r="D20" s="25"/>
      <c r="E20" s="28"/>
      <c r="F20" s="27"/>
      <c r="G20" s="28"/>
      <c r="H20" s="27"/>
      <c r="I20" s="28"/>
      <c r="J20" s="27">
        <v>6</v>
      </c>
      <c r="K20" s="29" t="s">
        <v>35</v>
      </c>
      <c r="L20" s="39"/>
      <c r="M20" s="31"/>
      <c r="N20" s="27" t="s">
        <v>533</v>
      </c>
      <c r="O20" t="s">
        <v>46</v>
      </c>
      <c r="P20" s="32"/>
      <c r="Q20" s="25"/>
      <c r="R20" s="27"/>
      <c r="S20" s="27"/>
      <c r="T20" s="28"/>
      <c r="U20" s="27">
        <v>5</v>
      </c>
      <c r="V20" s="27"/>
      <c r="W20" s="28">
        <v>5</v>
      </c>
      <c r="X20" s="345" t="s">
        <v>47</v>
      </c>
      <c r="Y20" s="32"/>
      <c r="Z20" s="25"/>
      <c r="AA20" s="27"/>
      <c r="AB20" s="28"/>
      <c r="AC20" s="27">
        <v>3</v>
      </c>
      <c r="AD20" s="27">
        <v>2</v>
      </c>
      <c r="AE20" s="33"/>
      <c r="AG20" s="25"/>
      <c r="AH20" s="34"/>
      <c r="AI20" s="27"/>
      <c r="AJ20" s="27"/>
      <c r="AK20" s="27"/>
      <c r="AL20" s="25"/>
      <c r="AM20" s="34"/>
      <c r="AN20" s="27"/>
      <c r="AO20" s="27"/>
      <c r="AP20" s="36"/>
      <c r="AQ20" s="37"/>
      <c r="AR20" s="32"/>
      <c r="AS20" s="25"/>
      <c r="AT20" s="27"/>
      <c r="AU20" s="27"/>
      <c r="AW20" s="25"/>
      <c r="AX20" s="27"/>
      <c r="AY20" s="27"/>
      <c r="AZ20" s="32"/>
      <c r="BA20" s="41"/>
    </row>
    <row r="21" spans="1:53" x14ac:dyDescent="0.2">
      <c r="A21" s="25">
        <v>5</v>
      </c>
      <c r="B21" s="26">
        <v>45549</v>
      </c>
      <c r="C21" s="27" t="s">
        <v>200</v>
      </c>
      <c r="D21" s="25"/>
      <c r="E21" s="28"/>
      <c r="F21" s="27"/>
      <c r="G21" s="28"/>
      <c r="H21" s="27"/>
      <c r="I21" s="28"/>
      <c r="J21" s="27">
        <v>6</v>
      </c>
      <c r="K21" s="29" t="s">
        <v>35</v>
      </c>
      <c r="L21" s="39"/>
      <c r="M21" s="31"/>
      <c r="N21" s="27" t="s">
        <v>533</v>
      </c>
      <c r="P21" s="32"/>
      <c r="Q21" s="25"/>
      <c r="R21" s="27"/>
      <c r="S21" s="27"/>
      <c r="T21" s="28"/>
      <c r="U21" s="27">
        <v>5</v>
      </c>
      <c r="V21" s="27"/>
      <c r="W21" s="28">
        <v>5</v>
      </c>
      <c r="X21" s="346"/>
      <c r="Y21" s="32"/>
      <c r="Z21" s="25"/>
      <c r="AA21" s="27"/>
      <c r="AB21" s="28"/>
      <c r="AC21" s="27">
        <v>3</v>
      </c>
      <c r="AD21" s="27">
        <v>2</v>
      </c>
      <c r="AE21" s="33"/>
      <c r="AG21" s="25"/>
      <c r="AH21" s="34"/>
      <c r="AI21" s="27"/>
      <c r="AJ21" s="27"/>
      <c r="AK21" s="27"/>
      <c r="AL21" s="25"/>
      <c r="AM21" s="34"/>
      <c r="AN21" s="27"/>
      <c r="AO21" s="27"/>
      <c r="AP21" s="36"/>
      <c r="AQ21" s="37"/>
      <c r="AR21" s="32"/>
      <c r="AS21" s="25"/>
      <c r="AT21" s="27"/>
      <c r="AU21" s="27"/>
      <c r="AW21" s="25"/>
      <c r="AX21" s="27"/>
      <c r="AY21" s="27"/>
      <c r="AZ21" s="32"/>
      <c r="BA21" s="41"/>
    </row>
    <row r="22" spans="1:53" x14ac:dyDescent="0.2">
      <c r="A22" s="25">
        <v>6</v>
      </c>
      <c r="B22" s="26">
        <v>45550</v>
      </c>
      <c r="C22" s="27" t="s">
        <v>232</v>
      </c>
      <c r="D22" s="25"/>
      <c r="E22" s="28"/>
      <c r="F22" s="27"/>
      <c r="G22" s="28"/>
      <c r="H22" s="27"/>
      <c r="I22" s="28"/>
      <c r="J22" s="27">
        <v>6</v>
      </c>
      <c r="K22" s="29" t="s">
        <v>35</v>
      </c>
      <c r="L22" s="39"/>
      <c r="M22" s="31"/>
      <c r="N22" s="27" t="s">
        <v>533</v>
      </c>
      <c r="P22" s="32"/>
      <c r="Q22" s="25"/>
      <c r="R22" s="27"/>
      <c r="S22" s="27"/>
      <c r="T22" s="28"/>
      <c r="U22" s="27">
        <v>5</v>
      </c>
      <c r="V22" s="27"/>
      <c r="W22" s="28">
        <v>5</v>
      </c>
      <c r="X22" s="346"/>
      <c r="Y22" s="32"/>
      <c r="Z22" s="25"/>
      <c r="AA22" s="27"/>
      <c r="AB22" s="28"/>
      <c r="AC22" s="27">
        <v>3</v>
      </c>
      <c r="AD22" s="27">
        <v>2</v>
      </c>
      <c r="AE22" s="33"/>
      <c r="AG22" s="25"/>
      <c r="AH22" s="34"/>
      <c r="AI22" s="27"/>
      <c r="AJ22" s="27"/>
      <c r="AK22" s="27"/>
      <c r="AL22" s="25"/>
      <c r="AM22" s="34"/>
      <c r="AN22" s="27"/>
      <c r="AO22" s="27"/>
      <c r="AP22" s="36"/>
      <c r="AQ22" s="37"/>
      <c r="AR22" s="32"/>
      <c r="AS22" s="25"/>
      <c r="AT22" s="27"/>
      <c r="AU22" s="27"/>
      <c r="AW22" s="25"/>
      <c r="AX22" s="27"/>
      <c r="AY22" s="27"/>
      <c r="AZ22" s="32"/>
      <c r="BA22" s="41"/>
    </row>
    <row r="23" spans="1:53" x14ac:dyDescent="0.2">
      <c r="A23" s="25">
        <v>7</v>
      </c>
      <c r="B23" s="26">
        <v>45551</v>
      </c>
      <c r="C23" s="27" t="s">
        <v>227</v>
      </c>
      <c r="D23" s="25"/>
      <c r="E23" s="28"/>
      <c r="F23" s="27"/>
      <c r="G23" s="28"/>
      <c r="H23" s="27"/>
      <c r="I23" s="28"/>
      <c r="J23" s="27">
        <v>6</v>
      </c>
      <c r="K23" s="29" t="s">
        <v>35</v>
      </c>
      <c r="L23" s="39"/>
      <c r="M23" s="31"/>
      <c r="N23" s="27" t="s">
        <v>533</v>
      </c>
      <c r="P23" s="32"/>
      <c r="Q23" s="25"/>
      <c r="R23" s="27"/>
      <c r="S23" s="27"/>
      <c r="T23" s="28"/>
      <c r="U23" s="27">
        <v>5</v>
      </c>
      <c r="V23" s="27"/>
      <c r="W23" s="28">
        <v>5</v>
      </c>
      <c r="X23" s="346"/>
      <c r="Y23" s="32"/>
      <c r="Z23" s="25"/>
      <c r="AA23" s="27"/>
      <c r="AB23" s="28"/>
      <c r="AC23" s="27">
        <v>3</v>
      </c>
      <c r="AD23" s="27">
        <v>2</v>
      </c>
      <c r="AE23" s="33"/>
      <c r="AG23" s="25"/>
      <c r="AH23" s="34"/>
      <c r="AI23" s="27"/>
      <c r="AJ23" s="27"/>
      <c r="AK23" s="27"/>
      <c r="AL23" s="25"/>
      <c r="AM23" s="34"/>
      <c r="AN23" s="27"/>
      <c r="AO23" s="27"/>
      <c r="AP23" s="36"/>
      <c r="AQ23" s="37"/>
      <c r="AR23" s="32"/>
      <c r="AS23" s="25"/>
      <c r="AT23" s="27"/>
      <c r="AU23" s="27"/>
      <c r="AW23" s="25"/>
      <c r="AX23" s="27"/>
      <c r="AY23" s="27"/>
      <c r="AZ23" s="32"/>
      <c r="BA23" s="41"/>
    </row>
    <row r="24" spans="1:53" x14ac:dyDescent="0.2">
      <c r="A24" s="25">
        <v>8</v>
      </c>
      <c r="B24" s="26">
        <v>45552</v>
      </c>
      <c r="C24" s="27" t="s">
        <v>232</v>
      </c>
      <c r="D24" s="25"/>
      <c r="E24" s="28"/>
      <c r="F24" s="27"/>
      <c r="G24" s="28"/>
      <c r="H24" s="27"/>
      <c r="I24" s="28"/>
      <c r="J24" s="27">
        <v>6</v>
      </c>
      <c r="K24" s="29" t="s">
        <v>35</v>
      </c>
      <c r="L24" s="39"/>
      <c r="M24" s="31"/>
      <c r="N24" s="27" t="s">
        <v>533</v>
      </c>
      <c r="P24" s="32"/>
      <c r="Q24" s="25"/>
      <c r="R24" s="27"/>
      <c r="S24" s="27"/>
      <c r="T24" s="28"/>
      <c r="U24" s="27">
        <v>5</v>
      </c>
      <c r="V24" s="27"/>
      <c r="W24" s="28">
        <v>5</v>
      </c>
      <c r="X24" s="346"/>
      <c r="Y24" s="32"/>
      <c r="Z24" s="25"/>
      <c r="AA24" s="27"/>
      <c r="AB24" s="28"/>
      <c r="AC24" s="27">
        <v>3</v>
      </c>
      <c r="AD24" s="27">
        <v>2</v>
      </c>
      <c r="AE24" s="33"/>
      <c r="AG24" s="25"/>
      <c r="AH24" s="34"/>
      <c r="AI24" s="27"/>
      <c r="AJ24" s="27"/>
      <c r="AK24" s="27"/>
      <c r="AL24" s="25"/>
      <c r="AM24" s="34"/>
      <c r="AN24" s="27"/>
      <c r="AO24" s="27"/>
      <c r="AP24" s="36"/>
      <c r="AQ24" s="37"/>
      <c r="AR24" s="32"/>
      <c r="AS24" s="25"/>
      <c r="AT24" s="27"/>
      <c r="AU24" s="27"/>
      <c r="AW24" s="25"/>
      <c r="AX24" s="27"/>
      <c r="AY24" s="27"/>
      <c r="AZ24" s="32"/>
      <c r="BA24" s="41"/>
    </row>
    <row r="25" spans="1:53" ht="16" thickBot="1" x14ac:dyDescent="0.25">
      <c r="A25" s="25">
        <v>9</v>
      </c>
      <c r="B25" s="26">
        <v>45553</v>
      </c>
      <c r="C25" s="27" t="s">
        <v>227</v>
      </c>
      <c r="D25" s="25"/>
      <c r="E25" s="28"/>
      <c r="F25" s="27"/>
      <c r="G25" s="28"/>
      <c r="H25" s="27"/>
      <c r="I25" s="28"/>
      <c r="J25" s="27">
        <v>6</v>
      </c>
      <c r="K25" s="29" t="s">
        <v>35</v>
      </c>
      <c r="L25" s="39"/>
      <c r="M25" s="31"/>
      <c r="N25" s="27" t="s">
        <v>533</v>
      </c>
      <c r="P25" s="32"/>
      <c r="Q25" s="25"/>
      <c r="R25" s="27"/>
      <c r="S25" s="27"/>
      <c r="T25" s="28"/>
      <c r="U25" s="27">
        <v>5</v>
      </c>
      <c r="V25" s="27"/>
      <c r="W25" s="28">
        <v>5</v>
      </c>
      <c r="X25" s="346"/>
      <c r="Y25" s="32"/>
      <c r="Z25" s="25"/>
      <c r="AA25" s="27"/>
      <c r="AB25" s="28"/>
      <c r="AC25" s="27">
        <v>3</v>
      </c>
      <c r="AD25" s="27">
        <v>2</v>
      </c>
      <c r="AE25" s="33"/>
      <c r="AG25" s="25"/>
      <c r="AH25" s="34"/>
      <c r="AI25" s="27"/>
      <c r="AJ25" s="27"/>
      <c r="AK25" s="27"/>
      <c r="AL25" s="25"/>
      <c r="AM25" s="34"/>
      <c r="AN25" s="27"/>
      <c r="AO25" s="27"/>
      <c r="AP25" s="36"/>
      <c r="AQ25" s="37"/>
      <c r="AR25" s="32"/>
      <c r="AS25" s="25"/>
      <c r="AT25" s="27"/>
      <c r="AU25" s="27"/>
      <c r="AW25" s="25"/>
      <c r="AX25" s="27"/>
      <c r="AY25" s="27"/>
      <c r="AZ25" s="32"/>
      <c r="BA25" s="41"/>
    </row>
    <row r="26" spans="1:53" ht="16" thickBot="1" x14ac:dyDescent="0.25">
      <c r="A26" s="25">
        <v>10</v>
      </c>
      <c r="B26" s="26">
        <v>45554</v>
      </c>
      <c r="C26" s="27" t="s">
        <v>227</v>
      </c>
      <c r="D26" s="25"/>
      <c r="E26" s="28"/>
      <c r="F26" s="27"/>
      <c r="G26" s="28"/>
      <c r="H26" s="27"/>
      <c r="I26" s="28"/>
      <c r="J26" s="27">
        <v>6</v>
      </c>
      <c r="K26" s="29" t="s">
        <v>35</v>
      </c>
      <c r="L26" s="39"/>
      <c r="M26" s="31"/>
      <c r="N26" s="27" t="s">
        <v>533</v>
      </c>
      <c r="O26" s="49"/>
      <c r="P26" s="32"/>
      <c r="Q26" s="25"/>
      <c r="R26" s="27"/>
      <c r="S26" s="27"/>
      <c r="T26" s="28"/>
      <c r="U26" s="27">
        <v>5</v>
      </c>
      <c r="V26" s="27"/>
      <c r="W26" s="28">
        <v>5</v>
      </c>
      <c r="X26" s="346"/>
      <c r="Y26" s="32"/>
      <c r="Z26" s="25"/>
      <c r="AA26" s="27"/>
      <c r="AB26" s="28"/>
      <c r="AC26" s="27">
        <v>5</v>
      </c>
      <c r="AD26" s="27">
        <v>5</v>
      </c>
      <c r="AE26" s="50" t="s">
        <v>343</v>
      </c>
      <c r="AG26" s="25"/>
      <c r="AH26" s="34"/>
      <c r="AI26" s="27"/>
      <c r="AJ26" s="27"/>
      <c r="AK26" s="27"/>
      <c r="AL26" s="25"/>
      <c r="AM26" s="34"/>
      <c r="AN26" s="27"/>
      <c r="AO26" s="27"/>
      <c r="AP26" s="36"/>
      <c r="AQ26" s="37"/>
      <c r="AR26" s="32"/>
      <c r="AS26" s="25"/>
      <c r="AT26" s="27"/>
      <c r="AU26" s="27"/>
      <c r="AW26" s="25"/>
      <c r="AX26" s="27"/>
      <c r="AY26" s="27"/>
      <c r="AZ26" s="32"/>
      <c r="BA26" s="41"/>
    </row>
    <row r="27" spans="1:53" ht="16" thickBot="1" x14ac:dyDescent="0.25">
      <c r="A27" s="25">
        <v>11</v>
      </c>
      <c r="B27" s="26">
        <v>45555</v>
      </c>
      <c r="C27" s="27" t="s">
        <v>200</v>
      </c>
      <c r="D27" s="25"/>
      <c r="E27" s="28"/>
      <c r="F27" s="27"/>
      <c r="G27" s="28"/>
      <c r="H27" s="27"/>
      <c r="I27" s="28"/>
      <c r="J27" s="27">
        <v>6</v>
      </c>
      <c r="K27" s="29" t="s">
        <v>35</v>
      </c>
      <c r="L27" s="52"/>
      <c r="M27" s="31"/>
      <c r="N27" s="27" t="s">
        <v>533</v>
      </c>
      <c r="P27" s="32"/>
      <c r="Q27" s="25"/>
      <c r="R27" s="27"/>
      <c r="S27" s="27"/>
      <c r="T27" s="28"/>
      <c r="U27" s="27">
        <v>5</v>
      </c>
      <c r="V27" s="27"/>
      <c r="W27" s="28">
        <v>5</v>
      </c>
      <c r="X27" s="347"/>
      <c r="Y27" s="32"/>
      <c r="Z27" s="25"/>
      <c r="AA27" s="27"/>
      <c r="AB27" s="28"/>
      <c r="AC27" s="27">
        <v>5</v>
      </c>
      <c r="AD27" s="27">
        <v>5</v>
      </c>
      <c r="AE27" s="33"/>
      <c r="AF27" s="32"/>
      <c r="AG27" s="25"/>
      <c r="AH27" s="34"/>
      <c r="AI27" s="27"/>
      <c r="AJ27" s="27"/>
      <c r="AK27" s="27"/>
      <c r="AL27" s="25"/>
      <c r="AM27" s="34"/>
      <c r="AN27" s="27"/>
      <c r="AO27" s="27"/>
      <c r="AP27" s="36"/>
      <c r="AQ27" s="37"/>
      <c r="AR27" s="32"/>
      <c r="AS27" s="25"/>
      <c r="AT27" s="27"/>
      <c r="AU27" s="27"/>
      <c r="AW27" s="25"/>
      <c r="AX27" s="27"/>
      <c r="AY27" s="27"/>
      <c r="AZ27" s="32"/>
      <c r="BA27" s="41"/>
    </row>
    <row r="28" spans="1:53" ht="16" thickBot="1" x14ac:dyDescent="0.25">
      <c r="A28" s="25">
        <v>12</v>
      </c>
      <c r="B28" s="26">
        <v>45556</v>
      </c>
      <c r="C28" s="27" t="s">
        <v>200</v>
      </c>
      <c r="D28" s="25"/>
      <c r="E28" s="28"/>
      <c r="F28" s="27"/>
      <c r="G28" s="28"/>
      <c r="H28" s="27"/>
      <c r="I28" s="28"/>
      <c r="J28" s="27">
        <v>6</v>
      </c>
      <c r="K28" s="29" t="s">
        <v>35</v>
      </c>
      <c r="L28" s="53" t="s">
        <v>641</v>
      </c>
      <c r="M28" s="31"/>
      <c r="N28" s="27" t="s">
        <v>533</v>
      </c>
      <c r="P28" s="32"/>
      <c r="Q28" s="25"/>
      <c r="R28" s="27"/>
      <c r="S28" s="27"/>
      <c r="T28" s="28"/>
      <c r="U28" s="27">
        <v>1</v>
      </c>
      <c r="V28" s="27"/>
      <c r="W28" s="28">
        <v>1</v>
      </c>
      <c r="X28" s="54" t="s">
        <v>49</v>
      </c>
      <c r="Y28" s="32"/>
      <c r="Z28" s="25"/>
      <c r="AA28" s="27"/>
      <c r="AB28" s="28"/>
      <c r="AC28" s="27">
        <v>10</v>
      </c>
      <c r="AD28" s="27">
        <v>5</v>
      </c>
      <c r="AE28" s="50" t="s">
        <v>344</v>
      </c>
      <c r="AG28" s="25"/>
      <c r="AH28" s="34"/>
      <c r="AI28" s="27"/>
      <c r="AJ28" s="27"/>
      <c r="AK28" s="27"/>
      <c r="AL28" s="25"/>
      <c r="AM28" s="34"/>
      <c r="AN28" s="27"/>
      <c r="AO28" s="27"/>
      <c r="AP28" s="36"/>
      <c r="AQ28" s="37"/>
      <c r="AR28" s="32"/>
      <c r="AS28" s="25"/>
      <c r="AT28" s="27"/>
      <c r="AU28" s="27"/>
      <c r="AW28" s="25"/>
      <c r="AX28" s="27"/>
      <c r="AY28" s="27"/>
      <c r="AZ28" s="32"/>
      <c r="BA28" s="41"/>
    </row>
    <row r="29" spans="1:53" ht="16" thickBot="1" x14ac:dyDescent="0.25">
      <c r="A29" s="25">
        <v>13</v>
      </c>
      <c r="B29" s="26">
        <v>45557</v>
      </c>
      <c r="C29" s="27" t="s">
        <v>232</v>
      </c>
      <c r="D29" s="25"/>
      <c r="E29" s="28"/>
      <c r="F29" s="27"/>
      <c r="G29" s="28"/>
      <c r="H29" s="27"/>
      <c r="I29" s="28"/>
      <c r="J29" s="27">
        <v>6</v>
      </c>
      <c r="K29" s="29" t="s">
        <v>35</v>
      </c>
      <c r="L29" s="39"/>
      <c r="M29" s="31"/>
      <c r="N29" s="27" t="s">
        <v>533</v>
      </c>
      <c r="P29" s="32"/>
      <c r="Q29" s="25"/>
      <c r="R29" s="27"/>
      <c r="S29" s="27"/>
      <c r="T29" s="28"/>
      <c r="U29" s="27">
        <v>1</v>
      </c>
      <c r="V29" s="27"/>
      <c r="W29" s="28">
        <v>1</v>
      </c>
      <c r="X29" s="33"/>
      <c r="Y29" s="32"/>
      <c r="Z29" s="55"/>
      <c r="AA29" s="56"/>
      <c r="AB29" s="57"/>
      <c r="AC29" s="27">
        <v>10</v>
      </c>
      <c r="AD29" s="27">
        <v>5</v>
      </c>
      <c r="AE29" s="33"/>
      <c r="AG29" s="25"/>
      <c r="AH29" s="34"/>
      <c r="AI29" s="27"/>
      <c r="AJ29" s="27"/>
      <c r="AK29" s="27"/>
      <c r="AL29" s="25"/>
      <c r="AM29" s="34"/>
      <c r="AN29" s="27"/>
      <c r="AO29" s="27"/>
      <c r="AP29" s="36"/>
      <c r="AQ29" s="37"/>
      <c r="AR29" s="32"/>
      <c r="AS29" s="25"/>
      <c r="AT29" s="27"/>
      <c r="AU29" s="201"/>
      <c r="AW29" s="25"/>
      <c r="AX29" s="27"/>
      <c r="AY29" s="27"/>
      <c r="AZ29" s="32"/>
      <c r="BA29" s="41"/>
    </row>
    <row r="30" spans="1:53" ht="16" thickBot="1" x14ac:dyDescent="0.25">
      <c r="A30" s="25">
        <v>14</v>
      </c>
      <c r="B30" s="26">
        <v>45558</v>
      </c>
      <c r="C30" s="27" t="s">
        <v>232</v>
      </c>
      <c r="D30" s="25"/>
      <c r="E30" s="28"/>
      <c r="F30" s="27"/>
      <c r="G30" s="28"/>
      <c r="H30" s="27"/>
      <c r="I30" s="28"/>
      <c r="J30" s="27">
        <v>6</v>
      </c>
      <c r="K30" s="29" t="s">
        <v>35</v>
      </c>
      <c r="L30" s="39"/>
      <c r="M30" s="31"/>
      <c r="N30" s="27" t="s">
        <v>533</v>
      </c>
      <c r="P30" s="32"/>
      <c r="Q30" s="25"/>
      <c r="R30" s="27"/>
      <c r="S30" s="27"/>
      <c r="T30" s="28"/>
      <c r="U30" s="27">
        <v>1</v>
      </c>
      <c r="V30" s="27"/>
      <c r="W30" s="28">
        <v>1</v>
      </c>
      <c r="X30" s="33"/>
      <c r="Y30" s="32"/>
      <c r="Z30" s="59"/>
      <c r="AA30" s="60"/>
      <c r="AB30" s="61"/>
      <c r="AC30" s="27">
        <v>10</v>
      </c>
      <c r="AD30" s="27">
        <v>5</v>
      </c>
      <c r="AE30" s="33"/>
      <c r="AG30" s="25"/>
      <c r="AH30" s="34"/>
      <c r="AI30" s="27"/>
      <c r="AJ30" s="27"/>
      <c r="AK30" s="27"/>
      <c r="AL30" s="25"/>
      <c r="AM30" s="34"/>
      <c r="AN30" s="27"/>
      <c r="AO30" s="27"/>
      <c r="AP30" s="36"/>
      <c r="AQ30" s="37"/>
      <c r="AR30" s="32"/>
      <c r="AS30" s="25"/>
      <c r="AT30" s="27"/>
      <c r="AW30" s="25"/>
      <c r="AX30" s="27"/>
      <c r="AY30" s="27"/>
      <c r="AZ30" s="32"/>
      <c r="BA30" s="62"/>
    </row>
    <row r="31" spans="1:53" ht="16" thickBot="1" x14ac:dyDescent="0.25">
      <c r="A31" s="25">
        <v>15</v>
      </c>
      <c r="B31" s="26">
        <v>45559</v>
      </c>
      <c r="C31" s="27" t="s">
        <v>227</v>
      </c>
      <c r="D31" s="25"/>
      <c r="E31" s="28"/>
      <c r="F31" s="27"/>
      <c r="G31" s="28"/>
      <c r="H31" s="27"/>
      <c r="I31" s="28"/>
      <c r="J31" s="27">
        <v>6</v>
      </c>
      <c r="K31" s="29" t="s">
        <v>35</v>
      </c>
      <c r="L31" s="39"/>
      <c r="M31" s="31"/>
      <c r="N31" s="27" t="s">
        <v>533</v>
      </c>
      <c r="P31" s="32"/>
      <c r="Q31" s="25"/>
      <c r="R31" s="27"/>
      <c r="S31" s="27"/>
      <c r="T31" s="28"/>
      <c r="U31" s="27">
        <v>1</v>
      </c>
      <c r="V31" s="27"/>
      <c r="W31" s="28">
        <v>1</v>
      </c>
      <c r="X31" s="33"/>
      <c r="Y31" s="32"/>
      <c r="Z31" s="25"/>
      <c r="AA31" s="27"/>
      <c r="AB31" s="28"/>
      <c r="AC31" s="27">
        <v>10</v>
      </c>
      <c r="AD31" s="27">
        <v>5</v>
      </c>
      <c r="AE31" s="33"/>
      <c r="AG31" s="25"/>
      <c r="AH31" s="34"/>
      <c r="AI31" s="27"/>
      <c r="AJ31" s="27"/>
      <c r="AK31" s="27"/>
      <c r="AL31" s="25"/>
      <c r="AM31" s="34"/>
      <c r="AN31" s="27"/>
      <c r="AO31" s="27"/>
      <c r="AP31" s="36"/>
      <c r="AQ31" s="37"/>
      <c r="AR31" s="32"/>
      <c r="AS31" s="25"/>
      <c r="AT31" s="27"/>
      <c r="AU31" s="201"/>
      <c r="AW31" s="25"/>
      <c r="AX31" s="27"/>
      <c r="AY31" s="27"/>
      <c r="AZ31" s="32"/>
      <c r="BA31" s="41"/>
    </row>
    <row r="32" spans="1:53" ht="16" thickBot="1" x14ac:dyDescent="0.25">
      <c r="A32" s="25">
        <v>16</v>
      </c>
      <c r="B32" s="26">
        <v>45560</v>
      </c>
      <c r="C32" s="27" t="s">
        <v>227</v>
      </c>
      <c r="D32" s="25"/>
      <c r="E32" s="28"/>
      <c r="F32" s="27"/>
      <c r="G32" s="28"/>
      <c r="H32" s="27"/>
      <c r="I32" s="28"/>
      <c r="J32" s="27">
        <v>6</v>
      </c>
      <c r="K32" s="29" t="s">
        <v>35</v>
      </c>
      <c r="L32" s="44" t="s">
        <v>288</v>
      </c>
      <c r="M32" s="31"/>
      <c r="N32" s="27" t="s">
        <v>533</v>
      </c>
      <c r="P32" s="32"/>
      <c r="Q32" s="25"/>
      <c r="R32" s="27"/>
      <c r="S32" s="27"/>
      <c r="T32" s="28"/>
      <c r="U32" s="27">
        <v>1</v>
      </c>
      <c r="V32" s="27"/>
      <c r="W32" s="28">
        <v>1</v>
      </c>
      <c r="X32" s="63" t="s">
        <v>60</v>
      </c>
      <c r="Y32" s="46" t="s">
        <v>61</v>
      </c>
      <c r="AB32" s="28"/>
      <c r="AC32" s="27">
        <v>10</v>
      </c>
      <c r="AD32" s="27">
        <v>5</v>
      </c>
      <c r="AE32" s="33"/>
      <c r="AG32" s="25"/>
      <c r="AH32" s="34"/>
      <c r="AI32" s="27"/>
      <c r="AJ32" s="27"/>
      <c r="AK32" s="27"/>
      <c r="AL32" s="25"/>
      <c r="AM32" s="34"/>
      <c r="AN32" s="27"/>
      <c r="AO32" s="27"/>
      <c r="AP32" s="36"/>
      <c r="AQ32" s="64"/>
      <c r="AR32" s="65"/>
      <c r="AS32" s="25"/>
      <c r="AT32" s="27"/>
      <c r="AU32" s="27"/>
      <c r="AW32" s="25"/>
      <c r="AX32" s="27"/>
      <c r="AY32" s="27"/>
      <c r="AZ32" s="32"/>
      <c r="BA32" s="41"/>
    </row>
    <row r="33" spans="1:54" x14ac:dyDescent="0.2">
      <c r="A33" s="25">
        <v>17</v>
      </c>
      <c r="B33" s="26">
        <v>45561</v>
      </c>
      <c r="C33" s="27" t="s">
        <v>227</v>
      </c>
      <c r="D33" s="25"/>
      <c r="E33" s="28"/>
      <c r="F33" s="27"/>
      <c r="G33" s="28"/>
      <c r="H33" s="27"/>
      <c r="I33" s="28"/>
      <c r="J33" s="27">
        <v>6</v>
      </c>
      <c r="K33" s="29" t="s">
        <v>35</v>
      </c>
      <c r="L33" s="39"/>
      <c r="M33" s="31"/>
      <c r="N33" s="27" t="s">
        <v>533</v>
      </c>
      <c r="P33" s="32"/>
      <c r="Q33" s="25"/>
      <c r="R33" s="27"/>
      <c r="S33" s="27"/>
      <c r="T33" s="28"/>
      <c r="U33" s="27"/>
      <c r="V33" s="27" t="s">
        <v>154</v>
      </c>
      <c r="W33" s="28"/>
      <c r="X33" s="33" t="s">
        <v>155</v>
      </c>
      <c r="Y33" s="32"/>
      <c r="Z33" s="25"/>
      <c r="AA33" s="27"/>
      <c r="AB33" s="28"/>
      <c r="AC33" s="27">
        <v>10</v>
      </c>
      <c r="AD33" s="27">
        <v>5</v>
      </c>
      <c r="AE33" s="33"/>
      <c r="AG33" s="25"/>
      <c r="AH33" s="34"/>
      <c r="AI33" s="27"/>
      <c r="AJ33" s="27"/>
      <c r="AK33" s="27"/>
      <c r="AL33" s="25"/>
      <c r="AM33" s="34"/>
      <c r="AN33" s="27"/>
      <c r="AO33" s="27"/>
      <c r="AP33" s="36"/>
      <c r="AQ33" s="37"/>
      <c r="AR33" s="32"/>
      <c r="AS33" s="25"/>
      <c r="AT33" s="27"/>
      <c r="AU33" s="27"/>
      <c r="AW33" s="25"/>
      <c r="AX33" s="27"/>
      <c r="AY33" s="27"/>
      <c r="AZ33" s="32"/>
      <c r="BA33" s="41"/>
    </row>
    <row r="34" spans="1:54" ht="16" thickBot="1" x14ac:dyDescent="0.25">
      <c r="A34" s="25">
        <v>18</v>
      </c>
      <c r="B34" s="26">
        <v>45562</v>
      </c>
      <c r="C34" s="27" t="s">
        <v>200</v>
      </c>
      <c r="D34" s="25"/>
      <c r="E34" s="28"/>
      <c r="F34" s="27"/>
      <c r="G34" s="28"/>
      <c r="H34" s="27"/>
      <c r="I34" s="28"/>
      <c r="J34" s="27">
        <v>6</v>
      </c>
      <c r="K34" s="29" t="s">
        <v>35</v>
      </c>
      <c r="L34" s="39" t="s">
        <v>644</v>
      </c>
      <c r="M34" s="31"/>
      <c r="N34" s="27" t="s">
        <v>533</v>
      </c>
      <c r="P34" s="66"/>
      <c r="Q34" s="25"/>
      <c r="R34" s="27"/>
      <c r="S34" s="27"/>
      <c r="T34" s="28"/>
      <c r="U34" s="27"/>
      <c r="V34" s="27" t="s">
        <v>154</v>
      </c>
      <c r="W34" s="28"/>
      <c r="X34" s="33"/>
      <c r="Y34" s="32"/>
      <c r="Z34" s="25"/>
      <c r="AA34" s="27"/>
      <c r="AB34" s="28"/>
      <c r="AC34" s="27">
        <v>10</v>
      </c>
      <c r="AD34" s="27">
        <v>5</v>
      </c>
      <c r="AE34" s="33"/>
      <c r="AG34" s="25"/>
      <c r="AH34" s="34"/>
      <c r="AI34" s="27">
        <v>2.5000000000000001E-2</v>
      </c>
      <c r="AJ34" s="27"/>
      <c r="AK34" s="27">
        <v>2.5000000000000001E-2</v>
      </c>
      <c r="AL34" s="25"/>
      <c r="AM34" s="34"/>
      <c r="AN34" s="27"/>
      <c r="AO34" s="27"/>
      <c r="AP34" s="36"/>
      <c r="AQ34" s="67" t="s">
        <v>65</v>
      </c>
      <c r="AR34" s="46" t="s">
        <v>350</v>
      </c>
      <c r="AS34" s="25"/>
      <c r="AT34" s="27"/>
      <c r="AW34" s="25"/>
      <c r="AX34" s="27"/>
      <c r="AY34" s="27"/>
      <c r="AZ34" s="32"/>
      <c r="BA34" s="41"/>
    </row>
    <row r="35" spans="1:54" ht="16" thickBot="1" x14ac:dyDescent="0.25">
      <c r="A35" s="25">
        <v>19</v>
      </c>
      <c r="B35" s="26">
        <v>45563</v>
      </c>
      <c r="C35" s="27" t="s">
        <v>200</v>
      </c>
      <c r="D35" s="25"/>
      <c r="E35" s="28"/>
      <c r="F35" s="27"/>
      <c r="G35" s="28"/>
      <c r="H35" s="27"/>
      <c r="I35" s="28"/>
      <c r="J35" s="27">
        <v>6</v>
      </c>
      <c r="K35" s="29" t="s">
        <v>35</v>
      </c>
      <c r="L35" s="39"/>
      <c r="M35" s="31"/>
      <c r="N35" s="27" t="s">
        <v>533</v>
      </c>
      <c r="P35" s="32"/>
      <c r="Q35" s="25"/>
      <c r="R35" s="27"/>
      <c r="S35" s="27"/>
      <c r="T35" s="28"/>
      <c r="U35" s="27"/>
      <c r="V35" s="27" t="s">
        <v>154</v>
      </c>
      <c r="W35" s="28"/>
      <c r="X35" s="33"/>
      <c r="Y35" s="32"/>
      <c r="Z35" s="25"/>
      <c r="AA35" s="27"/>
      <c r="AB35" s="28"/>
      <c r="AC35" s="27">
        <v>10</v>
      </c>
      <c r="AD35" s="27">
        <v>5</v>
      </c>
      <c r="AE35" s="33"/>
      <c r="AG35" s="25"/>
      <c r="AH35" s="34"/>
      <c r="AI35" s="27">
        <v>2.5000000000000001E-2</v>
      </c>
      <c r="AJ35" s="27"/>
      <c r="AK35" s="27">
        <v>2.5000000000000001E-2</v>
      </c>
      <c r="AL35" s="25"/>
      <c r="AM35" s="34"/>
      <c r="AN35" s="27"/>
      <c r="AO35" s="27"/>
      <c r="AP35" s="36"/>
      <c r="AQ35" s="203"/>
      <c r="AR35" s="32" t="s">
        <v>64</v>
      </c>
      <c r="AS35" s="25"/>
      <c r="AT35" s="27"/>
      <c r="AU35" s="27"/>
      <c r="AW35" s="25"/>
      <c r="AX35" s="27"/>
      <c r="AY35" s="27"/>
      <c r="AZ35" s="32"/>
      <c r="BA35" s="62"/>
    </row>
    <row r="36" spans="1:54" x14ac:dyDescent="0.2">
      <c r="A36" s="25">
        <v>20</v>
      </c>
      <c r="B36" s="26">
        <v>45564</v>
      </c>
      <c r="C36" s="27" t="s">
        <v>200</v>
      </c>
      <c r="D36" s="25"/>
      <c r="E36" s="28"/>
      <c r="F36" s="27"/>
      <c r="G36" s="28"/>
      <c r="H36" s="27"/>
      <c r="I36" s="28"/>
      <c r="J36" s="27">
        <v>6</v>
      </c>
      <c r="K36" s="29" t="s">
        <v>35</v>
      </c>
      <c r="L36" s="39" t="s">
        <v>646</v>
      </c>
      <c r="M36" s="197"/>
      <c r="N36" s="27" t="s">
        <v>533</v>
      </c>
      <c r="O36" s="306" t="s">
        <v>66</v>
      </c>
      <c r="P36" s="32"/>
      <c r="Q36" s="25"/>
      <c r="R36" s="27"/>
      <c r="S36" s="27"/>
      <c r="T36" s="28"/>
      <c r="U36" s="27"/>
      <c r="V36" s="27" t="s">
        <v>154</v>
      </c>
      <c r="W36" s="28"/>
      <c r="X36" s="33"/>
      <c r="Y36" s="32"/>
      <c r="Z36" s="25"/>
      <c r="AA36" s="27"/>
      <c r="AB36" s="28"/>
      <c r="AC36" s="27">
        <v>10</v>
      </c>
      <c r="AD36" s="27">
        <v>5</v>
      </c>
      <c r="AE36" s="33"/>
      <c r="AG36" s="25"/>
      <c r="AH36" s="34"/>
      <c r="AI36" s="27">
        <v>0.05</v>
      </c>
      <c r="AJ36" s="27">
        <v>0.05</v>
      </c>
      <c r="AK36" s="27">
        <v>0.05</v>
      </c>
      <c r="AL36" s="25"/>
      <c r="AM36" s="34"/>
      <c r="AN36" s="27"/>
      <c r="AO36" s="27"/>
      <c r="AP36" s="36"/>
      <c r="AQ36" s="37"/>
      <c r="AR36" s="32" t="s">
        <v>64</v>
      </c>
      <c r="AS36" s="25"/>
      <c r="AT36" s="27"/>
      <c r="AU36" s="27"/>
      <c r="AW36" s="25"/>
      <c r="AX36" s="27"/>
      <c r="AY36" s="27"/>
      <c r="AZ36" s="32"/>
      <c r="BA36" s="41"/>
    </row>
    <row r="37" spans="1:54" ht="16" thickBot="1" x14ac:dyDescent="0.25">
      <c r="A37" s="70">
        <v>21</v>
      </c>
      <c r="B37" s="26">
        <v>45565</v>
      </c>
      <c r="C37" s="71" t="s">
        <v>232</v>
      </c>
      <c r="D37" s="70"/>
      <c r="E37" s="72"/>
      <c r="F37" s="71"/>
      <c r="G37" s="72"/>
      <c r="H37" s="71"/>
      <c r="I37" s="72"/>
      <c r="J37" s="27">
        <v>6</v>
      </c>
      <c r="K37" s="29" t="s">
        <v>35</v>
      </c>
      <c r="L37" s="39"/>
      <c r="M37" s="198"/>
      <c r="N37" s="27" t="s">
        <v>533</v>
      </c>
      <c r="O37" s="307"/>
      <c r="P37" s="74"/>
      <c r="Q37" s="70"/>
      <c r="R37" s="71"/>
      <c r="S37" s="71"/>
      <c r="T37" s="72"/>
      <c r="U37" s="71"/>
      <c r="V37" s="71" t="s">
        <v>154</v>
      </c>
      <c r="W37" s="72"/>
      <c r="X37" s="33"/>
      <c r="Y37" s="75"/>
      <c r="Z37" s="70"/>
      <c r="AA37" s="71"/>
      <c r="AB37" s="72"/>
      <c r="AC37" s="27">
        <v>10</v>
      </c>
      <c r="AD37" s="71">
        <v>5</v>
      </c>
      <c r="AE37" s="33"/>
      <c r="AF37" s="76"/>
      <c r="AG37" s="70"/>
      <c r="AH37" s="77"/>
      <c r="AI37" s="27">
        <v>0.05</v>
      </c>
      <c r="AJ37" s="27">
        <v>0.05</v>
      </c>
      <c r="AK37" s="27">
        <v>0.05</v>
      </c>
      <c r="AL37" s="70"/>
      <c r="AM37" s="77"/>
      <c r="AN37" s="27"/>
      <c r="AO37" s="71"/>
      <c r="AP37" s="78"/>
      <c r="AQ37" s="37"/>
      <c r="AR37" s="32" t="s">
        <v>64</v>
      </c>
      <c r="AS37" s="70"/>
      <c r="AT37" s="27"/>
      <c r="AU37" s="71"/>
      <c r="AV37" s="76"/>
      <c r="AW37" s="70"/>
      <c r="AX37" s="71"/>
      <c r="AY37" s="71"/>
      <c r="AZ37" s="75"/>
      <c r="BA37" s="79"/>
    </row>
    <row r="38" spans="1:54" ht="16" thickBot="1" x14ac:dyDescent="0.25">
      <c r="A38" s="25">
        <v>22</v>
      </c>
      <c r="B38" s="26">
        <v>45566</v>
      </c>
      <c r="C38" s="27" t="s">
        <v>232</v>
      </c>
      <c r="D38" s="25"/>
      <c r="E38" s="28"/>
      <c r="F38" s="27"/>
      <c r="G38" s="28"/>
      <c r="H38" s="27"/>
      <c r="I38" s="28"/>
      <c r="J38" s="27">
        <v>6</v>
      </c>
      <c r="K38" s="29" t="s">
        <v>35</v>
      </c>
      <c r="L38" s="39"/>
      <c r="M38" s="197"/>
      <c r="N38" s="27" t="s">
        <v>533</v>
      </c>
      <c r="O38" s="307"/>
      <c r="P38" s="46"/>
      <c r="Q38" s="43"/>
      <c r="R38" s="27"/>
      <c r="S38" s="27"/>
      <c r="T38" s="28"/>
      <c r="U38" s="27"/>
      <c r="V38" s="27" t="s">
        <v>154</v>
      </c>
      <c r="W38" s="28"/>
      <c r="X38" s="33"/>
      <c r="Y38" s="32"/>
      <c r="Z38" s="60"/>
      <c r="AA38" s="60"/>
      <c r="AB38" s="61"/>
      <c r="AC38" s="27">
        <v>10</v>
      </c>
      <c r="AD38" s="27">
        <v>5</v>
      </c>
      <c r="AE38" s="33"/>
      <c r="AG38" s="25"/>
      <c r="AH38" s="34"/>
      <c r="AI38" s="27">
        <v>0.05</v>
      </c>
      <c r="AJ38" s="27">
        <v>0.05</v>
      </c>
      <c r="AK38" s="27">
        <v>0.05</v>
      </c>
      <c r="AL38" s="25"/>
      <c r="AM38" s="34"/>
      <c r="AN38" s="27"/>
      <c r="AO38" s="27"/>
      <c r="AP38" s="36"/>
      <c r="AQ38" s="37"/>
      <c r="AR38" s="32" t="s">
        <v>64</v>
      </c>
      <c r="AS38" s="25"/>
      <c r="AT38" s="27"/>
      <c r="AU38" s="27"/>
      <c r="AW38" s="25"/>
      <c r="AX38" s="27"/>
      <c r="AY38" s="27"/>
      <c r="AZ38" s="32"/>
      <c r="BA38" s="80">
        <v>19</v>
      </c>
      <c r="BB38" t="s">
        <v>647</v>
      </c>
    </row>
    <row r="39" spans="1:54" ht="16" thickBot="1" x14ac:dyDescent="0.25">
      <c r="A39" s="25">
        <v>23</v>
      </c>
      <c r="B39" s="26">
        <v>45567</v>
      </c>
      <c r="C39" s="27" t="s">
        <v>232</v>
      </c>
      <c r="D39" s="25"/>
      <c r="E39" s="28"/>
      <c r="F39" s="27"/>
      <c r="G39" s="28"/>
      <c r="H39" s="27"/>
      <c r="I39" s="28"/>
      <c r="J39" s="27">
        <v>6</v>
      </c>
      <c r="K39" s="29" t="s">
        <v>35</v>
      </c>
      <c r="L39" s="39"/>
      <c r="M39" s="31"/>
      <c r="N39" s="27" t="s">
        <v>533</v>
      </c>
      <c r="O39" s="307"/>
      <c r="P39" s="32"/>
      <c r="Q39" s="25"/>
      <c r="R39" s="27"/>
      <c r="S39" s="27"/>
      <c r="T39" s="28"/>
      <c r="U39" s="27"/>
      <c r="V39" s="27" t="s">
        <v>154</v>
      </c>
      <c r="W39" s="28"/>
      <c r="X39" s="33"/>
      <c r="Y39" s="32"/>
      <c r="Z39" s="25"/>
      <c r="AA39" s="27"/>
      <c r="AB39" s="28"/>
      <c r="AC39" s="27">
        <v>10</v>
      </c>
      <c r="AD39" s="27">
        <v>5</v>
      </c>
      <c r="AE39" s="33"/>
      <c r="AG39" s="25"/>
      <c r="AH39" s="34"/>
      <c r="AI39" s="27">
        <v>0.05</v>
      </c>
      <c r="AJ39" s="27">
        <v>0.05</v>
      </c>
      <c r="AK39" s="27">
        <v>0.05</v>
      </c>
      <c r="AL39" s="25"/>
      <c r="AM39" s="34"/>
      <c r="AN39" s="27"/>
      <c r="AO39" s="27"/>
      <c r="AP39" s="36"/>
      <c r="AQ39" s="37"/>
      <c r="AR39" s="32" t="s">
        <v>64</v>
      </c>
      <c r="AS39" s="25"/>
      <c r="AT39" s="27"/>
      <c r="AU39" s="201"/>
      <c r="AW39" s="25"/>
      <c r="AX39" s="27"/>
      <c r="AY39" s="27"/>
      <c r="AZ39" s="32"/>
      <c r="BA39" s="41"/>
    </row>
    <row r="40" spans="1:54" ht="16" thickBot="1" x14ac:dyDescent="0.25">
      <c r="A40" s="25">
        <v>24</v>
      </c>
      <c r="B40" s="26">
        <v>45568</v>
      </c>
      <c r="C40" s="27" t="s">
        <v>232</v>
      </c>
      <c r="D40" s="25"/>
      <c r="E40" s="28"/>
      <c r="F40" s="27"/>
      <c r="G40" s="28"/>
      <c r="H40" s="27"/>
      <c r="I40" s="28"/>
      <c r="J40" s="27">
        <v>6</v>
      </c>
      <c r="K40" s="29" t="s">
        <v>35</v>
      </c>
      <c r="L40" s="44" t="s">
        <v>289</v>
      </c>
      <c r="M40" s="31" t="s">
        <v>649</v>
      </c>
      <c r="N40" s="27" t="s">
        <v>533</v>
      </c>
      <c r="O40" s="307"/>
      <c r="P40" s="32"/>
      <c r="Q40" s="25"/>
      <c r="R40" s="27"/>
      <c r="S40" s="27"/>
      <c r="T40" s="28"/>
      <c r="U40" s="27"/>
      <c r="V40" s="27" t="s">
        <v>154</v>
      </c>
      <c r="W40" s="28"/>
      <c r="X40" s="33"/>
      <c r="Y40" s="32"/>
      <c r="Z40" s="25"/>
      <c r="AA40" s="27"/>
      <c r="AB40" s="28"/>
      <c r="AC40" s="27">
        <v>10</v>
      </c>
      <c r="AD40" s="27">
        <v>5</v>
      </c>
      <c r="AF40" s="46" t="s">
        <v>290</v>
      </c>
      <c r="AG40" s="25"/>
      <c r="AH40" s="34"/>
      <c r="AI40" s="27">
        <v>0.1</v>
      </c>
      <c r="AJ40" s="27">
        <v>0.1</v>
      </c>
      <c r="AK40" s="27">
        <v>0.1</v>
      </c>
      <c r="AL40" s="25"/>
      <c r="AM40" s="34"/>
      <c r="AN40" s="27"/>
      <c r="AO40" s="27"/>
      <c r="AP40" s="36"/>
      <c r="AQ40" s="37"/>
      <c r="AR40" s="46" t="s">
        <v>351</v>
      </c>
      <c r="AS40" s="25" t="s">
        <v>72</v>
      </c>
      <c r="AT40" s="27" t="s">
        <v>52</v>
      </c>
      <c r="AU40" s="58" t="s">
        <v>295</v>
      </c>
      <c r="AW40" s="25"/>
      <c r="AX40" s="27"/>
      <c r="AY40" s="27"/>
      <c r="AZ40" s="32"/>
      <c r="BA40" s="41">
        <v>4</v>
      </c>
    </row>
    <row r="41" spans="1:54" ht="16" thickBot="1" x14ac:dyDescent="0.25">
      <c r="A41" s="25">
        <v>25</v>
      </c>
      <c r="B41" s="26">
        <v>45569</v>
      </c>
      <c r="C41" s="27" t="s">
        <v>650</v>
      </c>
      <c r="D41" s="25"/>
      <c r="E41" s="28"/>
      <c r="F41" s="27"/>
      <c r="G41" s="28"/>
      <c r="H41" s="27"/>
      <c r="I41" s="28"/>
      <c r="J41" s="27">
        <v>6</v>
      </c>
      <c r="K41" s="29" t="s">
        <v>35</v>
      </c>
      <c r="L41" s="39"/>
      <c r="M41" s="31"/>
      <c r="N41" s="27" t="s">
        <v>533</v>
      </c>
      <c r="O41" s="307"/>
      <c r="P41" s="81"/>
      <c r="Q41" s="43"/>
      <c r="R41" s="27"/>
      <c r="S41" s="27"/>
      <c r="T41" s="28"/>
      <c r="U41" s="27"/>
      <c r="V41" s="27" t="s">
        <v>154</v>
      </c>
      <c r="W41" s="28"/>
      <c r="X41" s="33"/>
      <c r="Y41" s="32"/>
      <c r="Z41" s="27"/>
      <c r="AA41" s="27"/>
      <c r="AB41" s="28"/>
      <c r="AC41" s="27"/>
      <c r="AD41" s="27"/>
      <c r="AE41" s="27"/>
      <c r="AG41" s="25"/>
      <c r="AH41" s="34"/>
      <c r="AI41" s="27">
        <v>0.1</v>
      </c>
      <c r="AJ41" s="27">
        <v>0.1</v>
      </c>
      <c r="AK41" s="27">
        <v>0.1</v>
      </c>
      <c r="AL41" s="25"/>
      <c r="AM41" s="34"/>
      <c r="AN41" s="27"/>
      <c r="AO41" s="27"/>
      <c r="AP41" s="36"/>
      <c r="AQ41" s="37"/>
      <c r="AR41" s="32" t="s">
        <v>75</v>
      </c>
      <c r="AS41" s="25" t="s">
        <v>72</v>
      </c>
      <c r="AT41" s="27" t="s">
        <v>52</v>
      </c>
      <c r="AW41" s="25"/>
      <c r="AX41" s="27"/>
      <c r="AY41" s="27"/>
      <c r="AZ41" s="32"/>
      <c r="BA41" s="41">
        <v>61</v>
      </c>
      <c r="BB41" t="s">
        <v>652</v>
      </c>
    </row>
    <row r="42" spans="1:54" ht="16" thickBot="1" x14ac:dyDescent="0.25">
      <c r="A42" s="25">
        <v>26</v>
      </c>
      <c r="B42" s="26">
        <v>45570</v>
      </c>
      <c r="C42" s="27" t="s">
        <v>112</v>
      </c>
      <c r="D42" s="25"/>
      <c r="E42" s="28"/>
      <c r="F42" s="27"/>
      <c r="G42" s="28"/>
      <c r="H42" s="27"/>
      <c r="I42" s="28"/>
      <c r="J42" s="27">
        <v>6</v>
      </c>
      <c r="K42" s="29" t="s">
        <v>35</v>
      </c>
      <c r="L42" s="39"/>
      <c r="M42" s="31"/>
      <c r="N42" s="27" t="s">
        <v>533</v>
      </c>
      <c r="O42" s="307"/>
      <c r="P42" s="32"/>
      <c r="Q42" s="25"/>
      <c r="R42" s="27"/>
      <c r="S42" s="27"/>
      <c r="T42" s="28"/>
      <c r="U42" s="27"/>
      <c r="V42" s="27" t="s">
        <v>154</v>
      </c>
      <c r="W42" s="28"/>
      <c r="X42" s="33"/>
      <c r="Y42" s="32"/>
      <c r="Z42" s="25"/>
      <c r="AA42" s="27"/>
      <c r="AB42" s="28"/>
      <c r="AC42" s="27"/>
      <c r="AD42" s="27"/>
      <c r="AE42" s="33"/>
      <c r="AG42" s="25"/>
      <c r="AH42" s="34"/>
      <c r="AI42" s="27">
        <v>0.1</v>
      </c>
      <c r="AJ42" s="27">
        <v>0.1</v>
      </c>
      <c r="AK42" s="27">
        <v>0.1</v>
      </c>
      <c r="AL42" s="25"/>
      <c r="AM42" s="34"/>
      <c r="AN42" s="27"/>
      <c r="AO42" s="27"/>
      <c r="AP42" s="36"/>
      <c r="AQ42" s="37"/>
      <c r="AR42" s="32" t="s">
        <v>75</v>
      </c>
      <c r="AS42" s="25" t="s">
        <v>72</v>
      </c>
      <c r="AT42" s="27" t="s">
        <v>52</v>
      </c>
      <c r="AW42" s="25"/>
      <c r="AX42" s="27"/>
      <c r="AY42" s="27"/>
      <c r="AZ42" s="32"/>
      <c r="BA42" s="41">
        <v>25</v>
      </c>
    </row>
    <row r="43" spans="1:54" ht="16" thickBot="1" x14ac:dyDescent="0.25">
      <c r="A43" s="25">
        <v>27</v>
      </c>
      <c r="B43" s="26">
        <v>45571</v>
      </c>
      <c r="C43" s="27" t="s">
        <v>232</v>
      </c>
      <c r="D43" s="25"/>
      <c r="E43" s="28"/>
      <c r="F43" s="27"/>
      <c r="G43" s="28"/>
      <c r="H43" s="27"/>
      <c r="I43" s="28"/>
      <c r="J43" s="27">
        <v>6</v>
      </c>
      <c r="K43" s="29" t="s">
        <v>35</v>
      </c>
      <c r="L43" s="39"/>
      <c r="M43" s="31"/>
      <c r="N43" s="27" t="s">
        <v>533</v>
      </c>
      <c r="O43" s="307"/>
      <c r="P43" s="32"/>
      <c r="Q43" s="25"/>
      <c r="R43" s="27"/>
      <c r="S43" s="27"/>
      <c r="T43" s="28"/>
      <c r="U43" s="27"/>
      <c r="V43" s="27" t="s">
        <v>154</v>
      </c>
      <c r="W43" s="28"/>
      <c r="X43" s="33"/>
      <c r="Y43" s="32"/>
      <c r="Z43" s="25"/>
      <c r="AA43" s="27"/>
      <c r="AB43" s="28"/>
      <c r="AC43" s="27"/>
      <c r="AD43" s="27"/>
      <c r="AE43" s="33"/>
      <c r="AG43" s="25"/>
      <c r="AH43" s="34"/>
      <c r="AI43" s="27">
        <v>0.1</v>
      </c>
      <c r="AJ43" s="27">
        <v>0.1</v>
      </c>
      <c r="AK43" s="27">
        <v>0.1</v>
      </c>
      <c r="AL43" s="25"/>
      <c r="AM43" s="34"/>
      <c r="AN43" s="27"/>
      <c r="AO43" s="27"/>
      <c r="AP43" s="36"/>
      <c r="AQ43" s="82" t="s">
        <v>292</v>
      </c>
      <c r="AR43" s="32" t="s">
        <v>352</v>
      </c>
      <c r="AS43" s="25" t="s">
        <v>72</v>
      </c>
      <c r="AT43" s="27" t="s">
        <v>52</v>
      </c>
      <c r="AU43" s="27"/>
      <c r="AW43" s="25"/>
      <c r="AX43" s="27"/>
      <c r="AY43" s="27"/>
      <c r="AZ43" s="32"/>
      <c r="BA43" s="41">
        <v>16</v>
      </c>
    </row>
    <row r="44" spans="1:54" x14ac:dyDescent="0.2">
      <c r="A44" s="25">
        <v>28</v>
      </c>
      <c r="B44" s="26">
        <v>45572</v>
      </c>
      <c r="C44" s="27" t="s">
        <v>232</v>
      </c>
      <c r="D44" s="25"/>
      <c r="E44" s="28"/>
      <c r="F44" s="27"/>
      <c r="G44" s="28"/>
      <c r="H44" s="27"/>
      <c r="I44" s="28"/>
      <c r="J44" s="27">
        <v>6</v>
      </c>
      <c r="K44" s="29" t="s">
        <v>35</v>
      </c>
      <c r="L44" s="39"/>
      <c r="M44" s="31"/>
      <c r="N44" s="27" t="s">
        <v>533</v>
      </c>
      <c r="O44" s="307"/>
      <c r="P44" s="32"/>
      <c r="Q44" s="25"/>
      <c r="R44" s="27"/>
      <c r="S44" s="27"/>
      <c r="T44" s="28"/>
      <c r="U44" s="27"/>
      <c r="V44" s="27" t="s">
        <v>154</v>
      </c>
      <c r="W44" s="28"/>
      <c r="Y44" s="32"/>
      <c r="Z44" s="25"/>
      <c r="AA44" s="27"/>
      <c r="AB44" s="28"/>
      <c r="AC44" s="27"/>
      <c r="AD44" s="27"/>
      <c r="AE44" s="33"/>
      <c r="AG44" s="25"/>
      <c r="AH44" s="34"/>
      <c r="AI44" s="27">
        <v>0.1</v>
      </c>
      <c r="AJ44" s="27">
        <v>0.1</v>
      </c>
      <c r="AK44" s="27">
        <v>0.1</v>
      </c>
      <c r="AL44" s="25"/>
      <c r="AM44" s="34"/>
      <c r="AN44" s="27">
        <v>2.5000000000000001E-2</v>
      </c>
      <c r="AO44" s="27"/>
      <c r="AP44" s="36">
        <v>2.5000000000000001E-2</v>
      </c>
      <c r="AR44" s="32" t="s">
        <v>293</v>
      </c>
      <c r="AS44" s="25" t="s">
        <v>72</v>
      </c>
      <c r="AT44" s="27" t="s">
        <v>52</v>
      </c>
      <c r="AU44" s="27"/>
      <c r="AW44" s="25"/>
      <c r="AX44" s="27"/>
      <c r="AY44" s="27"/>
      <c r="AZ44" s="32"/>
      <c r="BA44" s="41">
        <v>1</v>
      </c>
    </row>
    <row r="45" spans="1:54" ht="17.25" customHeight="1" thickBot="1" x14ac:dyDescent="0.25">
      <c r="A45" s="25">
        <v>29</v>
      </c>
      <c r="B45" s="26">
        <v>45573</v>
      </c>
      <c r="C45" s="27" t="s">
        <v>232</v>
      </c>
      <c r="D45" s="25"/>
      <c r="E45" s="28"/>
      <c r="F45" s="27"/>
      <c r="G45" s="28"/>
      <c r="H45" s="27"/>
      <c r="I45" s="28"/>
      <c r="J45" s="27">
        <v>6</v>
      </c>
      <c r="K45" s="29" t="s">
        <v>345</v>
      </c>
      <c r="L45" s="39"/>
      <c r="M45" s="31"/>
      <c r="N45" s="27" t="s">
        <v>533</v>
      </c>
      <c r="O45" s="307"/>
      <c r="P45" s="32"/>
      <c r="Q45" s="25"/>
      <c r="R45" s="27"/>
      <c r="S45" s="27"/>
      <c r="T45" s="28"/>
      <c r="U45" s="27"/>
      <c r="V45" s="27" t="s">
        <v>154</v>
      </c>
      <c r="W45" s="28"/>
      <c r="X45" s="33"/>
      <c r="Y45" s="32"/>
      <c r="Z45" s="25"/>
      <c r="AA45" s="27"/>
      <c r="AB45" s="28"/>
      <c r="AC45" s="27"/>
      <c r="AD45" s="27"/>
      <c r="AE45" s="33"/>
      <c r="AG45" s="25"/>
      <c r="AH45" s="34"/>
      <c r="AI45" s="27">
        <v>0.1</v>
      </c>
      <c r="AJ45" s="27">
        <v>0.1</v>
      </c>
      <c r="AK45" s="27">
        <v>0.1</v>
      </c>
      <c r="AL45" s="25"/>
      <c r="AM45" s="34"/>
      <c r="AN45" s="27">
        <v>2.5000000000000001E-2</v>
      </c>
      <c r="AO45" s="27"/>
      <c r="AP45" s="36">
        <v>2.5000000000000001E-2</v>
      </c>
      <c r="AQ45" s="37"/>
      <c r="AR45" s="32" t="s">
        <v>293</v>
      </c>
      <c r="AS45" s="25" t="s">
        <v>72</v>
      </c>
      <c r="AT45" s="27" t="s">
        <v>52</v>
      </c>
      <c r="AU45" s="27"/>
      <c r="AW45" s="25"/>
      <c r="AX45" s="27"/>
      <c r="AY45" s="27"/>
      <c r="AZ45" s="32"/>
      <c r="BA45" s="41">
        <v>1</v>
      </c>
    </row>
    <row r="46" spans="1:54" s="87" customFormat="1" ht="16" thickBot="1" x14ac:dyDescent="0.25">
      <c r="A46" s="25">
        <v>30</v>
      </c>
      <c r="B46" s="26">
        <v>45574</v>
      </c>
      <c r="C46" s="27" t="s">
        <v>232</v>
      </c>
      <c r="D46" s="25"/>
      <c r="E46" s="28"/>
      <c r="F46" s="27"/>
      <c r="G46" s="28"/>
      <c r="H46" s="27"/>
      <c r="I46" s="28"/>
      <c r="J46" s="27">
        <v>6</v>
      </c>
      <c r="K46" s="29" t="s">
        <v>346</v>
      </c>
      <c r="L46" s="39"/>
      <c r="M46" s="31"/>
      <c r="N46" s="27" t="s">
        <v>533</v>
      </c>
      <c r="O46" s="307"/>
      <c r="Q46" s="83"/>
      <c r="R46" s="83"/>
      <c r="S46" s="83"/>
      <c r="T46" s="83"/>
      <c r="U46" s="83"/>
      <c r="V46" s="83" t="s">
        <v>154</v>
      </c>
      <c r="W46" s="83"/>
      <c r="X46" s="83"/>
      <c r="Z46" s="83"/>
      <c r="AA46" s="83"/>
      <c r="AB46" s="83"/>
      <c r="AC46" s="83"/>
      <c r="AD46" s="83"/>
      <c r="AE46" s="83"/>
      <c r="AG46" s="83"/>
      <c r="AH46" s="83"/>
      <c r="AI46" s="83">
        <v>0.1</v>
      </c>
      <c r="AJ46" s="83">
        <v>0.1</v>
      </c>
      <c r="AK46" s="83">
        <v>0.1</v>
      </c>
      <c r="AL46" s="83"/>
      <c r="AM46" s="83"/>
      <c r="AN46" s="83">
        <v>2.5000000000000001E-2</v>
      </c>
      <c r="AO46" s="83"/>
      <c r="AP46" s="83">
        <v>2.5000000000000001E-2</v>
      </c>
      <c r="AR46" s="190" t="s">
        <v>294</v>
      </c>
      <c r="AS46" s="83" t="s">
        <v>72</v>
      </c>
      <c r="AT46" s="83" t="s">
        <v>52</v>
      </c>
      <c r="AU46" s="83"/>
      <c r="AW46" s="83"/>
      <c r="AX46" s="83"/>
      <c r="AY46" s="83"/>
      <c r="BA46" s="83">
        <v>14</v>
      </c>
    </row>
    <row r="47" spans="1:54" x14ac:dyDescent="0.2">
      <c r="A47" s="25">
        <v>31</v>
      </c>
      <c r="B47" s="26">
        <v>45575</v>
      </c>
      <c r="C47" s="27" t="s">
        <v>232</v>
      </c>
      <c r="D47" s="25"/>
      <c r="E47" s="28"/>
      <c r="F47" s="27"/>
      <c r="G47" s="28"/>
      <c r="H47" s="27"/>
      <c r="I47" s="28"/>
      <c r="J47" s="202">
        <v>45357</v>
      </c>
      <c r="K47" s="29" t="s">
        <v>347</v>
      </c>
      <c r="L47" s="39"/>
      <c r="M47" s="31"/>
      <c r="N47" s="27" t="s">
        <v>367</v>
      </c>
      <c r="O47" s="307"/>
      <c r="P47" s="32"/>
      <c r="Q47" s="25"/>
      <c r="R47" s="27"/>
      <c r="S47" s="27"/>
      <c r="T47" s="28"/>
      <c r="U47" s="27"/>
      <c r="V47" s="27" t="s">
        <v>154</v>
      </c>
      <c r="W47" s="28"/>
      <c r="X47" s="33"/>
      <c r="Y47" s="32"/>
      <c r="Z47" s="25"/>
      <c r="AA47" s="27"/>
      <c r="AB47" s="28"/>
      <c r="AC47" s="27"/>
      <c r="AD47" s="27"/>
      <c r="AE47" s="33"/>
      <c r="AG47" s="25"/>
      <c r="AH47" s="34"/>
      <c r="AI47" s="27">
        <v>0.1</v>
      </c>
      <c r="AJ47" s="27">
        <v>0.1</v>
      </c>
      <c r="AK47" s="27">
        <v>0.1</v>
      </c>
      <c r="AL47" s="25"/>
      <c r="AM47" s="34"/>
      <c r="AN47" s="27">
        <v>0.05</v>
      </c>
      <c r="AO47" s="27"/>
      <c r="AP47" s="36">
        <v>0.05</v>
      </c>
      <c r="AQ47" s="37"/>
      <c r="AR47" s="66"/>
      <c r="AS47" s="25" t="s">
        <v>72</v>
      </c>
      <c r="AT47" s="27" t="s">
        <v>52</v>
      </c>
      <c r="AU47" s="27"/>
      <c r="AW47" s="25"/>
      <c r="AX47" s="27"/>
      <c r="AY47" s="27"/>
      <c r="AZ47" s="32"/>
      <c r="BA47" s="41">
        <v>8</v>
      </c>
    </row>
    <row r="48" spans="1:54" x14ac:dyDescent="0.2">
      <c r="A48" s="25">
        <v>32</v>
      </c>
      <c r="B48" s="26">
        <v>45576</v>
      </c>
      <c r="C48" s="27" t="s">
        <v>112</v>
      </c>
      <c r="D48" s="25"/>
      <c r="E48" s="28"/>
      <c r="F48" s="27"/>
      <c r="G48" s="28"/>
      <c r="H48" s="27"/>
      <c r="I48" s="28"/>
      <c r="J48" s="202">
        <v>45357</v>
      </c>
      <c r="K48" s="29" t="s">
        <v>35</v>
      </c>
      <c r="L48" s="39"/>
      <c r="M48" s="31"/>
      <c r="N48" s="27" t="s">
        <v>367</v>
      </c>
      <c r="O48" s="307"/>
      <c r="P48" s="32"/>
      <c r="Q48" s="25"/>
      <c r="R48" s="27"/>
      <c r="S48" s="27"/>
      <c r="T48" s="28"/>
      <c r="U48" s="27"/>
      <c r="V48" s="27" t="s">
        <v>154</v>
      </c>
      <c r="W48" s="28"/>
      <c r="X48" s="33"/>
      <c r="Y48" s="32"/>
      <c r="Z48" s="25"/>
      <c r="AA48" s="27"/>
      <c r="AB48" s="28"/>
      <c r="AC48" s="27"/>
      <c r="AD48" s="27"/>
      <c r="AE48" s="33"/>
      <c r="AG48" s="25"/>
      <c r="AH48" s="34"/>
      <c r="AI48" s="27">
        <v>0.1</v>
      </c>
      <c r="AJ48" s="27">
        <v>0.1</v>
      </c>
      <c r="AK48" s="27">
        <v>0.1</v>
      </c>
      <c r="AL48" s="25"/>
      <c r="AM48" s="34"/>
      <c r="AN48" s="27">
        <v>0.05</v>
      </c>
      <c r="AO48" s="27"/>
      <c r="AP48" s="36">
        <v>0.05</v>
      </c>
      <c r="AQ48" s="37"/>
      <c r="AR48" s="32"/>
      <c r="AS48" s="25" t="s">
        <v>72</v>
      </c>
      <c r="AT48" s="27" t="s">
        <v>52</v>
      </c>
      <c r="AU48" s="27"/>
      <c r="AW48" s="25"/>
      <c r="AX48" s="27"/>
      <c r="AY48" s="27"/>
      <c r="AZ48" s="32"/>
      <c r="BA48" s="41">
        <v>2</v>
      </c>
    </row>
    <row r="49" spans="1:53" x14ac:dyDescent="0.2">
      <c r="A49" s="25">
        <v>33</v>
      </c>
      <c r="B49" s="26">
        <v>45577</v>
      </c>
      <c r="C49" s="27"/>
      <c r="D49" s="25"/>
      <c r="E49" s="28"/>
      <c r="F49" s="27"/>
      <c r="G49" s="28"/>
      <c r="H49" s="27"/>
      <c r="I49" s="28"/>
      <c r="J49" s="202">
        <v>45357</v>
      </c>
      <c r="K49" s="29" t="s">
        <v>35</v>
      </c>
      <c r="L49" s="39"/>
      <c r="M49" s="31"/>
      <c r="N49" s="27" t="s">
        <v>367</v>
      </c>
      <c r="O49" s="307"/>
      <c r="P49" s="32"/>
      <c r="Q49" s="25"/>
      <c r="R49" s="27"/>
      <c r="S49" s="27"/>
      <c r="T49" s="28"/>
      <c r="U49" s="27"/>
      <c r="V49" s="27" t="s">
        <v>154</v>
      </c>
      <c r="W49" s="28"/>
      <c r="X49" s="33"/>
      <c r="Y49" s="32"/>
      <c r="Z49" s="25"/>
      <c r="AA49" s="27"/>
      <c r="AB49" s="28"/>
      <c r="AC49" s="27"/>
      <c r="AD49" s="27"/>
      <c r="AE49" s="33"/>
      <c r="AG49" s="25"/>
      <c r="AH49" s="34"/>
      <c r="AI49" s="27">
        <v>0.1</v>
      </c>
      <c r="AJ49" s="27">
        <v>0.1</v>
      </c>
      <c r="AK49" s="27">
        <v>0.1</v>
      </c>
      <c r="AL49" s="25"/>
      <c r="AM49" s="34"/>
      <c r="AN49" s="27">
        <v>0.05</v>
      </c>
      <c r="AO49" s="27"/>
      <c r="AP49" s="36">
        <v>0.05</v>
      </c>
      <c r="AQ49" s="37"/>
      <c r="AR49" s="32"/>
      <c r="AS49" s="25" t="s">
        <v>72</v>
      </c>
      <c r="AT49" s="27" t="s">
        <v>52</v>
      </c>
      <c r="AW49" s="25"/>
      <c r="AX49" s="27"/>
      <c r="AY49" s="27"/>
      <c r="AZ49" s="32"/>
      <c r="BA49" s="41">
        <v>0</v>
      </c>
    </row>
    <row r="50" spans="1:53" ht="16" thickBot="1" x14ac:dyDescent="0.25">
      <c r="A50" s="25">
        <v>34</v>
      </c>
      <c r="B50" s="26">
        <v>45578</v>
      </c>
      <c r="C50" s="27" t="s">
        <v>232</v>
      </c>
      <c r="D50" s="25"/>
      <c r="E50" s="28"/>
      <c r="F50" s="27"/>
      <c r="G50" s="28"/>
      <c r="H50" s="27"/>
      <c r="I50" s="28"/>
      <c r="J50" s="202">
        <v>45357</v>
      </c>
      <c r="K50" s="29" t="s">
        <v>35</v>
      </c>
      <c r="L50" s="39"/>
      <c r="M50" s="31"/>
      <c r="N50" s="27" t="s">
        <v>367</v>
      </c>
      <c r="O50" s="307"/>
      <c r="P50" s="32"/>
      <c r="Q50" s="25"/>
      <c r="R50" s="27"/>
      <c r="S50" s="27"/>
      <c r="T50" s="28"/>
      <c r="U50" s="27"/>
      <c r="V50" s="27" t="s">
        <v>154</v>
      </c>
      <c r="W50" s="28"/>
      <c r="X50" s="33"/>
      <c r="Y50" s="32"/>
      <c r="Z50" s="25"/>
      <c r="AA50" s="27"/>
      <c r="AB50" s="28"/>
      <c r="AC50" s="27"/>
      <c r="AD50" s="27"/>
      <c r="AE50" s="33"/>
      <c r="AG50" s="25"/>
      <c r="AH50" s="34"/>
      <c r="AI50" s="27">
        <v>0.1</v>
      </c>
      <c r="AJ50" s="27">
        <v>0.1</v>
      </c>
      <c r="AK50" s="27">
        <v>0.1</v>
      </c>
      <c r="AL50" s="25"/>
      <c r="AM50" s="34"/>
      <c r="AN50" s="27">
        <v>0.05</v>
      </c>
      <c r="AO50" s="27"/>
      <c r="AP50" s="36">
        <v>0.05</v>
      </c>
      <c r="AQ50" s="37"/>
      <c r="AR50" s="32"/>
      <c r="AS50" s="25" t="s">
        <v>72</v>
      </c>
      <c r="AT50" s="27" t="s">
        <v>52</v>
      </c>
      <c r="AU50" s="27"/>
      <c r="AW50" s="25"/>
      <c r="AX50" s="27"/>
      <c r="AY50" s="27"/>
      <c r="AZ50" s="32"/>
      <c r="BA50" s="41">
        <v>1</v>
      </c>
    </row>
    <row r="51" spans="1:53" ht="16" thickBot="1" x14ac:dyDescent="0.25">
      <c r="A51" s="25">
        <v>35</v>
      </c>
      <c r="B51" s="26">
        <v>45579</v>
      </c>
      <c r="C51" s="27" t="s">
        <v>655</v>
      </c>
      <c r="D51" s="25"/>
      <c r="E51" s="28"/>
      <c r="F51" s="27"/>
      <c r="G51" s="28"/>
      <c r="H51" s="27"/>
      <c r="I51" s="28"/>
      <c r="J51" s="202">
        <v>45357</v>
      </c>
      <c r="K51" s="29" t="s">
        <v>35</v>
      </c>
      <c r="L51" s="39"/>
      <c r="M51" s="31"/>
      <c r="N51" s="27" t="s">
        <v>367</v>
      </c>
      <c r="O51" s="307"/>
      <c r="P51" s="32"/>
      <c r="Q51" s="25"/>
      <c r="R51" s="27"/>
      <c r="S51" s="27"/>
      <c r="T51" s="28"/>
      <c r="U51" s="27"/>
      <c r="V51" s="27" t="s">
        <v>154</v>
      </c>
      <c r="W51" s="28"/>
      <c r="X51" s="33"/>
      <c r="Y51" s="32"/>
      <c r="Z51" s="25"/>
      <c r="AA51" s="27"/>
      <c r="AB51" s="28"/>
      <c r="AC51" s="27"/>
      <c r="AD51" s="27"/>
      <c r="AE51" s="33"/>
      <c r="AG51" s="25"/>
      <c r="AH51" s="34"/>
      <c r="AI51" s="27">
        <v>0.1</v>
      </c>
      <c r="AJ51" s="27">
        <v>0.1</v>
      </c>
      <c r="AK51" s="27">
        <v>0.1</v>
      </c>
      <c r="AL51" s="25"/>
      <c r="AM51" s="34"/>
      <c r="AN51" s="27">
        <v>0.05</v>
      </c>
      <c r="AO51" s="27"/>
      <c r="AP51" s="36">
        <v>0.05</v>
      </c>
      <c r="AQ51" s="37"/>
      <c r="AR51" s="32"/>
      <c r="AS51" s="25" t="s">
        <v>72</v>
      </c>
      <c r="AT51" s="27" t="s">
        <v>52</v>
      </c>
      <c r="AU51" s="58" t="s">
        <v>77</v>
      </c>
      <c r="AW51" s="27" t="s">
        <v>325</v>
      </c>
      <c r="AX51" s="27" t="s">
        <v>91</v>
      </c>
      <c r="AY51" s="27"/>
      <c r="AZ51" s="32"/>
      <c r="BA51" s="41">
        <v>0</v>
      </c>
    </row>
    <row r="52" spans="1:53" ht="16" thickBot="1" x14ac:dyDescent="0.25">
      <c r="A52" s="25">
        <v>36</v>
      </c>
      <c r="B52" s="26">
        <v>45580</v>
      </c>
      <c r="C52" s="27" t="s">
        <v>200</v>
      </c>
      <c r="D52" s="25"/>
      <c r="E52" s="28"/>
      <c r="F52" s="27"/>
      <c r="G52" s="28"/>
      <c r="H52" s="27"/>
      <c r="I52" s="28"/>
      <c r="J52" s="202">
        <v>45357</v>
      </c>
      <c r="K52" s="29" t="s">
        <v>35</v>
      </c>
      <c r="L52" s="53"/>
      <c r="M52" s="31"/>
      <c r="N52" s="27" t="s">
        <v>367</v>
      </c>
      <c r="O52" s="307"/>
      <c r="P52" s="32"/>
      <c r="Q52" s="25"/>
      <c r="R52" s="27"/>
      <c r="S52" s="27"/>
      <c r="T52" s="28"/>
      <c r="U52" s="27"/>
      <c r="V52" s="27" t="s">
        <v>154</v>
      </c>
      <c r="W52" s="28"/>
      <c r="X52" s="33"/>
      <c r="Y52" s="32"/>
      <c r="Z52" s="25"/>
      <c r="AA52" s="27"/>
      <c r="AB52" s="28"/>
      <c r="AC52" s="27"/>
      <c r="AD52" s="27"/>
      <c r="AE52" s="33"/>
      <c r="AG52" s="25"/>
      <c r="AH52" s="34"/>
      <c r="AI52" s="27">
        <v>0.05</v>
      </c>
      <c r="AJ52" s="27">
        <v>0.05</v>
      </c>
      <c r="AK52" s="27">
        <v>0.05</v>
      </c>
      <c r="AL52" s="25"/>
      <c r="AM52" s="34"/>
      <c r="AN52" s="27">
        <v>0.1</v>
      </c>
      <c r="AO52" s="27"/>
      <c r="AP52" s="36">
        <v>0.1</v>
      </c>
      <c r="AQ52" s="37"/>
      <c r="AR52" s="32"/>
      <c r="AS52" s="25" t="s">
        <v>78</v>
      </c>
      <c r="AT52" s="27" t="s">
        <v>52</v>
      </c>
      <c r="AW52" s="27" t="s">
        <v>325</v>
      </c>
      <c r="AX52" s="27" t="s">
        <v>91</v>
      </c>
      <c r="AY52" s="27"/>
      <c r="AZ52" s="32"/>
      <c r="BA52" s="41">
        <v>2</v>
      </c>
    </row>
    <row r="53" spans="1:53" ht="16" thickBot="1" x14ac:dyDescent="0.25">
      <c r="A53" s="25">
        <v>37</v>
      </c>
      <c r="B53" s="26">
        <v>45581</v>
      </c>
      <c r="C53" s="27" t="s">
        <v>200</v>
      </c>
      <c r="D53" s="25"/>
      <c r="E53" s="28"/>
      <c r="F53" s="27"/>
      <c r="G53" s="28"/>
      <c r="H53" s="27"/>
      <c r="I53" s="28"/>
      <c r="J53" s="202">
        <v>45357</v>
      </c>
      <c r="K53" s="29" t="s">
        <v>35</v>
      </c>
      <c r="L53" s="53"/>
      <c r="M53" s="31"/>
      <c r="N53" s="27" t="s">
        <v>367</v>
      </c>
      <c r="O53" s="307"/>
      <c r="P53" s="32"/>
      <c r="Q53" s="25"/>
      <c r="R53" s="27"/>
      <c r="S53" s="27"/>
      <c r="T53" s="28"/>
      <c r="U53" s="27"/>
      <c r="V53" s="27" t="s">
        <v>154</v>
      </c>
      <c r="W53" s="28"/>
      <c r="X53" s="33"/>
      <c r="Y53" s="32"/>
      <c r="Z53" s="59"/>
      <c r="AA53" s="60"/>
      <c r="AB53" s="61"/>
      <c r="AC53" s="27"/>
      <c r="AD53" s="27"/>
      <c r="AE53" s="33"/>
      <c r="AG53" s="25"/>
      <c r="AH53" s="34"/>
      <c r="AI53" s="27">
        <v>0.05</v>
      </c>
      <c r="AJ53" s="27">
        <v>0.05</v>
      </c>
      <c r="AK53" s="27">
        <v>0.05</v>
      </c>
      <c r="AL53" s="25"/>
      <c r="AM53" s="34"/>
      <c r="AN53" s="27">
        <v>0.1</v>
      </c>
      <c r="AO53" s="27"/>
      <c r="AP53" s="36">
        <v>0.1</v>
      </c>
      <c r="AQ53" s="37"/>
      <c r="AR53" s="32"/>
      <c r="AS53" s="25" t="s">
        <v>78</v>
      </c>
      <c r="AT53" s="27" t="s">
        <v>52</v>
      </c>
      <c r="AU53" s="27"/>
      <c r="AW53" s="27" t="s">
        <v>325</v>
      </c>
      <c r="AX53" s="27" t="s">
        <v>91</v>
      </c>
      <c r="AY53" s="27"/>
      <c r="AZ53" s="32"/>
      <c r="BA53" s="41">
        <v>0</v>
      </c>
    </row>
    <row r="54" spans="1:53" x14ac:dyDescent="0.2">
      <c r="A54" s="25">
        <v>38</v>
      </c>
      <c r="B54" s="26">
        <v>45582</v>
      </c>
      <c r="C54" s="27" t="s">
        <v>227</v>
      </c>
      <c r="D54" s="25"/>
      <c r="E54" s="28"/>
      <c r="F54" s="27"/>
      <c r="G54" s="28"/>
      <c r="H54" s="27"/>
      <c r="I54" s="28"/>
      <c r="J54" s="202">
        <v>45357</v>
      </c>
      <c r="K54" s="29" t="s">
        <v>35</v>
      </c>
      <c r="L54" s="39"/>
      <c r="M54" s="31"/>
      <c r="N54" s="27" t="s">
        <v>367</v>
      </c>
      <c r="O54" s="307"/>
      <c r="P54" s="32"/>
      <c r="Q54" s="25"/>
      <c r="R54" s="27"/>
      <c r="S54" s="27"/>
      <c r="T54" s="28"/>
      <c r="U54" s="27"/>
      <c r="V54" s="27" t="s">
        <v>154</v>
      </c>
      <c r="W54" s="28"/>
      <c r="X54" s="33"/>
      <c r="Y54" s="32"/>
      <c r="Z54" s="25"/>
      <c r="AA54" s="27"/>
      <c r="AB54" s="28"/>
      <c r="AC54" s="27"/>
      <c r="AD54" s="27"/>
      <c r="AE54" s="33"/>
      <c r="AG54" s="25"/>
      <c r="AH54" s="34"/>
      <c r="AI54" s="27">
        <v>0.05</v>
      </c>
      <c r="AJ54" s="27">
        <v>0.05</v>
      </c>
      <c r="AK54" s="27">
        <v>0.05</v>
      </c>
      <c r="AL54" s="25"/>
      <c r="AM54" s="34"/>
      <c r="AN54" s="27">
        <v>0.1</v>
      </c>
      <c r="AO54" s="27">
        <v>0.1</v>
      </c>
      <c r="AP54" s="36">
        <v>0.1</v>
      </c>
      <c r="AQ54" s="37"/>
      <c r="AR54" s="32"/>
      <c r="AS54" s="25" t="s">
        <v>78</v>
      </c>
      <c r="AT54" s="27" t="s">
        <v>52</v>
      </c>
      <c r="AU54" s="27"/>
      <c r="AW54" s="27" t="s">
        <v>325</v>
      </c>
      <c r="AX54" s="27" t="s">
        <v>91</v>
      </c>
      <c r="AY54" s="27"/>
      <c r="AZ54" s="32"/>
      <c r="BA54" s="41">
        <v>0</v>
      </c>
    </row>
    <row r="55" spans="1:53" ht="16" thickBot="1" x14ac:dyDescent="0.25">
      <c r="A55" s="25">
        <v>39</v>
      </c>
      <c r="B55" s="26">
        <v>45583</v>
      </c>
      <c r="C55" s="27" t="s">
        <v>200</v>
      </c>
      <c r="D55" s="25"/>
      <c r="E55" s="28"/>
      <c r="F55" s="27"/>
      <c r="G55" s="28"/>
      <c r="H55" s="27"/>
      <c r="I55" s="28"/>
      <c r="J55" s="202">
        <v>45357</v>
      </c>
      <c r="K55" s="29" t="s">
        <v>35</v>
      </c>
      <c r="L55" t="s">
        <v>656</v>
      </c>
      <c r="M55" s="31"/>
      <c r="N55" s="27" t="s">
        <v>367</v>
      </c>
      <c r="O55" s="307"/>
      <c r="P55" s="32"/>
      <c r="Q55" s="25"/>
      <c r="R55" s="27"/>
      <c r="S55" s="27"/>
      <c r="T55" s="28"/>
      <c r="U55" s="27"/>
      <c r="V55" s="27" t="s">
        <v>154</v>
      </c>
      <c r="W55" s="28"/>
      <c r="X55" s="33"/>
      <c r="Y55" s="32"/>
      <c r="Z55" s="25"/>
      <c r="AA55" s="27"/>
      <c r="AB55" s="28"/>
      <c r="AC55" s="27"/>
      <c r="AD55" s="27"/>
      <c r="AE55" s="33"/>
      <c r="AG55" s="25"/>
      <c r="AH55" s="34"/>
      <c r="AI55" s="27">
        <v>0.05</v>
      </c>
      <c r="AJ55" s="27">
        <v>0.05</v>
      </c>
      <c r="AK55" s="27">
        <v>0.05</v>
      </c>
      <c r="AL55" s="25"/>
      <c r="AM55" s="34"/>
      <c r="AN55" s="27">
        <v>0.1</v>
      </c>
      <c r="AO55" s="27">
        <v>0.1</v>
      </c>
      <c r="AP55" s="36">
        <v>0.1</v>
      </c>
      <c r="AQ55" s="37"/>
      <c r="AR55" s="32"/>
      <c r="AS55" s="25" t="s">
        <v>78</v>
      </c>
      <c r="AT55" s="27" t="s">
        <v>52</v>
      </c>
      <c r="AU55" s="27"/>
      <c r="AW55" s="27" t="s">
        <v>325</v>
      </c>
      <c r="AX55" s="27" t="s">
        <v>91</v>
      </c>
      <c r="AY55" s="27"/>
      <c r="AZ55" s="32"/>
      <c r="BA55" s="41">
        <v>0</v>
      </c>
    </row>
    <row r="56" spans="1:53" ht="16" thickBot="1" x14ac:dyDescent="0.25">
      <c r="A56" s="25">
        <v>40</v>
      </c>
      <c r="B56" s="26">
        <v>45584</v>
      </c>
      <c r="C56" s="27" t="s">
        <v>200</v>
      </c>
      <c r="D56" s="25"/>
      <c r="E56" s="28"/>
      <c r="F56" s="27"/>
      <c r="G56" s="28"/>
      <c r="H56" s="27"/>
      <c r="I56" s="28"/>
      <c r="J56" s="202">
        <v>45357</v>
      </c>
      <c r="K56" s="29" t="s">
        <v>35</v>
      </c>
      <c r="L56" s="53"/>
      <c r="M56" s="31"/>
      <c r="N56" s="27" t="s">
        <v>367</v>
      </c>
      <c r="O56" s="308"/>
      <c r="Q56" s="25"/>
      <c r="R56" s="27"/>
      <c r="S56" s="27"/>
      <c r="T56" s="28"/>
      <c r="U56" s="27"/>
      <c r="V56" s="27" t="s">
        <v>154</v>
      </c>
      <c r="W56" s="28"/>
      <c r="X56" s="33"/>
      <c r="Y56" s="32"/>
      <c r="Z56" s="59"/>
      <c r="AA56" s="60"/>
      <c r="AB56" s="61"/>
      <c r="AC56" s="27"/>
      <c r="AD56" s="27"/>
      <c r="AE56" s="33"/>
      <c r="AG56" s="25"/>
      <c r="AH56" s="34"/>
      <c r="AI56" s="27">
        <v>0.05</v>
      </c>
      <c r="AJ56" s="27">
        <v>0.05</v>
      </c>
      <c r="AK56" s="27">
        <v>0.05</v>
      </c>
      <c r="AL56" s="25"/>
      <c r="AM56" s="34"/>
      <c r="AN56" s="27">
        <v>0.1</v>
      </c>
      <c r="AO56" s="27">
        <v>0.1</v>
      </c>
      <c r="AP56" s="36">
        <v>0.1</v>
      </c>
      <c r="AQ56" s="37"/>
      <c r="AR56" s="32"/>
      <c r="AS56" s="25" t="s">
        <v>79</v>
      </c>
      <c r="AT56" s="27" t="s">
        <v>52</v>
      </c>
      <c r="AU56" s="58" t="s">
        <v>80</v>
      </c>
      <c r="AW56" s="27" t="s">
        <v>325</v>
      </c>
      <c r="AX56" s="27" t="s">
        <v>91</v>
      </c>
      <c r="AY56" s="27"/>
      <c r="AZ56" s="32"/>
      <c r="BA56" s="41">
        <v>0</v>
      </c>
    </row>
    <row r="57" spans="1:53" x14ac:dyDescent="0.2">
      <c r="A57" s="25">
        <v>41</v>
      </c>
      <c r="B57" s="26">
        <v>45585</v>
      </c>
      <c r="C57" s="27" t="s">
        <v>232</v>
      </c>
      <c r="D57" s="25"/>
      <c r="E57" s="28"/>
      <c r="F57" s="27"/>
      <c r="G57" s="28"/>
      <c r="H57" s="27"/>
      <c r="I57" s="28"/>
      <c r="J57" s="202">
        <v>45357</v>
      </c>
      <c r="K57" s="29" t="s">
        <v>35</v>
      </c>
      <c r="L57" t="s">
        <v>657</v>
      </c>
      <c r="M57" s="31"/>
      <c r="N57" s="27" t="s">
        <v>367</v>
      </c>
      <c r="P57" s="32"/>
      <c r="Q57" s="25"/>
      <c r="R57" s="27"/>
      <c r="S57" s="27"/>
      <c r="T57" s="28"/>
      <c r="U57" s="27"/>
      <c r="V57" s="27" t="s">
        <v>154</v>
      </c>
      <c r="W57" s="28"/>
      <c r="X57" s="33"/>
      <c r="Y57" s="32"/>
      <c r="Z57" s="25"/>
      <c r="AA57" s="27"/>
      <c r="AB57" s="28"/>
      <c r="AC57" s="27"/>
      <c r="AD57" s="27"/>
      <c r="AE57" s="33"/>
      <c r="AG57" s="25"/>
      <c r="AH57" s="34"/>
      <c r="AI57" s="27">
        <v>0.05</v>
      </c>
      <c r="AJ57" s="27">
        <v>0.05</v>
      </c>
      <c r="AK57" s="27">
        <v>0.05</v>
      </c>
      <c r="AL57" s="25"/>
      <c r="AM57" s="34"/>
      <c r="AN57" s="27">
        <v>0.1</v>
      </c>
      <c r="AO57" s="27">
        <v>0.1</v>
      </c>
      <c r="AP57" s="36">
        <v>0.1</v>
      </c>
      <c r="AQ57" s="37"/>
      <c r="AR57" s="32"/>
      <c r="AS57" s="25" t="s">
        <v>79</v>
      </c>
      <c r="AT57" s="27" t="s">
        <v>52</v>
      </c>
      <c r="AU57" s="27"/>
      <c r="AW57" s="27" t="s">
        <v>325</v>
      </c>
      <c r="AX57" s="27" t="s">
        <v>91</v>
      </c>
      <c r="AY57" s="27"/>
      <c r="AZ57" s="32"/>
      <c r="BA57" s="41">
        <v>0</v>
      </c>
    </row>
    <row r="58" spans="1:53" x14ac:dyDescent="0.2">
      <c r="A58" s="25">
        <v>42</v>
      </c>
      <c r="B58" s="26">
        <v>45586</v>
      </c>
      <c r="C58" s="27" t="s">
        <v>232</v>
      </c>
      <c r="D58" s="25"/>
      <c r="E58" s="28"/>
      <c r="F58" s="27"/>
      <c r="G58" s="28"/>
      <c r="H58" s="27"/>
      <c r="I58" s="28"/>
      <c r="J58" s="202">
        <v>45357</v>
      </c>
      <c r="K58" s="29" t="s">
        <v>35</v>
      </c>
      <c r="L58" s="39"/>
      <c r="M58" s="31"/>
      <c r="N58" s="27" t="s">
        <v>367</v>
      </c>
      <c r="P58" s="32"/>
      <c r="Q58" s="25"/>
      <c r="R58" s="27"/>
      <c r="S58" s="27"/>
      <c r="T58" s="28"/>
      <c r="U58" s="27"/>
      <c r="V58" s="27" t="s">
        <v>154</v>
      </c>
      <c r="W58" s="28"/>
      <c r="X58" s="33"/>
      <c r="Y58" s="32"/>
      <c r="Z58" s="25"/>
      <c r="AA58" s="27"/>
      <c r="AB58" s="28"/>
      <c r="AC58" s="27"/>
      <c r="AD58" s="27"/>
      <c r="AE58" s="33"/>
      <c r="AG58" s="25"/>
      <c r="AH58" s="34"/>
      <c r="AI58" s="27">
        <v>0.05</v>
      </c>
      <c r="AJ58" s="27">
        <v>0.05</v>
      </c>
      <c r="AK58" s="27">
        <v>0.05</v>
      </c>
      <c r="AL58" s="25"/>
      <c r="AM58" s="34"/>
      <c r="AN58" s="27">
        <v>0.1</v>
      </c>
      <c r="AO58" s="27">
        <v>0.1</v>
      </c>
      <c r="AP58" s="36">
        <v>0.1</v>
      </c>
      <c r="AQ58" s="37"/>
      <c r="AR58" s="32"/>
      <c r="AS58" s="25" t="s">
        <v>79</v>
      </c>
      <c r="AT58" s="27" t="s">
        <v>52</v>
      </c>
      <c r="AU58" s="27"/>
      <c r="AW58" s="27" t="s">
        <v>325</v>
      </c>
      <c r="AX58" s="27" t="s">
        <v>91</v>
      </c>
      <c r="AY58" s="27"/>
      <c r="AZ58" s="32"/>
      <c r="BA58" s="41">
        <v>0</v>
      </c>
    </row>
    <row r="59" spans="1:53" ht="16" thickBot="1" x14ac:dyDescent="0.25">
      <c r="A59" s="25">
        <v>43</v>
      </c>
      <c r="B59" s="26">
        <v>45587</v>
      </c>
      <c r="C59" s="27" t="s">
        <v>227</v>
      </c>
      <c r="D59" s="25"/>
      <c r="E59" s="28"/>
      <c r="F59" s="27"/>
      <c r="G59" s="28"/>
      <c r="H59" s="27"/>
      <c r="I59" s="28"/>
      <c r="J59" s="202">
        <v>45357</v>
      </c>
      <c r="K59" s="29" t="s">
        <v>35</v>
      </c>
      <c r="L59" s="39"/>
      <c r="M59" s="31"/>
      <c r="N59" s="27" t="s">
        <v>367</v>
      </c>
      <c r="P59" s="32"/>
      <c r="Q59" s="25"/>
      <c r="R59" s="27"/>
      <c r="S59" s="27"/>
      <c r="T59" s="28"/>
      <c r="U59" s="27"/>
      <c r="V59" s="27" t="s">
        <v>154</v>
      </c>
      <c r="W59" s="28"/>
      <c r="X59" s="33"/>
      <c r="Y59" s="32"/>
      <c r="Z59" s="25"/>
      <c r="AA59" s="27"/>
      <c r="AB59" s="28"/>
      <c r="AC59" s="27"/>
      <c r="AD59" s="27"/>
      <c r="AE59" s="33"/>
      <c r="AG59" s="25"/>
      <c r="AH59" s="34"/>
      <c r="AI59" s="27">
        <v>0.05</v>
      </c>
      <c r="AJ59" s="27">
        <v>0.05</v>
      </c>
      <c r="AK59" s="27">
        <v>0.05</v>
      </c>
      <c r="AL59" s="25"/>
      <c r="AM59" s="34"/>
      <c r="AN59" s="27">
        <v>0.1</v>
      </c>
      <c r="AO59" s="27">
        <v>0.1</v>
      </c>
      <c r="AP59" s="36">
        <v>0.1</v>
      </c>
      <c r="AQ59" s="37"/>
      <c r="AR59" s="32"/>
      <c r="AS59" s="25" t="s">
        <v>79</v>
      </c>
      <c r="AT59" s="27" t="s">
        <v>52</v>
      </c>
      <c r="AU59" s="27"/>
      <c r="AW59" s="27" t="s">
        <v>325</v>
      </c>
      <c r="AX59" s="27" t="s">
        <v>91</v>
      </c>
      <c r="AY59" s="27"/>
      <c r="AZ59" s="32"/>
      <c r="BA59" s="41">
        <v>4</v>
      </c>
    </row>
    <row r="60" spans="1:53" ht="16" thickBot="1" x14ac:dyDescent="0.25">
      <c r="A60" s="25">
        <v>44</v>
      </c>
      <c r="B60" s="26">
        <v>45588</v>
      </c>
      <c r="C60" s="27" t="s">
        <v>227</v>
      </c>
      <c r="D60" s="25"/>
      <c r="E60" s="28"/>
      <c r="F60" s="27"/>
      <c r="G60" s="28"/>
      <c r="H60" s="27"/>
      <c r="I60" s="28"/>
      <c r="J60" s="202">
        <v>45357</v>
      </c>
      <c r="K60" s="29" t="s">
        <v>35</v>
      </c>
      <c r="L60" s="39"/>
      <c r="M60" s="31"/>
      <c r="N60" s="27" t="s">
        <v>367</v>
      </c>
      <c r="P60" s="32"/>
      <c r="Q60" s="27"/>
      <c r="R60" s="27"/>
      <c r="S60" s="27"/>
      <c r="T60" s="28"/>
      <c r="U60" s="27"/>
      <c r="V60" s="27" t="s">
        <v>154</v>
      </c>
      <c r="W60" s="28"/>
      <c r="X60" s="33"/>
      <c r="Y60" s="32"/>
      <c r="Z60" s="59"/>
      <c r="AA60" s="60"/>
      <c r="AB60" s="61"/>
      <c r="AC60" s="27"/>
      <c r="AD60" s="27"/>
      <c r="AE60" s="33"/>
      <c r="AG60" s="25"/>
      <c r="AH60" s="34"/>
      <c r="AI60" s="27">
        <v>0.05</v>
      </c>
      <c r="AJ60" s="27">
        <v>0.05</v>
      </c>
      <c r="AK60" s="27">
        <v>0.05</v>
      </c>
      <c r="AL60" s="25"/>
      <c r="AM60" s="34"/>
      <c r="AN60" s="27">
        <v>0.1</v>
      </c>
      <c r="AO60" s="27">
        <v>0.1</v>
      </c>
      <c r="AP60" s="36">
        <v>0.1</v>
      </c>
      <c r="AQ60" s="37"/>
      <c r="AR60" s="32"/>
      <c r="AS60" s="25" t="s">
        <v>79</v>
      </c>
      <c r="AT60" s="27" t="s">
        <v>52</v>
      </c>
      <c r="AU60" s="58" t="s">
        <v>81</v>
      </c>
      <c r="AV60" s="27" t="s">
        <v>658</v>
      </c>
      <c r="AW60" s="27" t="s">
        <v>325</v>
      </c>
      <c r="AX60" s="27" t="s">
        <v>303</v>
      </c>
      <c r="AY60" s="27"/>
      <c r="AZ60" s="32"/>
      <c r="BA60" s="41">
        <v>2</v>
      </c>
    </row>
    <row r="61" spans="1:53" x14ac:dyDescent="0.2">
      <c r="A61" s="25">
        <v>45</v>
      </c>
      <c r="B61" s="26">
        <v>45589</v>
      </c>
      <c r="C61" s="27" t="s">
        <v>227</v>
      </c>
      <c r="D61" s="25"/>
      <c r="E61" s="28"/>
      <c r="F61" s="27"/>
      <c r="G61" s="28"/>
      <c r="H61" s="27"/>
      <c r="I61" s="28"/>
      <c r="J61" s="202">
        <v>45357</v>
      </c>
      <c r="K61" s="29" t="s">
        <v>35</v>
      </c>
      <c r="L61" s="39"/>
      <c r="M61" s="31"/>
      <c r="N61" s="27" t="s">
        <v>367</v>
      </c>
      <c r="P61" s="32"/>
      <c r="Q61" s="25"/>
      <c r="R61" s="27"/>
      <c r="S61" s="27"/>
      <c r="T61" s="28"/>
      <c r="U61" s="27"/>
      <c r="V61" s="27" t="s">
        <v>154</v>
      </c>
      <c r="W61" s="28"/>
      <c r="X61" s="33"/>
      <c r="Y61" s="32"/>
      <c r="Z61" s="25"/>
      <c r="AA61" s="27"/>
      <c r="AB61" s="28"/>
      <c r="AC61" s="27"/>
      <c r="AD61" s="27"/>
      <c r="AE61" s="33"/>
      <c r="AG61" s="25"/>
      <c r="AH61" s="34"/>
      <c r="AI61" s="27">
        <v>0.05</v>
      </c>
      <c r="AJ61" s="27">
        <v>0.05</v>
      </c>
      <c r="AK61" s="27">
        <v>0.05</v>
      </c>
      <c r="AL61" s="25"/>
      <c r="AM61" s="34"/>
      <c r="AN61" s="27">
        <v>0.1</v>
      </c>
      <c r="AO61" s="27">
        <v>0.1</v>
      </c>
      <c r="AP61" s="36">
        <v>0.1</v>
      </c>
      <c r="AQ61" s="37"/>
      <c r="AR61" s="32"/>
      <c r="AS61" s="25" t="s">
        <v>79</v>
      </c>
      <c r="AT61" s="27" t="s">
        <v>52</v>
      </c>
      <c r="AW61" s="27" t="s">
        <v>325</v>
      </c>
      <c r="AX61" s="27" t="s">
        <v>303</v>
      </c>
      <c r="AY61" s="27"/>
      <c r="AZ61" s="32"/>
      <c r="BA61" s="41">
        <v>0</v>
      </c>
    </row>
    <row r="62" spans="1:53" x14ac:dyDescent="0.2">
      <c r="A62" s="25">
        <v>46</v>
      </c>
      <c r="B62" s="26">
        <v>45590</v>
      </c>
      <c r="C62" s="27" t="s">
        <v>200</v>
      </c>
      <c r="D62" s="25"/>
      <c r="E62" s="28"/>
      <c r="F62" s="27"/>
      <c r="G62" s="28"/>
      <c r="H62" s="27"/>
      <c r="I62" s="28"/>
      <c r="J62" s="202">
        <v>45357</v>
      </c>
      <c r="K62" s="29" t="s">
        <v>35</v>
      </c>
      <c r="L62" s="39"/>
      <c r="M62" s="31"/>
      <c r="N62" s="27" t="s">
        <v>367</v>
      </c>
      <c r="P62" s="32"/>
      <c r="Q62" s="25"/>
      <c r="R62" s="27"/>
      <c r="S62" s="27"/>
      <c r="T62" s="28"/>
      <c r="U62" s="27"/>
      <c r="V62" s="27" t="s">
        <v>154</v>
      </c>
      <c r="W62" s="28"/>
      <c r="X62" s="33"/>
      <c r="Y62" s="32"/>
      <c r="Z62" s="25"/>
      <c r="AA62" s="27"/>
      <c r="AB62" s="28"/>
      <c r="AC62" s="27"/>
      <c r="AD62" s="27"/>
      <c r="AE62" s="33"/>
      <c r="AG62" s="25"/>
      <c r="AH62" s="34"/>
      <c r="AI62" s="27">
        <v>0.05</v>
      </c>
      <c r="AJ62" s="27">
        <v>0.05</v>
      </c>
      <c r="AK62" s="27">
        <v>0.05</v>
      </c>
      <c r="AL62" s="25"/>
      <c r="AM62" s="34"/>
      <c r="AN62" s="27">
        <v>0.1</v>
      </c>
      <c r="AO62" s="27">
        <v>0.1</v>
      </c>
      <c r="AP62" s="36">
        <v>0.1</v>
      </c>
      <c r="AQ62" s="37"/>
      <c r="AR62" s="32"/>
      <c r="AS62" s="25" t="s">
        <v>79</v>
      </c>
      <c r="AT62" s="27" t="s">
        <v>52</v>
      </c>
      <c r="AU62" s="27"/>
      <c r="AW62" s="27" t="s">
        <v>325</v>
      </c>
      <c r="AX62" s="27" t="s">
        <v>303</v>
      </c>
      <c r="AY62" s="27"/>
      <c r="AZ62" s="32"/>
      <c r="BA62" s="41">
        <v>2</v>
      </c>
    </row>
    <row r="63" spans="1:53" x14ac:dyDescent="0.2">
      <c r="A63" s="25">
        <v>47</v>
      </c>
      <c r="B63" s="26">
        <v>45591</v>
      </c>
      <c r="C63" s="27" t="s">
        <v>200</v>
      </c>
      <c r="D63" s="25"/>
      <c r="E63" s="28"/>
      <c r="F63" s="27"/>
      <c r="G63" s="28"/>
      <c r="H63" s="27"/>
      <c r="I63" s="28"/>
      <c r="J63" s="202">
        <v>45357</v>
      </c>
      <c r="K63" s="29" t="s">
        <v>35</v>
      </c>
      <c r="L63" s="39"/>
      <c r="M63" s="31"/>
      <c r="N63" s="27" t="s">
        <v>367</v>
      </c>
      <c r="P63" s="32"/>
      <c r="Q63" s="25"/>
      <c r="R63" s="27"/>
      <c r="S63" s="27"/>
      <c r="T63" s="28"/>
      <c r="U63" s="27"/>
      <c r="V63" s="27" t="s">
        <v>154</v>
      </c>
      <c r="W63" s="28"/>
      <c r="X63" s="33"/>
      <c r="Y63" s="32"/>
      <c r="Z63" s="25"/>
      <c r="AA63" s="27"/>
      <c r="AB63" s="28"/>
      <c r="AC63" s="27"/>
      <c r="AD63" s="27"/>
      <c r="AE63" s="33"/>
      <c r="AG63" s="25"/>
      <c r="AH63" s="34"/>
      <c r="AI63" s="27">
        <v>0.05</v>
      </c>
      <c r="AJ63" s="27">
        <v>0.05</v>
      </c>
      <c r="AK63" s="27">
        <v>0.05</v>
      </c>
      <c r="AL63" s="25"/>
      <c r="AM63" s="34"/>
      <c r="AN63" s="27">
        <v>0.1</v>
      </c>
      <c r="AO63" s="27">
        <v>0.1</v>
      </c>
      <c r="AP63" s="36">
        <v>0.1</v>
      </c>
      <c r="AQ63" s="37"/>
      <c r="AR63" s="32"/>
      <c r="AS63" s="25" t="s">
        <v>79</v>
      </c>
      <c r="AT63" s="27" t="s">
        <v>52</v>
      </c>
      <c r="AU63" s="27"/>
      <c r="AW63" s="27" t="s">
        <v>325</v>
      </c>
      <c r="AX63" s="27" t="s">
        <v>303</v>
      </c>
      <c r="AY63" s="27"/>
      <c r="AZ63" s="32"/>
      <c r="BA63" s="41">
        <v>3</v>
      </c>
    </row>
    <row r="64" spans="1:53" x14ac:dyDescent="0.2">
      <c r="A64" s="25">
        <v>48</v>
      </c>
      <c r="B64" s="26">
        <v>45592</v>
      </c>
      <c r="C64" s="27" t="s">
        <v>232</v>
      </c>
      <c r="D64" s="25"/>
      <c r="E64" s="28"/>
      <c r="F64" s="27"/>
      <c r="G64" s="28"/>
      <c r="H64" s="27"/>
      <c r="I64" s="28"/>
      <c r="J64" s="202">
        <v>45357</v>
      </c>
      <c r="K64" s="29" t="s">
        <v>35</v>
      </c>
      <c r="M64" s="31"/>
      <c r="N64" s="27" t="s">
        <v>367</v>
      </c>
      <c r="P64" s="32"/>
      <c r="Q64" s="25"/>
      <c r="R64" s="27"/>
      <c r="S64" s="27"/>
      <c r="T64" s="28"/>
      <c r="U64" s="27"/>
      <c r="V64" s="27" t="s">
        <v>154</v>
      </c>
      <c r="W64" s="28"/>
      <c r="X64" s="33"/>
      <c r="Y64" s="32"/>
      <c r="Z64" s="25"/>
      <c r="AA64" s="27"/>
      <c r="AB64" s="28"/>
      <c r="AC64" s="27"/>
      <c r="AD64" s="27"/>
      <c r="AE64" s="33"/>
      <c r="AG64" s="25"/>
      <c r="AH64" s="34"/>
      <c r="AI64" s="27">
        <v>0.05</v>
      </c>
      <c r="AJ64" s="27">
        <v>0.05</v>
      </c>
      <c r="AK64" s="27">
        <v>0.05</v>
      </c>
      <c r="AL64" s="25"/>
      <c r="AM64" s="34"/>
      <c r="AN64" s="27">
        <v>0.1</v>
      </c>
      <c r="AO64" s="27">
        <v>0.1</v>
      </c>
      <c r="AP64" s="36">
        <v>0.1</v>
      </c>
      <c r="AQ64" s="37"/>
      <c r="AR64" s="32"/>
      <c r="AS64" s="25" t="s">
        <v>79</v>
      </c>
      <c r="AT64" s="27" t="s">
        <v>52</v>
      </c>
      <c r="AU64" s="27"/>
      <c r="AW64" s="27" t="s">
        <v>325</v>
      </c>
      <c r="AX64" s="27" t="s">
        <v>303</v>
      </c>
      <c r="AY64" s="27"/>
      <c r="AZ64" s="32"/>
      <c r="BA64" s="41">
        <v>4</v>
      </c>
    </row>
    <row r="65" spans="1:54" ht="16" thickBot="1" x14ac:dyDescent="0.25">
      <c r="A65" s="25">
        <v>49</v>
      </c>
      <c r="B65" s="26">
        <v>45593</v>
      </c>
      <c r="C65" s="27" t="s">
        <v>232</v>
      </c>
      <c r="D65" s="25"/>
      <c r="E65" s="28"/>
      <c r="F65" s="27"/>
      <c r="G65" s="28"/>
      <c r="H65" s="27"/>
      <c r="I65" s="28"/>
      <c r="J65" s="202">
        <v>45357</v>
      </c>
      <c r="K65" s="29" t="s">
        <v>35</v>
      </c>
      <c r="L65" s="39"/>
      <c r="M65" s="31"/>
      <c r="N65" s="27" t="s">
        <v>659</v>
      </c>
      <c r="P65" s="32" t="s">
        <v>663</v>
      </c>
      <c r="Q65" s="25"/>
      <c r="R65" s="27"/>
      <c r="S65" s="27"/>
      <c r="T65" s="28"/>
      <c r="U65" s="27"/>
      <c r="V65" s="27" t="s">
        <v>154</v>
      </c>
      <c r="W65" s="28"/>
      <c r="X65" s="33"/>
      <c r="Y65" s="32"/>
      <c r="Z65" s="25"/>
      <c r="AA65" s="27"/>
      <c r="AB65" s="28"/>
      <c r="AC65" s="27"/>
      <c r="AD65" s="27"/>
      <c r="AE65" s="33"/>
      <c r="AG65" s="25"/>
      <c r="AH65" s="34"/>
      <c r="AI65" s="27">
        <v>0.05</v>
      </c>
      <c r="AJ65" s="27">
        <v>0.05</v>
      </c>
      <c r="AK65" s="27">
        <v>0.05</v>
      </c>
      <c r="AL65" s="25"/>
      <c r="AM65" s="34"/>
      <c r="AN65" s="27">
        <v>0.1</v>
      </c>
      <c r="AO65" s="27">
        <v>0.1</v>
      </c>
      <c r="AP65" s="36">
        <v>0.1</v>
      </c>
      <c r="AQ65" s="37"/>
      <c r="AR65" s="32"/>
      <c r="AS65" s="25" t="s">
        <v>79</v>
      </c>
      <c r="AT65" s="27" t="s">
        <v>52</v>
      </c>
      <c r="AU65" s="27"/>
      <c r="AW65" s="27" t="s">
        <v>325</v>
      </c>
      <c r="AX65" s="27" t="s">
        <v>303</v>
      </c>
      <c r="AY65" s="27"/>
      <c r="AZ65" s="32"/>
      <c r="BA65" s="41">
        <v>2</v>
      </c>
    </row>
    <row r="66" spans="1:54" ht="16" thickBot="1" x14ac:dyDescent="0.25">
      <c r="A66" s="25">
        <v>50</v>
      </c>
      <c r="B66" s="26">
        <v>45594</v>
      </c>
      <c r="C66" s="27" t="s">
        <v>314</v>
      </c>
      <c r="D66" s="25"/>
      <c r="E66" s="28"/>
      <c r="F66" s="27"/>
      <c r="G66" s="28"/>
      <c r="H66" s="27"/>
      <c r="I66" s="28"/>
      <c r="J66" s="202">
        <v>45357</v>
      </c>
      <c r="K66" s="29" t="s">
        <v>35</v>
      </c>
      <c r="L66" s="44" t="s">
        <v>83</v>
      </c>
      <c r="M66" s="31"/>
      <c r="N66" s="27" t="s">
        <v>659</v>
      </c>
      <c r="O66" s="45" t="s">
        <v>349</v>
      </c>
      <c r="P66" s="46" t="s">
        <v>661</v>
      </c>
      <c r="Q66" s="25"/>
      <c r="R66" s="27"/>
      <c r="S66" s="27"/>
      <c r="T66" s="28"/>
      <c r="U66" s="27"/>
      <c r="V66" s="27" t="s">
        <v>154</v>
      </c>
      <c r="W66" s="28"/>
      <c r="X66" s="33"/>
      <c r="Y66" s="32"/>
      <c r="Z66" s="25"/>
      <c r="AA66" s="27"/>
      <c r="AB66" s="28"/>
      <c r="AC66" s="27"/>
      <c r="AD66" s="27"/>
      <c r="AE66" s="33"/>
      <c r="AG66" s="25"/>
      <c r="AH66" s="34"/>
      <c r="AI66" s="27">
        <v>0.05</v>
      </c>
      <c r="AJ66" s="27">
        <v>0.05</v>
      </c>
      <c r="AK66" s="27">
        <v>0.05</v>
      </c>
      <c r="AL66" s="25"/>
      <c r="AM66" s="34"/>
      <c r="AN66" s="27">
        <v>0.1</v>
      </c>
      <c r="AO66" s="27">
        <v>0.1</v>
      </c>
      <c r="AP66" s="36">
        <v>0.1</v>
      </c>
      <c r="AQ66" s="37"/>
      <c r="AR66" s="32"/>
      <c r="AS66" s="25" t="s">
        <v>79</v>
      </c>
      <c r="AT66" s="27" t="s">
        <v>52</v>
      </c>
      <c r="AU66" s="58" t="s">
        <v>88</v>
      </c>
      <c r="AV66" s="27" t="s">
        <v>660</v>
      </c>
      <c r="AW66" s="27" t="s">
        <v>325</v>
      </c>
      <c r="AX66" s="27" t="s">
        <v>303</v>
      </c>
      <c r="AY66" s="27"/>
      <c r="AZ66" s="32"/>
      <c r="BA66" s="41">
        <v>1</v>
      </c>
    </row>
    <row r="67" spans="1:54" ht="16" thickBot="1" x14ac:dyDescent="0.25">
      <c r="A67" s="25">
        <v>51</v>
      </c>
      <c r="B67" s="26">
        <v>45595</v>
      </c>
      <c r="C67" s="27" t="s">
        <v>227</v>
      </c>
      <c r="D67" s="25"/>
      <c r="E67" s="28"/>
      <c r="F67" s="27"/>
      <c r="G67" s="28"/>
      <c r="H67" s="27"/>
      <c r="I67" s="28"/>
      <c r="J67" s="27">
        <v>8</v>
      </c>
      <c r="K67" s="29" t="s">
        <v>35</v>
      </c>
      <c r="L67" s="88" t="s">
        <v>348</v>
      </c>
      <c r="M67" s="31"/>
      <c r="N67" s="27" t="s">
        <v>367</v>
      </c>
      <c r="P67" s="32" t="s">
        <v>662</v>
      </c>
      <c r="Q67" s="27"/>
      <c r="R67" s="27"/>
      <c r="S67" s="27"/>
      <c r="T67" s="28"/>
      <c r="U67" s="27"/>
      <c r="V67" s="27" t="s">
        <v>154</v>
      </c>
      <c r="W67" s="28"/>
      <c r="X67" s="33"/>
      <c r="Y67" s="32"/>
      <c r="Z67" s="25"/>
      <c r="AA67" s="27"/>
      <c r="AB67" s="28"/>
      <c r="AC67" s="27"/>
      <c r="AD67" s="27"/>
      <c r="AE67" s="33"/>
      <c r="AG67" s="25"/>
      <c r="AH67" s="34"/>
      <c r="AI67" s="27">
        <v>0.05</v>
      </c>
      <c r="AJ67" s="27">
        <v>0.05</v>
      </c>
      <c r="AK67" s="27">
        <v>0.05</v>
      </c>
      <c r="AL67" s="25"/>
      <c r="AM67" s="34"/>
      <c r="AN67" s="27">
        <v>0.1</v>
      </c>
      <c r="AO67" s="27">
        <v>0.1</v>
      </c>
      <c r="AP67" s="36">
        <v>0.1</v>
      </c>
      <c r="AQ67" s="37"/>
      <c r="AR67" s="32"/>
      <c r="AS67" s="25" t="s">
        <v>79</v>
      </c>
      <c r="AT67" s="27" t="s">
        <v>52</v>
      </c>
      <c r="AU67" s="27"/>
      <c r="AW67" s="27" t="s">
        <v>325</v>
      </c>
      <c r="AX67" s="27" t="s">
        <v>303</v>
      </c>
      <c r="AY67" s="27"/>
      <c r="AZ67" s="32"/>
      <c r="BA67" s="41">
        <v>2</v>
      </c>
      <c r="BB67" t="s">
        <v>664</v>
      </c>
    </row>
    <row r="68" spans="1:54" ht="16" thickBot="1" x14ac:dyDescent="0.25">
      <c r="A68" s="25">
        <v>52</v>
      </c>
      <c r="B68" s="26">
        <v>45596</v>
      </c>
      <c r="C68" s="27" t="s">
        <v>200</v>
      </c>
      <c r="D68" s="25"/>
      <c r="E68" s="28"/>
      <c r="F68" s="27"/>
      <c r="G68" s="28"/>
      <c r="H68" s="27"/>
      <c r="I68" s="28"/>
      <c r="J68" s="27">
        <v>8</v>
      </c>
      <c r="K68" s="29" t="s">
        <v>35</v>
      </c>
      <c r="L68" s="39"/>
      <c r="M68" s="31"/>
      <c r="N68" s="27" t="s">
        <v>367</v>
      </c>
      <c r="P68" s="32"/>
      <c r="Q68" s="25"/>
      <c r="R68" s="27"/>
      <c r="S68" s="27"/>
      <c r="T68" s="28"/>
      <c r="U68" s="27"/>
      <c r="V68" s="27" t="s">
        <v>154</v>
      </c>
      <c r="W68" s="28"/>
      <c r="X68" s="33"/>
      <c r="Y68" s="32"/>
      <c r="Z68" s="25"/>
      <c r="AA68" s="27"/>
      <c r="AB68" s="28"/>
      <c r="AC68" s="27"/>
      <c r="AD68" s="27"/>
      <c r="AE68" s="33"/>
      <c r="AG68" s="25"/>
      <c r="AH68" s="34"/>
      <c r="AI68" s="27">
        <v>0.05</v>
      </c>
      <c r="AJ68" s="27">
        <v>0.05</v>
      </c>
      <c r="AK68" s="27">
        <v>0.05</v>
      </c>
      <c r="AL68" s="25"/>
      <c r="AM68" s="34"/>
      <c r="AN68" s="27">
        <v>0.1</v>
      </c>
      <c r="AO68" s="27">
        <v>0.1</v>
      </c>
      <c r="AP68" s="36">
        <v>0.1</v>
      </c>
      <c r="AQ68" s="37"/>
      <c r="AR68" s="32"/>
      <c r="AS68" s="25" t="s">
        <v>79</v>
      </c>
      <c r="AT68" s="27" t="s">
        <v>52</v>
      </c>
      <c r="AW68" s="27" t="s">
        <v>325</v>
      </c>
      <c r="AX68" s="27" t="s">
        <v>303</v>
      </c>
      <c r="AY68" s="27"/>
      <c r="AZ68" s="32"/>
      <c r="BA68" s="41">
        <v>0</v>
      </c>
    </row>
    <row r="69" spans="1:54" ht="16" thickBot="1" x14ac:dyDescent="0.25">
      <c r="A69" s="25">
        <v>53</v>
      </c>
      <c r="B69" s="26">
        <v>45597</v>
      </c>
      <c r="C69" s="27" t="s">
        <v>232</v>
      </c>
      <c r="D69" s="25"/>
      <c r="E69" s="28"/>
      <c r="F69" s="27"/>
      <c r="G69" s="28"/>
      <c r="H69" s="27"/>
      <c r="I69" s="28"/>
      <c r="J69" s="27">
        <v>8</v>
      </c>
      <c r="K69" s="29" t="s">
        <v>35</v>
      </c>
      <c r="L69" s="39"/>
      <c r="M69" s="31"/>
      <c r="N69" s="27" t="s">
        <v>659</v>
      </c>
      <c r="P69" s="32"/>
      <c r="Q69" s="25"/>
      <c r="R69" s="27"/>
      <c r="S69" s="27"/>
      <c r="T69" s="28"/>
      <c r="U69" s="27"/>
      <c r="V69" s="27" t="s">
        <v>154</v>
      </c>
      <c r="W69" s="28"/>
      <c r="X69" s="33"/>
      <c r="Y69" s="32"/>
      <c r="Z69" s="25"/>
      <c r="AA69" s="27"/>
      <c r="AB69" s="28"/>
      <c r="AC69" s="27"/>
      <c r="AD69" s="27"/>
      <c r="AE69" s="33"/>
      <c r="AG69" s="25"/>
      <c r="AH69" s="34"/>
      <c r="AI69" s="27">
        <v>0.05</v>
      </c>
      <c r="AJ69" s="27">
        <v>0.05</v>
      </c>
      <c r="AK69" s="27">
        <v>0.05</v>
      </c>
      <c r="AL69" s="25"/>
      <c r="AM69" s="34"/>
      <c r="AN69" s="27">
        <v>0.1</v>
      </c>
      <c r="AO69" s="27">
        <v>0.1</v>
      </c>
      <c r="AP69" s="36">
        <v>0.1</v>
      </c>
      <c r="AQ69" s="37"/>
      <c r="AR69" s="32"/>
      <c r="AS69" s="25" t="s">
        <v>79</v>
      </c>
      <c r="AT69" s="27" t="s">
        <v>52</v>
      </c>
      <c r="AU69" s="27"/>
      <c r="AW69" s="25" t="s">
        <v>325</v>
      </c>
      <c r="AX69" s="27" t="s">
        <v>91</v>
      </c>
      <c r="AY69" s="89" t="s">
        <v>92</v>
      </c>
      <c r="AZ69" s="32" t="s">
        <v>258</v>
      </c>
      <c r="BA69" s="41">
        <v>0</v>
      </c>
    </row>
    <row r="70" spans="1:54" ht="16" thickBot="1" x14ac:dyDescent="0.25">
      <c r="A70" s="25">
        <v>54</v>
      </c>
      <c r="B70" s="26">
        <v>45598</v>
      </c>
      <c r="C70" s="27" t="s">
        <v>232</v>
      </c>
      <c r="D70" s="25"/>
      <c r="E70" s="28"/>
      <c r="F70" s="27"/>
      <c r="G70" s="28"/>
      <c r="H70" s="27"/>
      <c r="I70" s="28"/>
      <c r="J70" s="27">
        <v>8</v>
      </c>
      <c r="K70" s="29" t="s">
        <v>35</v>
      </c>
      <c r="L70" s="39"/>
      <c r="M70" s="31"/>
      <c r="N70" s="27" t="s">
        <v>659</v>
      </c>
      <c r="P70" s="32"/>
      <c r="Q70" s="25"/>
      <c r="R70" s="27"/>
      <c r="S70" s="27"/>
      <c r="T70" s="28"/>
      <c r="U70" s="27"/>
      <c r="V70" s="27" t="s">
        <v>154</v>
      </c>
      <c r="W70" s="28"/>
      <c r="X70" s="33"/>
      <c r="Y70" s="32"/>
      <c r="Z70" s="25"/>
      <c r="AA70" s="27"/>
      <c r="AB70" s="28"/>
      <c r="AC70" s="27"/>
      <c r="AD70" s="27"/>
      <c r="AE70" s="33"/>
      <c r="AG70" s="25"/>
      <c r="AH70" s="34"/>
      <c r="AI70" s="27">
        <v>0.05</v>
      </c>
      <c r="AJ70" s="27">
        <v>0.05</v>
      </c>
      <c r="AK70" s="27">
        <v>0.05</v>
      </c>
      <c r="AL70" s="25"/>
      <c r="AM70" s="34"/>
      <c r="AN70" s="27">
        <v>0.1</v>
      </c>
      <c r="AO70" s="27">
        <v>0.1</v>
      </c>
      <c r="AP70" s="36">
        <v>0.1</v>
      </c>
      <c r="AQ70" s="37"/>
      <c r="AR70" s="32"/>
      <c r="AS70" s="25" t="s">
        <v>79</v>
      </c>
      <c r="AT70" s="27" t="s">
        <v>52</v>
      </c>
      <c r="AU70" s="27"/>
      <c r="AW70" s="25" t="s">
        <v>341</v>
      </c>
      <c r="AX70" s="27" t="s">
        <v>91</v>
      </c>
      <c r="AY70" s="27"/>
      <c r="AZ70" s="32"/>
      <c r="BA70" s="41">
        <v>0</v>
      </c>
    </row>
    <row r="71" spans="1:54" ht="16" thickBot="1" x14ac:dyDescent="0.25">
      <c r="A71" s="25">
        <v>55</v>
      </c>
      <c r="B71" s="26">
        <v>45599</v>
      </c>
      <c r="C71" s="27" t="s">
        <v>232</v>
      </c>
      <c r="D71" s="25"/>
      <c r="E71" s="28"/>
      <c r="F71" s="27"/>
      <c r="G71" s="28"/>
      <c r="H71" s="27"/>
      <c r="I71" s="28"/>
      <c r="J71" s="27">
        <v>8</v>
      </c>
      <c r="K71" s="29" t="s">
        <v>35</v>
      </c>
      <c r="L71" s="39"/>
      <c r="M71" s="31"/>
      <c r="N71" s="27" t="s">
        <v>659</v>
      </c>
      <c r="P71" s="32"/>
      <c r="Q71" s="25"/>
      <c r="R71" s="27"/>
      <c r="S71" s="27"/>
      <c r="T71" s="28"/>
      <c r="U71" s="27"/>
      <c r="V71" s="27" t="s">
        <v>154</v>
      </c>
      <c r="W71" s="28"/>
      <c r="X71" s="33"/>
      <c r="Y71" s="32"/>
      <c r="Z71" s="25"/>
      <c r="AA71" s="27"/>
      <c r="AB71" s="28"/>
      <c r="AC71" s="27"/>
      <c r="AD71" s="27"/>
      <c r="AE71" s="33"/>
      <c r="AG71" s="25"/>
      <c r="AH71" s="34"/>
      <c r="AI71" s="27">
        <v>0.05</v>
      </c>
      <c r="AJ71" s="27">
        <v>0.05</v>
      </c>
      <c r="AK71" s="27">
        <v>0.05</v>
      </c>
      <c r="AL71" s="25"/>
      <c r="AM71" s="34"/>
      <c r="AN71" s="27">
        <v>0.1</v>
      </c>
      <c r="AO71" s="27">
        <v>0.1</v>
      </c>
      <c r="AP71" s="36">
        <v>0.1</v>
      </c>
      <c r="AQ71" s="82"/>
      <c r="AR71" s="32"/>
      <c r="AS71" s="25" t="s">
        <v>614</v>
      </c>
      <c r="AT71" s="27" t="s">
        <v>52</v>
      </c>
      <c r="AW71" s="25" t="s">
        <v>341</v>
      </c>
      <c r="AX71" s="27" t="s">
        <v>91</v>
      </c>
      <c r="AY71" s="27"/>
      <c r="AZ71" s="32"/>
      <c r="BA71" s="41">
        <v>0</v>
      </c>
    </row>
    <row r="72" spans="1:54" x14ac:dyDescent="0.2">
      <c r="A72" s="25">
        <v>56</v>
      </c>
      <c r="B72" s="26">
        <v>45600</v>
      </c>
      <c r="C72" s="27" t="s">
        <v>232</v>
      </c>
      <c r="D72" s="25"/>
      <c r="E72" s="28"/>
      <c r="F72" s="27"/>
      <c r="G72" s="28"/>
      <c r="H72" s="27"/>
      <c r="I72" s="28"/>
      <c r="J72" s="27">
        <v>8</v>
      </c>
      <c r="K72" s="29" t="s">
        <v>35</v>
      </c>
      <c r="L72" s="39"/>
      <c r="M72" s="31"/>
      <c r="N72" s="27" t="s">
        <v>659</v>
      </c>
      <c r="P72" s="32"/>
      <c r="Q72" s="25"/>
      <c r="R72" s="27"/>
      <c r="S72" s="27"/>
      <c r="T72" s="28"/>
      <c r="U72" s="27"/>
      <c r="V72" s="27" t="s">
        <v>154</v>
      </c>
      <c r="W72" s="28"/>
      <c r="X72" s="33"/>
      <c r="Y72" s="32"/>
      <c r="Z72" s="25"/>
      <c r="AA72" s="27"/>
      <c r="AB72" s="28"/>
      <c r="AC72" s="27"/>
      <c r="AD72" s="27"/>
      <c r="AE72" s="33"/>
      <c r="AG72" s="25"/>
      <c r="AH72" s="34"/>
      <c r="AI72" s="27">
        <v>0.05</v>
      </c>
      <c r="AJ72" s="27">
        <v>0.05</v>
      </c>
      <c r="AK72" s="27">
        <v>0.05</v>
      </c>
      <c r="AL72" s="25"/>
      <c r="AM72" s="34"/>
      <c r="AN72" s="27">
        <v>0.1</v>
      </c>
      <c r="AO72" s="27">
        <v>0.1</v>
      </c>
      <c r="AP72" s="36">
        <v>0.1</v>
      </c>
      <c r="AQ72" s="37"/>
      <c r="AR72" s="32"/>
      <c r="AS72" s="25" t="s">
        <v>614</v>
      </c>
      <c r="AT72" s="27" t="s">
        <v>52</v>
      </c>
      <c r="AU72" s="27"/>
      <c r="AW72" s="25" t="s">
        <v>341</v>
      </c>
      <c r="AX72" s="27" t="s">
        <v>91</v>
      </c>
      <c r="AY72" s="27"/>
      <c r="AZ72" s="32"/>
      <c r="BA72" s="41">
        <v>1</v>
      </c>
    </row>
    <row r="73" spans="1:54" ht="16" thickBot="1" x14ac:dyDescent="0.25">
      <c r="A73" s="25">
        <v>57</v>
      </c>
      <c r="B73" s="26">
        <v>45601</v>
      </c>
      <c r="C73" s="27" t="s">
        <v>227</v>
      </c>
      <c r="D73" s="25"/>
      <c r="E73" s="28"/>
      <c r="F73" s="27"/>
      <c r="G73" s="28"/>
      <c r="H73" s="27"/>
      <c r="I73" s="28"/>
      <c r="J73" s="27">
        <v>8</v>
      </c>
      <c r="K73" s="29" t="s">
        <v>35</v>
      </c>
      <c r="L73" s="39"/>
      <c r="M73" s="31"/>
      <c r="N73" s="27" t="s">
        <v>659</v>
      </c>
      <c r="P73" s="32"/>
      <c r="Q73" s="25"/>
      <c r="R73" s="27"/>
      <c r="S73" s="27"/>
      <c r="T73" s="28"/>
      <c r="U73" s="27"/>
      <c r="V73" s="27" t="s">
        <v>502</v>
      </c>
      <c r="W73" s="28"/>
      <c r="X73" s="33"/>
      <c r="Y73" s="32" t="s">
        <v>603</v>
      </c>
      <c r="Z73" s="25"/>
      <c r="AA73" s="27"/>
      <c r="AB73" s="28"/>
      <c r="AC73" s="27"/>
      <c r="AD73" s="27"/>
      <c r="AE73" s="33"/>
      <c r="AG73" s="25"/>
      <c r="AH73" s="34"/>
      <c r="AI73" s="27">
        <v>0.05</v>
      </c>
      <c r="AJ73" s="27">
        <v>0.05</v>
      </c>
      <c r="AK73" s="27">
        <v>0.05</v>
      </c>
      <c r="AL73" s="25"/>
      <c r="AM73" s="34"/>
      <c r="AN73" s="27">
        <v>0.1</v>
      </c>
      <c r="AO73" s="27">
        <v>0.1</v>
      </c>
      <c r="AP73" s="36">
        <v>0.1</v>
      </c>
      <c r="AQ73" s="37"/>
      <c r="AR73" s="32"/>
      <c r="AS73" s="25" t="s">
        <v>79</v>
      </c>
      <c r="AT73" s="27" t="s">
        <v>52</v>
      </c>
      <c r="AU73" s="27"/>
      <c r="AW73" s="25" t="s">
        <v>341</v>
      </c>
      <c r="AX73" s="27" t="s">
        <v>91</v>
      </c>
      <c r="AY73" s="27"/>
      <c r="AZ73" s="32"/>
      <c r="BA73" s="41">
        <v>0</v>
      </c>
    </row>
    <row r="74" spans="1:54" ht="16" thickBot="1" x14ac:dyDescent="0.25">
      <c r="A74" s="25">
        <v>58</v>
      </c>
      <c r="B74" s="26">
        <v>45602</v>
      </c>
      <c r="C74" s="27" t="s">
        <v>227</v>
      </c>
      <c r="D74" s="25"/>
      <c r="E74" s="28"/>
      <c r="F74" s="27"/>
      <c r="G74" s="28"/>
      <c r="H74" s="27"/>
      <c r="I74" s="28"/>
      <c r="J74" s="27">
        <v>8</v>
      </c>
      <c r="K74" s="29" t="s">
        <v>35</v>
      </c>
      <c r="L74" s="39"/>
      <c r="M74" s="31"/>
      <c r="N74" s="27" t="s">
        <v>659</v>
      </c>
      <c r="P74" s="32"/>
      <c r="Q74" s="25"/>
      <c r="R74" s="27"/>
      <c r="S74" s="27"/>
      <c r="T74" s="28"/>
      <c r="U74" s="27"/>
      <c r="V74" s="27" t="s">
        <v>154</v>
      </c>
      <c r="W74" s="28"/>
      <c r="X74" s="33"/>
      <c r="Y74" s="32"/>
      <c r="Z74" s="25"/>
      <c r="AA74" s="27"/>
      <c r="AB74" s="28"/>
      <c r="AC74" s="27"/>
      <c r="AD74" s="27"/>
      <c r="AE74" s="33"/>
      <c r="AG74" s="25"/>
      <c r="AH74" s="34"/>
      <c r="AI74" s="27">
        <v>0.05</v>
      </c>
      <c r="AJ74" s="27">
        <v>0.05</v>
      </c>
      <c r="AK74" s="27">
        <v>0.05</v>
      </c>
      <c r="AL74" s="25"/>
      <c r="AM74" s="34"/>
      <c r="AN74" s="27">
        <v>0.1</v>
      </c>
      <c r="AO74" s="27">
        <v>0.1</v>
      </c>
      <c r="AP74" s="36">
        <v>0.1</v>
      </c>
      <c r="AQ74" s="37"/>
      <c r="AR74" s="32"/>
      <c r="AS74" s="25" t="s">
        <v>79</v>
      </c>
      <c r="AT74" s="27" t="s">
        <v>52</v>
      </c>
      <c r="AU74" s="27"/>
      <c r="AW74" s="25" t="s">
        <v>473</v>
      </c>
      <c r="AX74" s="27" t="s">
        <v>91</v>
      </c>
      <c r="AY74" s="89" t="s">
        <v>94</v>
      </c>
      <c r="AZ74" s="32"/>
      <c r="BA74" s="41">
        <v>0</v>
      </c>
    </row>
    <row r="75" spans="1:54" ht="16" thickBot="1" x14ac:dyDescent="0.25">
      <c r="A75" s="25">
        <v>59</v>
      </c>
      <c r="B75" s="26">
        <v>45603</v>
      </c>
      <c r="C75" s="27" t="s">
        <v>200</v>
      </c>
      <c r="D75" s="25"/>
      <c r="E75" s="28"/>
      <c r="F75" s="27"/>
      <c r="G75" s="28"/>
      <c r="H75" s="27"/>
      <c r="I75" s="28"/>
      <c r="J75" s="27">
        <v>8</v>
      </c>
      <c r="K75" s="29" t="s">
        <v>35</v>
      </c>
      <c r="L75" s="39"/>
      <c r="M75" s="31"/>
      <c r="N75" s="27" t="s">
        <v>659</v>
      </c>
      <c r="P75" s="32"/>
      <c r="Q75" s="25"/>
      <c r="R75" s="27"/>
      <c r="S75" s="27"/>
      <c r="T75" s="28"/>
      <c r="U75" s="27"/>
      <c r="V75" s="27" t="s">
        <v>502</v>
      </c>
      <c r="W75" s="28"/>
      <c r="X75" s="33"/>
      <c r="Y75" s="32"/>
      <c r="Z75" s="25"/>
      <c r="AA75" s="27"/>
      <c r="AB75" s="28"/>
      <c r="AC75" s="27"/>
      <c r="AD75" s="27"/>
      <c r="AE75" s="33"/>
      <c r="AG75" s="25"/>
      <c r="AH75" s="34"/>
      <c r="AI75" s="27">
        <v>0.05</v>
      </c>
      <c r="AJ75" s="27">
        <v>0.05</v>
      </c>
      <c r="AK75" s="27">
        <v>0.05</v>
      </c>
      <c r="AL75" s="25"/>
      <c r="AM75" s="34"/>
      <c r="AN75" s="27">
        <v>0.1</v>
      </c>
      <c r="AO75" s="27">
        <v>0.1</v>
      </c>
      <c r="AP75" s="36">
        <v>0.1</v>
      </c>
      <c r="AQ75" s="37"/>
      <c r="AR75" s="32"/>
      <c r="AS75" s="25" t="s">
        <v>79</v>
      </c>
      <c r="AT75" s="27" t="s">
        <v>52</v>
      </c>
      <c r="AU75" s="27"/>
      <c r="AW75" s="25" t="s">
        <v>473</v>
      </c>
      <c r="AX75" s="27" t="s">
        <v>95</v>
      </c>
      <c r="AY75" s="27"/>
      <c r="AZ75" s="32"/>
      <c r="BA75" s="41">
        <v>0</v>
      </c>
    </row>
    <row r="76" spans="1:54" ht="16" thickBot="1" x14ac:dyDescent="0.25">
      <c r="A76" s="25">
        <v>60</v>
      </c>
      <c r="B76" s="26">
        <v>45604</v>
      </c>
      <c r="C76" s="27" t="s">
        <v>200</v>
      </c>
      <c r="D76" s="25"/>
      <c r="E76" s="28"/>
      <c r="F76" s="27"/>
      <c r="G76" s="28"/>
      <c r="H76" s="27"/>
      <c r="I76" s="28"/>
      <c r="J76" s="27">
        <v>8</v>
      </c>
      <c r="K76" s="29" t="s">
        <v>35</v>
      </c>
      <c r="L76" s="39" t="s">
        <v>665</v>
      </c>
      <c r="M76" s="31"/>
      <c r="N76" s="27" t="s">
        <v>659</v>
      </c>
      <c r="P76" s="32"/>
      <c r="Q76" s="25"/>
      <c r="R76" s="27"/>
      <c r="S76" s="27"/>
      <c r="T76" s="28"/>
      <c r="U76" s="27"/>
      <c r="V76" s="27" t="s">
        <v>502</v>
      </c>
      <c r="W76" s="28"/>
      <c r="X76" s="33"/>
      <c r="Y76" s="32"/>
      <c r="Z76" s="25"/>
      <c r="AA76" s="27"/>
      <c r="AB76" s="28"/>
      <c r="AC76" s="27"/>
      <c r="AD76" s="27"/>
      <c r="AE76" s="33"/>
      <c r="AG76" s="25"/>
      <c r="AH76" s="34"/>
      <c r="AI76" s="27">
        <v>0.05</v>
      </c>
      <c r="AJ76" s="27">
        <v>0.05</v>
      </c>
      <c r="AK76" s="27">
        <v>0.05</v>
      </c>
      <c r="AL76" s="25"/>
      <c r="AM76" s="34"/>
      <c r="AN76" s="27">
        <v>0.1</v>
      </c>
      <c r="AO76" s="27">
        <v>0.1</v>
      </c>
      <c r="AP76" s="36">
        <v>0.1</v>
      </c>
      <c r="AQ76" s="37" t="s">
        <v>666</v>
      </c>
      <c r="AR76" s="32"/>
      <c r="AS76" s="25" t="s">
        <v>79</v>
      </c>
      <c r="AT76" s="27" t="s">
        <v>52</v>
      </c>
      <c r="AU76" s="58" t="s">
        <v>97</v>
      </c>
      <c r="AW76" s="25" t="s">
        <v>473</v>
      </c>
      <c r="AX76" s="27" t="s">
        <v>95</v>
      </c>
      <c r="AY76" s="27"/>
      <c r="AZ76" s="32"/>
      <c r="BA76" s="41">
        <v>0</v>
      </c>
    </row>
    <row r="77" spans="1:54" x14ac:dyDescent="0.2">
      <c r="A77" s="25">
        <v>61</v>
      </c>
      <c r="B77" s="26">
        <v>45605</v>
      </c>
      <c r="C77" s="27" t="s">
        <v>200</v>
      </c>
      <c r="D77" s="25"/>
      <c r="E77" s="28"/>
      <c r="F77" s="27"/>
      <c r="G77" s="28"/>
      <c r="H77" s="27"/>
      <c r="I77" s="28"/>
      <c r="J77" s="27">
        <v>8</v>
      </c>
      <c r="K77" s="29" t="s">
        <v>35</v>
      </c>
      <c r="L77" s="39"/>
      <c r="M77" s="31"/>
      <c r="N77" s="27" t="s">
        <v>659</v>
      </c>
      <c r="P77" s="32"/>
      <c r="Q77" s="25"/>
      <c r="R77" s="27"/>
      <c r="S77" s="27"/>
      <c r="T77" s="28"/>
      <c r="U77" s="27"/>
      <c r="V77" s="27" t="s">
        <v>154</v>
      </c>
      <c r="W77" s="28"/>
      <c r="X77" s="33"/>
      <c r="Y77" s="32"/>
      <c r="Z77" s="25"/>
      <c r="AA77" s="27"/>
      <c r="AB77" s="28"/>
      <c r="AC77" s="27"/>
      <c r="AD77" s="27"/>
      <c r="AE77" s="33"/>
      <c r="AG77" s="25"/>
      <c r="AH77" s="34"/>
      <c r="AI77" s="27">
        <v>0.05</v>
      </c>
      <c r="AJ77" s="27">
        <v>0.05</v>
      </c>
      <c r="AK77" s="27">
        <v>0.05</v>
      </c>
      <c r="AL77" s="25"/>
      <c r="AM77" s="34"/>
      <c r="AN77" s="27">
        <v>0.1</v>
      </c>
      <c r="AO77" s="27">
        <v>0.1</v>
      </c>
      <c r="AP77" s="36">
        <v>0.1</v>
      </c>
      <c r="AQ77" s="37" t="s">
        <v>666</v>
      </c>
      <c r="AR77" s="32"/>
      <c r="AS77" s="25" t="s">
        <v>79</v>
      </c>
      <c r="AT77" s="27" t="s">
        <v>52</v>
      </c>
      <c r="AU77" s="27"/>
      <c r="AW77" s="25" t="s">
        <v>667</v>
      </c>
      <c r="AX77" s="27" t="s">
        <v>95</v>
      </c>
      <c r="AY77" s="27"/>
      <c r="AZ77" s="32"/>
      <c r="BA77" s="41">
        <v>0</v>
      </c>
    </row>
    <row r="78" spans="1:54" x14ac:dyDescent="0.2">
      <c r="A78" s="25">
        <v>62</v>
      </c>
      <c r="B78" s="26">
        <v>45606</v>
      </c>
      <c r="C78" s="27" t="s">
        <v>200</v>
      </c>
      <c r="D78" s="25"/>
      <c r="E78" s="28"/>
      <c r="F78" s="27"/>
      <c r="G78" s="28"/>
      <c r="H78" s="27"/>
      <c r="I78" s="28"/>
      <c r="J78" s="27">
        <v>8</v>
      </c>
      <c r="K78" s="29" t="s">
        <v>35</v>
      </c>
      <c r="L78" s="39"/>
      <c r="M78" s="31"/>
      <c r="N78" s="27" t="s">
        <v>659</v>
      </c>
      <c r="P78" s="32"/>
      <c r="Q78" s="25"/>
      <c r="R78" s="27"/>
      <c r="S78" s="27"/>
      <c r="T78" s="28"/>
      <c r="U78" s="27"/>
      <c r="V78" s="27" t="s">
        <v>154</v>
      </c>
      <c r="W78" s="28"/>
      <c r="X78" s="33"/>
      <c r="Y78" s="32"/>
      <c r="Z78" s="25"/>
      <c r="AA78" s="27"/>
      <c r="AB78" s="28"/>
      <c r="AC78" s="27"/>
      <c r="AD78" s="27"/>
      <c r="AE78" s="33"/>
      <c r="AG78" s="25"/>
      <c r="AH78" s="34"/>
      <c r="AI78" s="27">
        <v>0.05</v>
      </c>
      <c r="AJ78" s="27">
        <v>0.05</v>
      </c>
      <c r="AK78" s="27">
        <v>0.05</v>
      </c>
      <c r="AL78" s="25"/>
      <c r="AM78" s="34"/>
      <c r="AN78" s="27">
        <v>0.1</v>
      </c>
      <c r="AO78" s="27">
        <v>0.1</v>
      </c>
      <c r="AP78" s="36">
        <v>0.1</v>
      </c>
      <c r="AQ78" s="37" t="s">
        <v>666</v>
      </c>
      <c r="AR78" s="32"/>
      <c r="AS78" s="25" t="s">
        <v>79</v>
      </c>
      <c r="AT78" s="27" t="s">
        <v>52</v>
      </c>
      <c r="AU78" s="27"/>
      <c r="AW78" s="25" t="s">
        <v>668</v>
      </c>
      <c r="AX78" s="27" t="s">
        <v>95</v>
      </c>
      <c r="AY78" s="27"/>
      <c r="AZ78" s="32"/>
      <c r="BA78" s="41">
        <v>0</v>
      </c>
    </row>
    <row r="79" spans="1:54" x14ac:dyDescent="0.2">
      <c r="A79" s="25">
        <v>63</v>
      </c>
      <c r="B79" s="26">
        <v>45607</v>
      </c>
      <c r="C79" s="27" t="s">
        <v>232</v>
      </c>
      <c r="D79" s="25"/>
      <c r="E79" s="28"/>
      <c r="F79" s="27"/>
      <c r="G79" s="28"/>
      <c r="H79" s="27"/>
      <c r="I79" s="28"/>
      <c r="J79" s="27">
        <v>8</v>
      </c>
      <c r="K79" s="29" t="s">
        <v>35</v>
      </c>
      <c r="L79" s="39"/>
      <c r="M79" s="31"/>
      <c r="N79" s="27" t="s">
        <v>659</v>
      </c>
      <c r="P79" s="32"/>
      <c r="Q79" s="25"/>
      <c r="R79" s="27"/>
      <c r="S79" s="27"/>
      <c r="T79" s="28"/>
      <c r="U79" s="27"/>
      <c r="V79" s="27" t="s">
        <v>154</v>
      </c>
      <c r="W79" s="28"/>
      <c r="X79" s="33"/>
      <c r="Y79" s="32"/>
      <c r="Z79" s="25"/>
      <c r="AA79" s="27"/>
      <c r="AB79" s="28"/>
      <c r="AC79" s="27"/>
      <c r="AD79" s="27"/>
      <c r="AE79" s="33"/>
      <c r="AG79" s="25"/>
      <c r="AH79" s="34"/>
      <c r="AI79" s="27">
        <v>0.05</v>
      </c>
      <c r="AJ79" s="27">
        <v>0.05</v>
      </c>
      <c r="AK79" s="27">
        <v>0.05</v>
      </c>
      <c r="AL79" s="25"/>
      <c r="AM79" s="34"/>
      <c r="AN79" s="27">
        <v>0.1</v>
      </c>
      <c r="AO79" s="27">
        <v>0.1</v>
      </c>
      <c r="AP79" s="36">
        <v>0.1</v>
      </c>
      <c r="AQ79" s="37"/>
      <c r="AR79" s="32"/>
      <c r="AS79" s="25" t="s">
        <v>79</v>
      </c>
      <c r="AT79" s="27" t="s">
        <v>52</v>
      </c>
      <c r="AU79" s="27"/>
      <c r="AW79" s="25" t="s">
        <v>670</v>
      </c>
      <c r="AX79" s="27" t="s">
        <v>95</v>
      </c>
      <c r="AY79" s="27"/>
      <c r="AZ79" s="32"/>
      <c r="BA79" s="41">
        <v>0</v>
      </c>
    </row>
    <row r="80" spans="1:54" x14ac:dyDescent="0.2">
      <c r="A80" s="25">
        <v>64</v>
      </c>
      <c r="B80" s="26">
        <v>45608</v>
      </c>
      <c r="C80" s="27" t="s">
        <v>227</v>
      </c>
      <c r="D80" s="25"/>
      <c r="E80" s="28"/>
      <c r="F80" s="27"/>
      <c r="G80" s="28"/>
      <c r="H80" s="27"/>
      <c r="I80" s="28"/>
      <c r="J80" s="27">
        <v>8</v>
      </c>
      <c r="K80" s="29" t="s">
        <v>35</v>
      </c>
      <c r="L80" s="39"/>
      <c r="M80" s="31"/>
      <c r="N80" s="27" t="s">
        <v>642</v>
      </c>
      <c r="P80" s="32"/>
      <c r="Q80" s="25"/>
      <c r="R80" s="27"/>
      <c r="S80" s="27"/>
      <c r="T80" s="28"/>
      <c r="U80" s="27"/>
      <c r="V80" s="27" t="s">
        <v>154</v>
      </c>
      <c r="W80" s="28"/>
      <c r="X80" s="33"/>
      <c r="Y80" s="32"/>
      <c r="Z80" s="25"/>
      <c r="AA80" s="27"/>
      <c r="AB80" s="28"/>
      <c r="AC80" s="27"/>
      <c r="AD80" s="27"/>
      <c r="AE80" s="33"/>
      <c r="AG80" s="25"/>
      <c r="AH80" s="34"/>
      <c r="AI80" s="27">
        <v>0.05</v>
      </c>
      <c r="AJ80" s="27">
        <v>0.05</v>
      </c>
      <c r="AK80" s="27">
        <v>0.05</v>
      </c>
      <c r="AL80" s="25"/>
      <c r="AM80" s="34"/>
      <c r="AN80" s="27">
        <v>0.1</v>
      </c>
      <c r="AO80" s="27">
        <v>0.1</v>
      </c>
      <c r="AP80" s="36">
        <v>0.1</v>
      </c>
      <c r="AQ80" s="37"/>
      <c r="AR80" s="32"/>
      <c r="AS80" s="25" t="s">
        <v>614</v>
      </c>
      <c r="AT80" s="27" t="s">
        <v>52</v>
      </c>
      <c r="AU80" s="27"/>
      <c r="AW80" s="25" t="s">
        <v>670</v>
      </c>
      <c r="AX80" s="27" t="s">
        <v>95</v>
      </c>
      <c r="AY80" s="27"/>
      <c r="AZ80" s="32"/>
      <c r="BA80" s="41">
        <v>0</v>
      </c>
    </row>
    <row r="81" spans="1:54" x14ac:dyDescent="0.2">
      <c r="A81" s="25">
        <v>65</v>
      </c>
      <c r="B81" s="26">
        <v>45609</v>
      </c>
      <c r="C81" s="27" t="s">
        <v>314</v>
      </c>
      <c r="D81" s="25"/>
      <c r="E81" s="28"/>
      <c r="F81" s="27"/>
      <c r="G81" s="28"/>
      <c r="H81" s="27"/>
      <c r="I81" s="28"/>
      <c r="J81" s="27">
        <v>8</v>
      </c>
      <c r="K81" s="29" t="s">
        <v>35</v>
      </c>
      <c r="L81" s="39"/>
      <c r="M81" s="31"/>
      <c r="N81" s="27"/>
      <c r="P81" s="32"/>
      <c r="Q81" s="25"/>
      <c r="R81" s="27"/>
      <c r="S81" s="27"/>
      <c r="T81" s="28"/>
      <c r="U81" s="27"/>
      <c r="V81" s="27" t="s">
        <v>154</v>
      </c>
      <c r="W81" s="28"/>
      <c r="X81" s="33"/>
      <c r="Y81" s="32"/>
      <c r="Z81" s="25"/>
      <c r="AA81" s="27"/>
      <c r="AB81" s="28"/>
      <c r="AC81" s="27"/>
      <c r="AD81" s="27"/>
      <c r="AE81" s="33"/>
      <c r="AG81" s="25"/>
      <c r="AH81" s="34"/>
      <c r="AI81" s="27">
        <v>0.05</v>
      </c>
      <c r="AJ81" s="27">
        <v>0.05</v>
      </c>
      <c r="AK81" s="27">
        <v>0.05</v>
      </c>
      <c r="AL81" s="25"/>
      <c r="AM81" s="34"/>
      <c r="AN81" s="27">
        <v>0.1</v>
      </c>
      <c r="AO81" s="27">
        <v>0.1</v>
      </c>
      <c r="AP81" s="36">
        <v>0.1</v>
      </c>
      <c r="AQ81" s="37"/>
      <c r="AR81" s="32"/>
      <c r="AS81" s="25" t="s">
        <v>79</v>
      </c>
      <c r="AT81" s="27" t="s">
        <v>52</v>
      </c>
      <c r="AU81" s="27"/>
      <c r="AW81" s="25" t="s">
        <v>670</v>
      </c>
      <c r="AX81" s="27" t="s">
        <v>95</v>
      </c>
      <c r="AY81" s="27"/>
      <c r="AZ81" s="32"/>
      <c r="BA81" s="41">
        <v>0</v>
      </c>
    </row>
    <row r="82" spans="1:54" x14ac:dyDescent="0.2">
      <c r="A82" s="25">
        <v>66</v>
      </c>
      <c r="B82" s="26">
        <v>45610</v>
      </c>
      <c r="C82" s="27" t="s">
        <v>227</v>
      </c>
      <c r="D82" s="25"/>
      <c r="E82" s="28"/>
      <c r="F82" s="27"/>
      <c r="G82" s="28"/>
      <c r="H82" s="27"/>
      <c r="I82" s="28"/>
      <c r="J82" s="27">
        <v>8</v>
      </c>
      <c r="K82" s="29" t="s">
        <v>35</v>
      </c>
      <c r="L82" s="39"/>
      <c r="M82" s="31"/>
      <c r="N82" s="27"/>
      <c r="P82" s="32"/>
      <c r="Q82" s="25"/>
      <c r="R82" s="27"/>
      <c r="S82" s="27"/>
      <c r="T82" s="28"/>
      <c r="U82" s="27"/>
      <c r="V82" s="27" t="s">
        <v>502</v>
      </c>
      <c r="W82" s="28"/>
      <c r="X82" s="33"/>
      <c r="Y82" s="32" t="s">
        <v>603</v>
      </c>
      <c r="Z82" s="25"/>
      <c r="AA82" s="27"/>
      <c r="AB82" s="28"/>
      <c r="AC82" s="27"/>
      <c r="AD82" s="27"/>
      <c r="AE82" s="33"/>
      <c r="AG82" s="25"/>
      <c r="AH82" s="34"/>
      <c r="AI82" s="27">
        <v>0.05</v>
      </c>
      <c r="AJ82" s="27">
        <v>0.05</v>
      </c>
      <c r="AK82" s="27">
        <v>0.05</v>
      </c>
      <c r="AL82" s="25"/>
      <c r="AM82" s="34"/>
      <c r="AN82" s="27">
        <v>0.1</v>
      </c>
      <c r="AO82" s="27">
        <v>0.1</v>
      </c>
      <c r="AP82" s="36">
        <v>0.1</v>
      </c>
      <c r="AQ82" s="37"/>
      <c r="AR82" s="32"/>
      <c r="AS82" s="25" t="s">
        <v>79</v>
      </c>
      <c r="AT82" s="27" t="s">
        <v>52</v>
      </c>
      <c r="AU82" s="27"/>
      <c r="AV82" t="s">
        <v>671</v>
      </c>
      <c r="AW82" s="25" t="s">
        <v>670</v>
      </c>
      <c r="AX82" s="27" t="s">
        <v>95</v>
      </c>
      <c r="AY82" s="27"/>
      <c r="AZ82" s="32"/>
      <c r="BA82" s="41">
        <v>0</v>
      </c>
    </row>
    <row r="83" spans="1:54" x14ac:dyDescent="0.2">
      <c r="A83" s="25">
        <v>67</v>
      </c>
      <c r="B83" s="26">
        <v>45611</v>
      </c>
      <c r="C83" s="27" t="s">
        <v>200</v>
      </c>
      <c r="D83" s="25"/>
      <c r="E83" s="28"/>
      <c r="F83" s="27"/>
      <c r="G83" s="28"/>
      <c r="H83" s="27"/>
      <c r="I83" s="28"/>
      <c r="J83" s="27">
        <v>8</v>
      </c>
      <c r="K83" s="29" t="s">
        <v>35</v>
      </c>
      <c r="L83" s="39"/>
      <c r="M83" s="31"/>
      <c r="N83" s="27"/>
      <c r="P83" s="32"/>
      <c r="Q83" s="25"/>
      <c r="R83" s="27"/>
      <c r="S83" s="27"/>
      <c r="T83" s="28"/>
      <c r="U83" s="27"/>
      <c r="V83" s="27" t="s">
        <v>154</v>
      </c>
      <c r="W83" s="28"/>
      <c r="X83" s="33"/>
      <c r="Y83" s="32"/>
      <c r="Z83" s="25"/>
      <c r="AA83" s="27"/>
      <c r="AB83" s="28"/>
      <c r="AC83" s="27"/>
      <c r="AD83" s="27"/>
      <c r="AE83" s="33"/>
      <c r="AG83" s="25"/>
      <c r="AH83" s="34"/>
      <c r="AI83" s="27">
        <v>0.05</v>
      </c>
      <c r="AJ83" s="27">
        <v>0.05</v>
      </c>
      <c r="AK83" s="27">
        <v>0.05</v>
      </c>
      <c r="AL83" s="25"/>
      <c r="AM83" s="34"/>
      <c r="AN83" s="27">
        <v>0.1</v>
      </c>
      <c r="AO83" s="27">
        <v>0.1</v>
      </c>
      <c r="AP83" s="36">
        <v>0.1</v>
      </c>
      <c r="AQ83" s="37" t="s">
        <v>666</v>
      </c>
      <c r="AR83" s="32"/>
      <c r="AS83" s="25" t="s">
        <v>79</v>
      </c>
      <c r="AT83" s="27" t="s">
        <v>52</v>
      </c>
      <c r="AU83" s="27"/>
      <c r="AW83" s="25" t="s">
        <v>672</v>
      </c>
      <c r="AX83" s="27" t="s">
        <v>95</v>
      </c>
      <c r="AY83" s="27"/>
      <c r="AZ83" s="32"/>
      <c r="BA83" s="41">
        <v>0</v>
      </c>
    </row>
    <row r="84" spans="1:54" x14ac:dyDescent="0.2">
      <c r="A84" s="25">
        <v>68</v>
      </c>
      <c r="B84" s="26">
        <v>45612</v>
      </c>
      <c r="C84" s="27" t="s">
        <v>200</v>
      </c>
      <c r="D84" s="25"/>
      <c r="E84" s="28"/>
      <c r="F84" s="27"/>
      <c r="G84" s="28"/>
      <c r="H84" s="27"/>
      <c r="I84" s="28"/>
      <c r="J84" s="27">
        <v>8</v>
      </c>
      <c r="K84" s="29" t="s">
        <v>35</v>
      </c>
      <c r="L84" s="39" t="s">
        <v>673</v>
      </c>
      <c r="M84" s="31"/>
      <c r="N84" s="27"/>
      <c r="P84" s="32"/>
      <c r="Q84" s="25"/>
      <c r="R84" s="27"/>
      <c r="S84" s="27"/>
      <c r="T84" s="28"/>
      <c r="U84" s="27"/>
      <c r="V84" s="27" t="s">
        <v>154</v>
      </c>
      <c r="W84" s="28"/>
      <c r="X84" s="33"/>
      <c r="Y84" s="32"/>
      <c r="Z84" s="25"/>
      <c r="AA84" s="27"/>
      <c r="AB84" s="28"/>
      <c r="AC84" s="27"/>
      <c r="AD84" s="27"/>
      <c r="AE84" s="33"/>
      <c r="AG84" s="25"/>
      <c r="AH84" s="34"/>
      <c r="AI84" s="27">
        <v>0.05</v>
      </c>
      <c r="AJ84" s="27">
        <v>0.05</v>
      </c>
      <c r="AK84" s="27">
        <v>0.05</v>
      </c>
      <c r="AL84" s="25"/>
      <c r="AM84" s="34"/>
      <c r="AN84" s="27">
        <v>0.1</v>
      </c>
      <c r="AO84" s="27">
        <v>0.1</v>
      </c>
      <c r="AP84" s="36">
        <v>0.1</v>
      </c>
      <c r="AQ84" s="37" t="s">
        <v>52</v>
      </c>
      <c r="AR84" s="32"/>
      <c r="AS84" s="25" t="s">
        <v>79</v>
      </c>
      <c r="AT84" s="27" t="s">
        <v>52</v>
      </c>
      <c r="AU84" s="27"/>
      <c r="AW84" s="25" t="s">
        <v>670</v>
      </c>
      <c r="AX84" s="27" t="s">
        <v>95</v>
      </c>
      <c r="AY84" s="27"/>
      <c r="AZ84" s="32"/>
      <c r="BA84" s="41">
        <v>0</v>
      </c>
    </row>
    <row r="85" spans="1:54" x14ac:dyDescent="0.2">
      <c r="A85" s="25">
        <v>69</v>
      </c>
      <c r="B85" s="26">
        <v>45613</v>
      </c>
      <c r="C85" s="27" t="s">
        <v>232</v>
      </c>
      <c r="D85" s="25"/>
      <c r="E85" s="28"/>
      <c r="F85" s="27"/>
      <c r="G85" s="28"/>
      <c r="H85" s="27"/>
      <c r="I85" s="28"/>
      <c r="J85" s="27">
        <v>8</v>
      </c>
      <c r="K85" s="29" t="s">
        <v>35</v>
      </c>
      <c r="L85" s="39"/>
      <c r="M85" s="31"/>
      <c r="N85" s="27"/>
      <c r="P85" s="32"/>
      <c r="Q85" s="25"/>
      <c r="R85" s="27"/>
      <c r="S85" s="27"/>
      <c r="T85" s="28"/>
      <c r="U85" s="27"/>
      <c r="V85" s="27" t="s">
        <v>154</v>
      </c>
      <c r="W85" s="28"/>
      <c r="X85" s="33"/>
      <c r="Y85" s="32"/>
      <c r="Z85" s="25"/>
      <c r="AA85" s="27"/>
      <c r="AB85" s="28"/>
      <c r="AC85" s="27"/>
      <c r="AD85" s="27"/>
      <c r="AE85" s="33"/>
      <c r="AG85" s="25"/>
      <c r="AH85" s="34"/>
      <c r="AI85" s="27">
        <v>0.05</v>
      </c>
      <c r="AJ85" s="27">
        <v>0.05</v>
      </c>
      <c r="AK85" s="27">
        <v>0.05</v>
      </c>
      <c r="AL85" s="25"/>
      <c r="AM85" s="34"/>
      <c r="AN85" s="27">
        <v>0.1</v>
      </c>
      <c r="AO85" s="27">
        <v>0.1</v>
      </c>
      <c r="AP85" s="36">
        <v>0.1</v>
      </c>
      <c r="AQ85" s="37"/>
      <c r="AR85" s="32"/>
      <c r="AS85" s="25" t="s">
        <v>79</v>
      </c>
      <c r="AT85" s="27" t="s">
        <v>52</v>
      </c>
      <c r="AU85" s="27"/>
      <c r="AW85" s="25" t="s">
        <v>670</v>
      </c>
      <c r="AX85" s="27" t="s">
        <v>95</v>
      </c>
      <c r="AY85" s="27"/>
      <c r="AZ85" s="32"/>
      <c r="BA85" s="41">
        <v>1</v>
      </c>
      <c r="BB85" t="s">
        <v>674</v>
      </c>
    </row>
    <row r="86" spans="1:54" x14ac:dyDescent="0.2">
      <c r="A86" s="25">
        <v>70</v>
      </c>
      <c r="B86" s="26">
        <v>45614</v>
      </c>
      <c r="C86" s="27" t="s">
        <v>232</v>
      </c>
      <c r="D86" s="25"/>
      <c r="E86" s="28"/>
      <c r="F86" s="27"/>
      <c r="G86" s="28"/>
      <c r="H86" s="27"/>
      <c r="I86" s="28"/>
      <c r="J86" s="27">
        <v>8</v>
      </c>
      <c r="K86" s="29" t="s">
        <v>35</v>
      </c>
      <c r="L86" s="39"/>
      <c r="M86" s="31"/>
      <c r="N86" s="27"/>
      <c r="P86" s="32"/>
      <c r="Q86" s="25"/>
      <c r="R86" s="27"/>
      <c r="S86" s="27"/>
      <c r="T86" s="28"/>
      <c r="U86" s="27"/>
      <c r="V86" s="27" t="s">
        <v>154</v>
      </c>
      <c r="W86" s="28"/>
      <c r="X86" s="33"/>
      <c r="Y86" s="32"/>
      <c r="Z86" s="25"/>
      <c r="AA86" s="27"/>
      <c r="AB86" s="28"/>
      <c r="AC86" s="27"/>
      <c r="AD86" s="27"/>
      <c r="AE86" s="33"/>
      <c r="AG86" s="25"/>
      <c r="AH86" s="34"/>
      <c r="AI86" s="27">
        <v>0.05</v>
      </c>
      <c r="AJ86" s="27">
        <v>0.05</v>
      </c>
      <c r="AK86" s="27">
        <v>0.05</v>
      </c>
      <c r="AL86" s="25"/>
      <c r="AM86" s="34"/>
      <c r="AN86" s="27">
        <v>0.1</v>
      </c>
      <c r="AO86" s="27">
        <v>0.1</v>
      </c>
      <c r="AP86" s="36">
        <v>0.1</v>
      </c>
      <c r="AQ86" s="37"/>
      <c r="AR86" s="32"/>
      <c r="AS86" s="25" t="s">
        <v>79</v>
      </c>
      <c r="AT86" s="27" t="s">
        <v>52</v>
      </c>
      <c r="AU86" s="27"/>
      <c r="AW86" s="25" t="s">
        <v>670</v>
      </c>
      <c r="AX86" s="27" t="s">
        <v>95</v>
      </c>
      <c r="AY86" s="27"/>
      <c r="AZ86" s="32"/>
      <c r="BA86" s="41">
        <v>1</v>
      </c>
      <c r="BB86" t="s">
        <v>674</v>
      </c>
    </row>
    <row r="87" spans="1:54" x14ac:dyDescent="0.2">
      <c r="A87" s="25">
        <v>71</v>
      </c>
      <c r="B87" s="26">
        <v>45615</v>
      </c>
      <c r="C87" s="27" t="s">
        <v>232</v>
      </c>
      <c r="D87" s="25"/>
      <c r="E87" s="28"/>
      <c r="F87" s="27"/>
      <c r="G87" s="28"/>
      <c r="H87" s="27"/>
      <c r="I87" s="28"/>
      <c r="J87" s="27">
        <v>8</v>
      </c>
      <c r="K87" s="29" t="s">
        <v>35</v>
      </c>
      <c r="L87" s="39"/>
      <c r="M87" s="31"/>
      <c r="N87" s="27"/>
      <c r="P87" s="32"/>
      <c r="Q87" s="25"/>
      <c r="R87" s="27"/>
      <c r="S87" s="27"/>
      <c r="T87" s="28"/>
      <c r="U87" s="27"/>
      <c r="V87" s="27" t="s">
        <v>154</v>
      </c>
      <c r="W87" s="28"/>
      <c r="X87" s="33"/>
      <c r="Y87" s="32"/>
      <c r="Z87" s="25"/>
      <c r="AA87" s="27"/>
      <c r="AB87" s="28"/>
      <c r="AC87" s="27"/>
      <c r="AD87" s="27"/>
      <c r="AE87" s="33"/>
      <c r="AF87" s="32"/>
      <c r="AG87" s="90"/>
      <c r="AH87" s="91"/>
      <c r="AI87" s="27">
        <v>0.05</v>
      </c>
      <c r="AJ87" s="27">
        <v>0.05</v>
      </c>
      <c r="AK87" s="28">
        <v>0.05</v>
      </c>
      <c r="AL87" s="27"/>
      <c r="AM87" s="27"/>
      <c r="AN87" s="27">
        <v>0.1</v>
      </c>
      <c r="AO87" s="27">
        <v>0.1</v>
      </c>
      <c r="AP87" s="36">
        <v>0.1</v>
      </c>
      <c r="AQ87" s="37"/>
      <c r="AS87" s="25" t="s">
        <v>79</v>
      </c>
      <c r="AT87" s="27" t="s">
        <v>52</v>
      </c>
      <c r="AU87" s="27"/>
      <c r="AW87" s="25" t="s">
        <v>670</v>
      </c>
      <c r="AX87" s="27" t="s">
        <v>95</v>
      </c>
      <c r="AY87" s="27"/>
      <c r="AZ87" s="32"/>
      <c r="BA87" s="41">
        <v>0</v>
      </c>
    </row>
    <row r="88" spans="1:54" x14ac:dyDescent="0.2">
      <c r="A88" s="25">
        <v>72</v>
      </c>
      <c r="B88" s="26">
        <v>45616</v>
      </c>
      <c r="C88" s="27" t="s">
        <v>227</v>
      </c>
      <c r="D88" s="25"/>
      <c r="E88" s="28"/>
      <c r="F88" s="27"/>
      <c r="G88" s="28"/>
      <c r="H88" s="27"/>
      <c r="I88" s="28"/>
      <c r="J88" s="27">
        <v>8</v>
      </c>
      <c r="K88" s="29" t="s">
        <v>35</v>
      </c>
      <c r="L88" s="39"/>
      <c r="M88" s="31"/>
      <c r="N88" s="27"/>
      <c r="P88" s="32"/>
      <c r="Q88" s="25"/>
      <c r="R88" s="27"/>
      <c r="S88" s="27"/>
      <c r="T88" s="28"/>
      <c r="U88" s="27"/>
      <c r="V88" s="27" t="s">
        <v>154</v>
      </c>
      <c r="W88" s="28"/>
      <c r="X88" s="33"/>
      <c r="Y88" s="32"/>
      <c r="Z88" s="25"/>
      <c r="AA88" s="27"/>
      <c r="AB88" s="28"/>
      <c r="AC88" s="27"/>
      <c r="AD88" s="27"/>
      <c r="AE88" s="33"/>
      <c r="AF88" s="32"/>
      <c r="AG88" s="90"/>
      <c r="AH88" s="91"/>
      <c r="AI88" s="27">
        <v>0.05</v>
      </c>
      <c r="AJ88" s="27">
        <v>0.05</v>
      </c>
      <c r="AK88" s="28">
        <v>0.05</v>
      </c>
      <c r="AL88" s="27"/>
      <c r="AM88" s="27"/>
      <c r="AN88" s="27">
        <v>0.1</v>
      </c>
      <c r="AO88" s="27">
        <v>0.1</v>
      </c>
      <c r="AP88" s="36">
        <v>0.1</v>
      </c>
      <c r="AQ88" s="37"/>
      <c r="AS88" s="25" t="s">
        <v>79</v>
      </c>
      <c r="AT88" s="27" t="s">
        <v>52</v>
      </c>
      <c r="AU88" s="27"/>
      <c r="AW88" s="25" t="s">
        <v>670</v>
      </c>
      <c r="AX88" s="27" t="s">
        <v>95</v>
      </c>
      <c r="AY88" s="27"/>
      <c r="AZ88" s="32"/>
      <c r="BA88" s="41">
        <v>0</v>
      </c>
    </row>
    <row r="89" spans="1:54" x14ac:dyDescent="0.2">
      <c r="A89" s="25">
        <v>73</v>
      </c>
      <c r="B89" s="26">
        <v>45617</v>
      </c>
      <c r="C89" s="27" t="s">
        <v>314</v>
      </c>
      <c r="D89" s="25"/>
      <c r="E89" s="28"/>
      <c r="F89" s="27"/>
      <c r="G89" s="28"/>
      <c r="H89" s="27"/>
      <c r="I89" s="28"/>
      <c r="J89" s="27">
        <v>8</v>
      </c>
      <c r="K89" s="29" t="s">
        <v>35</v>
      </c>
      <c r="L89" s="173"/>
      <c r="M89" s="31"/>
      <c r="N89" s="27"/>
      <c r="P89" s="32"/>
      <c r="Q89" s="25"/>
      <c r="R89" s="27"/>
      <c r="S89" s="27"/>
      <c r="T89" s="28"/>
      <c r="U89" s="27"/>
      <c r="V89" s="27" t="s">
        <v>154</v>
      </c>
      <c r="W89" s="28"/>
      <c r="X89" s="33"/>
      <c r="Y89" s="32"/>
      <c r="Z89" s="25"/>
      <c r="AA89" s="27"/>
      <c r="AB89" s="28"/>
      <c r="AC89" s="27"/>
      <c r="AD89" s="27"/>
      <c r="AE89" s="33"/>
      <c r="AF89" s="32"/>
      <c r="AG89" s="90"/>
      <c r="AH89" s="91"/>
      <c r="AI89" s="27">
        <v>0.05</v>
      </c>
      <c r="AJ89" s="27">
        <v>0.05</v>
      </c>
      <c r="AK89" s="28">
        <v>0.05</v>
      </c>
      <c r="AL89" s="27"/>
      <c r="AM89" s="27"/>
      <c r="AN89" s="27">
        <v>0.1</v>
      </c>
      <c r="AO89" s="27">
        <v>0.1</v>
      </c>
      <c r="AP89" s="36">
        <v>0.1</v>
      </c>
      <c r="AQ89" s="37"/>
      <c r="AS89" s="25" t="s">
        <v>79</v>
      </c>
      <c r="AT89" s="27" t="s">
        <v>52</v>
      </c>
      <c r="AU89" s="27"/>
      <c r="AW89" s="25" t="s">
        <v>670</v>
      </c>
      <c r="AX89" s="27" t="s">
        <v>95</v>
      </c>
      <c r="AY89" s="27"/>
      <c r="AZ89" s="32"/>
      <c r="BA89" s="41">
        <v>0</v>
      </c>
    </row>
    <row r="90" spans="1:54" x14ac:dyDescent="0.2">
      <c r="A90" s="25">
        <v>74</v>
      </c>
      <c r="B90" s="26">
        <v>45618</v>
      </c>
      <c r="C90" s="27" t="s">
        <v>200</v>
      </c>
      <c r="D90" s="25"/>
      <c r="E90" s="28"/>
      <c r="F90" s="27"/>
      <c r="G90" s="28"/>
      <c r="H90" s="27"/>
      <c r="I90" s="28"/>
      <c r="J90" s="27">
        <v>8</v>
      </c>
      <c r="K90" s="29" t="s">
        <v>35</v>
      </c>
      <c r="L90" s="173"/>
      <c r="M90" s="31"/>
      <c r="N90" s="27"/>
      <c r="P90" s="32"/>
      <c r="Q90" s="25"/>
      <c r="R90" s="27"/>
      <c r="S90" s="27"/>
      <c r="T90" s="28"/>
      <c r="U90" s="27"/>
      <c r="V90" s="27" t="s">
        <v>154</v>
      </c>
      <c r="W90" s="28"/>
      <c r="X90" s="33"/>
      <c r="Y90" s="32"/>
      <c r="Z90" s="25"/>
      <c r="AA90" s="27"/>
      <c r="AB90" s="28"/>
      <c r="AC90" s="27"/>
      <c r="AD90" s="27"/>
      <c r="AE90" s="33"/>
      <c r="AF90" s="32"/>
      <c r="AG90" s="90"/>
      <c r="AH90" s="91"/>
      <c r="AI90" s="27">
        <v>0.05</v>
      </c>
      <c r="AJ90" s="27">
        <v>0.05</v>
      </c>
      <c r="AK90" s="28">
        <v>0.05</v>
      </c>
      <c r="AL90" s="27"/>
      <c r="AM90" s="27"/>
      <c r="AN90" s="27">
        <v>0.1</v>
      </c>
      <c r="AO90" s="27">
        <v>0.1</v>
      </c>
      <c r="AP90" s="36">
        <v>0.1</v>
      </c>
      <c r="AQ90" s="37"/>
      <c r="AS90" s="25" t="s">
        <v>79</v>
      </c>
      <c r="AT90" s="27" t="s">
        <v>52</v>
      </c>
      <c r="AU90" s="27"/>
      <c r="AW90" s="25" t="s">
        <v>670</v>
      </c>
      <c r="AX90" s="27" t="s">
        <v>95</v>
      </c>
      <c r="AY90" s="27"/>
      <c r="AZ90" s="32"/>
      <c r="BA90" s="41">
        <v>0</v>
      </c>
    </row>
    <row r="91" spans="1:54" x14ac:dyDescent="0.2">
      <c r="A91" s="25">
        <v>75</v>
      </c>
      <c r="B91" s="26">
        <v>45619</v>
      </c>
      <c r="C91" s="27" t="s">
        <v>200</v>
      </c>
      <c r="D91" s="25"/>
      <c r="E91" s="28"/>
      <c r="F91" s="27"/>
      <c r="G91" s="28"/>
      <c r="H91" s="27"/>
      <c r="I91" s="28"/>
      <c r="J91" s="27">
        <v>8</v>
      </c>
      <c r="K91" s="29" t="s">
        <v>35</v>
      </c>
      <c r="L91" s="173"/>
      <c r="M91" s="31"/>
      <c r="N91" s="27"/>
      <c r="P91" s="32"/>
      <c r="Q91" s="25"/>
      <c r="R91" s="27"/>
      <c r="S91" s="27"/>
      <c r="T91" s="28"/>
      <c r="U91" s="27"/>
      <c r="V91" s="27" t="s">
        <v>154</v>
      </c>
      <c r="W91" s="28"/>
      <c r="X91" s="33"/>
      <c r="Y91" s="32"/>
      <c r="Z91" s="25"/>
      <c r="AA91" s="27"/>
      <c r="AB91" s="28"/>
      <c r="AC91" s="27"/>
      <c r="AD91" s="27"/>
      <c r="AE91" s="33"/>
      <c r="AF91" s="32"/>
      <c r="AG91" s="90"/>
      <c r="AH91" s="91"/>
      <c r="AI91" s="27">
        <v>0.05</v>
      </c>
      <c r="AJ91" s="27">
        <v>0.05</v>
      </c>
      <c r="AK91" s="28">
        <v>0.05</v>
      </c>
      <c r="AL91" s="27"/>
      <c r="AM91" s="27"/>
      <c r="AN91" s="27">
        <v>0.1</v>
      </c>
      <c r="AO91" s="27">
        <v>0.1</v>
      </c>
      <c r="AP91" s="36">
        <v>0.1</v>
      </c>
      <c r="AQ91" s="37"/>
      <c r="AR91" s="32"/>
      <c r="AS91" s="25" t="s">
        <v>79</v>
      </c>
      <c r="AT91" s="27" t="s">
        <v>52</v>
      </c>
      <c r="AU91" s="27"/>
      <c r="AW91" s="25" t="s">
        <v>370</v>
      </c>
      <c r="AX91" s="27" t="s">
        <v>95</v>
      </c>
      <c r="AY91" s="27"/>
      <c r="AZ91" s="32"/>
      <c r="BA91" s="41">
        <v>0</v>
      </c>
    </row>
    <row r="92" spans="1:54" x14ac:dyDescent="0.2">
      <c r="A92" s="25">
        <v>76</v>
      </c>
      <c r="B92" s="26">
        <v>45620</v>
      </c>
      <c r="C92" s="27" t="s">
        <v>200</v>
      </c>
      <c r="D92" s="25"/>
      <c r="E92" s="28"/>
      <c r="F92" s="27"/>
      <c r="G92" s="28"/>
      <c r="H92" s="27"/>
      <c r="I92" s="28"/>
      <c r="J92" s="27">
        <v>8</v>
      </c>
      <c r="K92" s="29" t="s">
        <v>35</v>
      </c>
      <c r="L92" s="173"/>
      <c r="M92" s="31"/>
      <c r="N92" s="27"/>
      <c r="P92" s="32"/>
      <c r="Q92" s="25"/>
      <c r="R92" s="27"/>
      <c r="S92" s="27"/>
      <c r="T92" s="28"/>
      <c r="U92" s="27"/>
      <c r="V92" s="27" t="s">
        <v>154</v>
      </c>
      <c r="W92" s="28"/>
      <c r="X92" s="33"/>
      <c r="Y92" s="32"/>
      <c r="Z92" s="25"/>
      <c r="AA92" s="27"/>
      <c r="AB92" s="28"/>
      <c r="AC92" s="27"/>
      <c r="AD92" s="27"/>
      <c r="AE92" s="33"/>
      <c r="AF92" s="32"/>
      <c r="AG92" s="90"/>
      <c r="AH92" s="91"/>
      <c r="AI92" s="27">
        <v>0.05</v>
      </c>
      <c r="AJ92" s="27">
        <v>0.05</v>
      </c>
      <c r="AK92" s="28">
        <v>0.05</v>
      </c>
      <c r="AL92" s="27"/>
      <c r="AM92" s="27"/>
      <c r="AN92" s="27">
        <v>0.1</v>
      </c>
      <c r="AO92" s="27">
        <v>0.1</v>
      </c>
      <c r="AP92" s="36">
        <v>0.1</v>
      </c>
      <c r="AQ92" s="37"/>
      <c r="AR92" s="32"/>
      <c r="AS92" s="25" t="s">
        <v>79</v>
      </c>
      <c r="AT92" s="27" t="s">
        <v>52</v>
      </c>
      <c r="AU92" s="27"/>
      <c r="AW92" s="25" t="s">
        <v>370</v>
      </c>
      <c r="AX92" s="27" t="s">
        <v>95</v>
      </c>
      <c r="AY92" s="27"/>
      <c r="AZ92" s="32"/>
      <c r="BA92" s="41">
        <v>0</v>
      </c>
    </row>
    <row r="93" spans="1:54" x14ac:dyDescent="0.2">
      <c r="A93" s="25">
        <v>77</v>
      </c>
      <c r="B93" s="26">
        <v>45621</v>
      </c>
      <c r="C93" s="27"/>
      <c r="D93" s="25"/>
      <c r="E93" s="28"/>
      <c r="F93" s="27"/>
      <c r="G93" s="28"/>
      <c r="H93" s="27"/>
      <c r="I93" s="28"/>
      <c r="J93" s="27">
        <v>8</v>
      </c>
      <c r="K93" s="29" t="s">
        <v>35</v>
      </c>
      <c r="L93" s="173"/>
      <c r="M93" s="31"/>
      <c r="N93" s="27"/>
      <c r="P93" s="32"/>
      <c r="Q93" s="25"/>
      <c r="R93" s="27"/>
      <c r="S93" s="27"/>
      <c r="T93" s="28"/>
      <c r="U93" s="27"/>
      <c r="V93" s="27" t="s">
        <v>154</v>
      </c>
      <c r="W93" s="28"/>
      <c r="X93" s="33"/>
      <c r="Y93" s="32"/>
      <c r="Z93" s="25"/>
      <c r="AA93" s="27"/>
      <c r="AB93" s="28"/>
      <c r="AC93" s="27"/>
      <c r="AD93" s="27"/>
      <c r="AE93" s="33"/>
      <c r="AF93" s="32"/>
      <c r="AG93" s="90"/>
      <c r="AH93" s="91"/>
      <c r="AI93" s="27">
        <v>0.05</v>
      </c>
      <c r="AJ93" s="27">
        <v>0.05</v>
      </c>
      <c r="AK93" s="28">
        <v>0.05</v>
      </c>
      <c r="AL93" s="27"/>
      <c r="AM93" s="27"/>
      <c r="AN93" s="27">
        <v>0.1</v>
      </c>
      <c r="AO93" s="27">
        <v>0.1</v>
      </c>
      <c r="AP93" s="36">
        <v>0.1</v>
      </c>
      <c r="AQ93" s="37" t="s">
        <v>675</v>
      </c>
      <c r="AR93" s="32"/>
      <c r="AS93" s="25" t="s">
        <v>79</v>
      </c>
      <c r="AT93" s="27" t="s">
        <v>52</v>
      </c>
      <c r="AU93" s="27"/>
      <c r="AW93" s="25" t="s">
        <v>370</v>
      </c>
      <c r="AX93" s="27" t="s">
        <v>95</v>
      </c>
      <c r="AY93" s="27"/>
      <c r="AZ93" s="32"/>
      <c r="BA93" s="41">
        <v>0</v>
      </c>
    </row>
    <row r="94" spans="1:54" x14ac:dyDescent="0.2">
      <c r="A94" s="25">
        <v>78</v>
      </c>
      <c r="B94" s="26">
        <v>45622</v>
      </c>
      <c r="C94" s="27" t="s">
        <v>200</v>
      </c>
      <c r="D94" s="25"/>
      <c r="E94" s="28"/>
      <c r="F94" s="27"/>
      <c r="G94" s="28"/>
      <c r="H94" s="27"/>
      <c r="I94" s="28"/>
      <c r="J94" s="27">
        <v>8</v>
      </c>
      <c r="K94" s="29" t="s">
        <v>35</v>
      </c>
      <c r="L94" s="173"/>
      <c r="M94" s="31"/>
      <c r="N94" s="27"/>
      <c r="P94" s="32"/>
      <c r="Q94" s="25"/>
      <c r="R94" s="27"/>
      <c r="S94" s="27"/>
      <c r="T94" s="28"/>
      <c r="U94" s="27"/>
      <c r="V94" s="27" t="s">
        <v>154</v>
      </c>
      <c r="W94" s="28"/>
      <c r="X94" s="33"/>
      <c r="Y94" s="32"/>
      <c r="Z94" s="25"/>
      <c r="AA94" s="27"/>
      <c r="AB94" s="28"/>
      <c r="AC94" s="27"/>
      <c r="AD94" s="27"/>
      <c r="AE94" s="33"/>
      <c r="AF94" s="32"/>
      <c r="AG94" s="90"/>
      <c r="AH94" s="91"/>
      <c r="AI94" s="27"/>
      <c r="AJ94" s="27"/>
      <c r="AK94" s="28"/>
      <c r="AL94" s="27"/>
      <c r="AM94" s="27"/>
      <c r="AN94" s="27">
        <v>0.2</v>
      </c>
      <c r="AO94" s="27">
        <v>0.2</v>
      </c>
      <c r="AP94" s="36">
        <v>0.2</v>
      </c>
      <c r="AQ94" s="37"/>
      <c r="AR94" s="32"/>
      <c r="AS94" s="25" t="s">
        <v>486</v>
      </c>
      <c r="AT94" s="27" t="s">
        <v>52</v>
      </c>
      <c r="AU94" s="27" t="s">
        <v>676</v>
      </c>
      <c r="AW94" s="25" t="s">
        <v>370</v>
      </c>
      <c r="AX94" s="27" t="s">
        <v>95</v>
      </c>
      <c r="AY94" s="27"/>
      <c r="AZ94" s="32"/>
      <c r="BA94" s="41">
        <v>0</v>
      </c>
    </row>
    <row r="95" spans="1:54" x14ac:dyDescent="0.2">
      <c r="A95" s="25">
        <v>79</v>
      </c>
      <c r="B95" s="26">
        <v>45623</v>
      </c>
      <c r="C95" s="27" t="s">
        <v>112</v>
      </c>
      <c r="D95" s="25"/>
      <c r="E95" s="28"/>
      <c r="F95" s="27"/>
      <c r="G95" s="28"/>
      <c r="H95" s="27"/>
      <c r="I95" s="28"/>
      <c r="J95" s="27">
        <v>8</v>
      </c>
      <c r="K95" s="29" t="s">
        <v>35</v>
      </c>
      <c r="L95" s="173"/>
      <c r="M95" s="31"/>
      <c r="N95" s="27"/>
      <c r="P95" s="32"/>
      <c r="Q95" s="25"/>
      <c r="R95" s="27"/>
      <c r="S95" s="27"/>
      <c r="T95" s="28"/>
      <c r="U95" s="27" t="s">
        <v>154</v>
      </c>
      <c r="V95" s="27"/>
      <c r="W95" s="28"/>
      <c r="X95" s="33"/>
      <c r="Y95" s="32" t="s">
        <v>677</v>
      </c>
      <c r="Z95" s="25"/>
      <c r="AA95" s="27"/>
      <c r="AB95" s="28"/>
      <c r="AC95" s="27"/>
      <c r="AD95" s="27"/>
      <c r="AE95" s="33"/>
      <c r="AF95" s="32"/>
      <c r="AG95" s="90"/>
      <c r="AH95" s="91"/>
      <c r="AI95" s="27"/>
      <c r="AJ95" s="27"/>
      <c r="AK95" s="28"/>
      <c r="AL95" s="27"/>
      <c r="AM95" s="27"/>
      <c r="AN95" s="27">
        <v>0.2</v>
      </c>
      <c r="AO95" s="27">
        <v>0.2</v>
      </c>
      <c r="AP95" s="36">
        <v>0.2</v>
      </c>
      <c r="AQ95" s="37"/>
      <c r="AR95" s="32"/>
      <c r="AS95" s="25" t="s">
        <v>486</v>
      </c>
      <c r="AT95" s="27" t="s">
        <v>52</v>
      </c>
      <c r="AU95" s="27"/>
      <c r="AW95" s="25" t="s">
        <v>370</v>
      </c>
      <c r="AX95" s="27" t="s">
        <v>95</v>
      </c>
      <c r="AY95" s="27"/>
      <c r="AZ95" s="32"/>
      <c r="BA95" s="41">
        <v>0</v>
      </c>
    </row>
    <row r="96" spans="1:54" x14ac:dyDescent="0.2">
      <c r="A96" s="25">
        <v>80</v>
      </c>
      <c r="B96" s="26">
        <v>45624</v>
      </c>
      <c r="C96" s="27" t="s">
        <v>200</v>
      </c>
      <c r="D96" s="25"/>
      <c r="E96" s="28"/>
      <c r="F96" s="27"/>
      <c r="G96" s="28"/>
      <c r="H96" s="27"/>
      <c r="I96" s="28"/>
      <c r="J96" s="27">
        <v>8</v>
      </c>
      <c r="K96" s="29" t="s">
        <v>35</v>
      </c>
      <c r="L96" s="173"/>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v>0.2</v>
      </c>
      <c r="AO96" s="27">
        <v>0.2</v>
      </c>
      <c r="AP96" s="36">
        <v>0.2</v>
      </c>
      <c r="AQ96" s="37"/>
      <c r="AR96" s="32"/>
      <c r="AS96" s="25" t="s">
        <v>486</v>
      </c>
      <c r="AT96" s="27" t="s">
        <v>52</v>
      </c>
      <c r="AU96" s="27"/>
      <c r="AW96" s="25" t="s">
        <v>370</v>
      </c>
      <c r="AX96" s="27" t="s">
        <v>95</v>
      </c>
      <c r="AY96" s="27"/>
      <c r="AZ96" s="32"/>
      <c r="BA96" s="41">
        <v>0</v>
      </c>
    </row>
    <row r="97" spans="1:54" x14ac:dyDescent="0.2">
      <c r="A97" s="25">
        <v>81</v>
      </c>
      <c r="B97" s="26">
        <v>45625</v>
      </c>
      <c r="C97" s="27" t="s">
        <v>200</v>
      </c>
      <c r="D97" s="25"/>
      <c r="E97" s="28"/>
      <c r="F97" s="27"/>
      <c r="G97" s="28"/>
      <c r="H97" s="27"/>
      <c r="I97" s="28"/>
      <c r="J97" s="27">
        <v>8</v>
      </c>
      <c r="K97" s="29" t="s">
        <v>35</v>
      </c>
      <c r="L97" s="173"/>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v>0.2</v>
      </c>
      <c r="AO97" s="27">
        <v>0.2</v>
      </c>
      <c r="AP97" s="36">
        <v>0.2</v>
      </c>
      <c r="AQ97" s="37"/>
      <c r="AR97" s="32"/>
      <c r="AS97" s="25" t="s">
        <v>486</v>
      </c>
      <c r="AT97" s="27" t="s">
        <v>52</v>
      </c>
      <c r="AU97" s="27"/>
      <c r="AW97" s="25" t="s">
        <v>370</v>
      </c>
      <c r="AX97" s="27" t="s">
        <v>95</v>
      </c>
      <c r="AY97" s="27"/>
      <c r="AZ97" s="32"/>
      <c r="BA97" s="41">
        <v>0</v>
      </c>
    </row>
    <row r="98" spans="1:54" x14ac:dyDescent="0.2">
      <c r="A98" s="25">
        <v>82</v>
      </c>
      <c r="B98" s="26">
        <v>45626</v>
      </c>
      <c r="C98" s="27" t="s">
        <v>200</v>
      </c>
      <c r="D98" s="25"/>
      <c r="E98" s="28"/>
      <c r="F98" s="27"/>
      <c r="G98" s="28"/>
      <c r="H98" s="27"/>
      <c r="I98" s="28"/>
      <c r="J98" s="27">
        <v>8</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v>0.2</v>
      </c>
      <c r="AO98" s="27">
        <v>0.2</v>
      </c>
      <c r="AP98" s="36">
        <v>0.2</v>
      </c>
      <c r="AQ98" s="37"/>
      <c r="AR98" s="32"/>
      <c r="AS98" s="25" t="s">
        <v>486</v>
      </c>
      <c r="AT98" s="27" t="s">
        <v>52</v>
      </c>
      <c r="AU98" s="27"/>
      <c r="AW98" s="25" t="s">
        <v>370</v>
      </c>
      <c r="AX98" s="27" t="s">
        <v>95</v>
      </c>
      <c r="AY98" s="27"/>
      <c r="AZ98" s="32"/>
      <c r="BA98" s="41">
        <v>1</v>
      </c>
      <c r="BB98" t="s">
        <v>678</v>
      </c>
    </row>
    <row r="99" spans="1:54" x14ac:dyDescent="0.2">
      <c r="A99" s="25">
        <v>83</v>
      </c>
      <c r="B99" s="26">
        <v>45627</v>
      </c>
      <c r="C99" s="27" t="s">
        <v>232</v>
      </c>
      <c r="D99" s="25"/>
      <c r="E99" s="28"/>
      <c r="F99" s="27"/>
      <c r="G99" s="28"/>
      <c r="H99" s="27"/>
      <c r="I99" s="28"/>
      <c r="J99" s="27">
        <v>8</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v>0.2</v>
      </c>
      <c r="AO99" s="27">
        <v>0.2</v>
      </c>
      <c r="AP99" s="36">
        <v>0.2</v>
      </c>
      <c r="AQ99" s="37"/>
      <c r="AR99" s="32"/>
      <c r="AS99" s="25" t="s">
        <v>486</v>
      </c>
      <c r="AT99" s="27" t="s">
        <v>52</v>
      </c>
      <c r="AU99" s="27"/>
      <c r="AW99" s="25" t="s">
        <v>370</v>
      </c>
      <c r="AX99" s="27" t="s">
        <v>95</v>
      </c>
      <c r="AY99" s="27"/>
      <c r="AZ99" s="32"/>
      <c r="BA99" s="41">
        <v>0</v>
      </c>
    </row>
    <row r="100" spans="1:54" x14ac:dyDescent="0.2">
      <c r="A100" s="25">
        <v>84</v>
      </c>
      <c r="B100" s="26">
        <v>45628</v>
      </c>
      <c r="C100" s="27" t="s">
        <v>232</v>
      </c>
      <c r="D100" s="25"/>
      <c r="E100" s="28"/>
      <c r="F100" s="27"/>
      <c r="G100" s="28"/>
      <c r="H100" s="27"/>
      <c r="I100" s="28"/>
      <c r="J100" s="27">
        <v>8</v>
      </c>
      <c r="K100" s="29" t="s">
        <v>35</v>
      </c>
      <c r="L100" s="39"/>
      <c r="M100" s="31"/>
      <c r="N100" s="27"/>
      <c r="P100" s="32"/>
      <c r="Q100" s="25"/>
      <c r="R100" s="27"/>
      <c r="S100" s="27"/>
      <c r="T100" s="28"/>
      <c r="U100" s="27"/>
      <c r="V100" s="27"/>
      <c r="W100" s="28"/>
      <c r="X100" s="33"/>
      <c r="Y100" s="32"/>
      <c r="Z100" s="25"/>
      <c r="AA100" s="27"/>
      <c r="AB100" s="28"/>
      <c r="AC100" s="27"/>
      <c r="AD100" s="27"/>
      <c r="AE100" s="33"/>
      <c r="AF100" s="32"/>
      <c r="AG100" s="90"/>
      <c r="AH100" s="91"/>
      <c r="AI100" s="27"/>
      <c r="AJ100" s="27"/>
      <c r="AK100" s="28"/>
      <c r="AL100" s="27"/>
      <c r="AM100" s="27"/>
      <c r="AN100" s="27">
        <v>0.2</v>
      </c>
      <c r="AO100" s="27">
        <v>0.2</v>
      </c>
      <c r="AP100" s="36">
        <v>0.2</v>
      </c>
      <c r="AQ100" s="37"/>
      <c r="AR100" s="32"/>
      <c r="AS100" s="25" t="s">
        <v>486</v>
      </c>
      <c r="AT100" s="27" t="s">
        <v>52</v>
      </c>
      <c r="AU100" s="27"/>
      <c r="AW100" s="25" t="s">
        <v>370</v>
      </c>
      <c r="AX100" s="27" t="s">
        <v>95</v>
      </c>
      <c r="AY100" s="27"/>
      <c r="AZ100" s="32"/>
      <c r="BA100" s="41">
        <v>0</v>
      </c>
    </row>
    <row r="101" spans="1:54" x14ac:dyDescent="0.2">
      <c r="A101" s="25">
        <v>85</v>
      </c>
      <c r="B101" s="26">
        <v>45629</v>
      </c>
      <c r="C101" s="27" t="s">
        <v>232</v>
      </c>
      <c r="D101" s="25"/>
      <c r="E101" s="28"/>
      <c r="F101" s="27"/>
      <c r="G101" s="28"/>
      <c r="H101" s="27"/>
      <c r="I101" s="28"/>
      <c r="J101" s="27">
        <v>8</v>
      </c>
      <c r="K101" s="29" t="s">
        <v>35</v>
      </c>
      <c r="L101" s="39"/>
      <c r="M101" s="31"/>
      <c r="N101" s="27"/>
      <c r="P101" s="32"/>
      <c r="Q101" s="25"/>
      <c r="R101" s="27"/>
      <c r="S101" s="27"/>
      <c r="T101" s="28"/>
      <c r="U101" s="27"/>
      <c r="V101" s="27"/>
      <c r="W101" s="28"/>
      <c r="X101" s="33"/>
      <c r="Y101" s="32"/>
      <c r="Z101" s="25"/>
      <c r="AA101" s="27"/>
      <c r="AB101" s="28"/>
      <c r="AC101" s="27"/>
      <c r="AD101" s="27"/>
      <c r="AE101" s="33"/>
      <c r="AF101" s="32"/>
      <c r="AG101" s="90"/>
      <c r="AH101" s="91"/>
      <c r="AI101" s="27"/>
      <c r="AJ101" s="27"/>
      <c r="AK101" s="28"/>
      <c r="AL101" s="27"/>
      <c r="AM101" s="27"/>
      <c r="AN101" s="27">
        <v>0.2</v>
      </c>
      <c r="AO101" s="27">
        <v>0.2</v>
      </c>
      <c r="AP101" s="36">
        <v>0.2</v>
      </c>
      <c r="AQ101" s="37"/>
      <c r="AR101" s="32"/>
      <c r="AS101" s="25" t="s">
        <v>486</v>
      </c>
      <c r="AT101" s="27" t="s">
        <v>52</v>
      </c>
      <c r="AU101" s="27"/>
      <c r="AW101" s="25" t="s">
        <v>370</v>
      </c>
      <c r="AX101" s="27" t="s">
        <v>95</v>
      </c>
      <c r="AY101" s="27"/>
      <c r="AZ101" s="32"/>
      <c r="BA101" s="41">
        <v>0</v>
      </c>
    </row>
    <row r="102" spans="1:54" x14ac:dyDescent="0.2">
      <c r="A102" s="25">
        <v>86</v>
      </c>
      <c r="B102" s="26">
        <v>45630</v>
      </c>
      <c r="C102" s="27" t="s">
        <v>227</v>
      </c>
      <c r="D102" s="25"/>
      <c r="E102" s="28"/>
      <c r="F102" s="27"/>
      <c r="G102" s="28"/>
      <c r="H102" s="27"/>
      <c r="I102" s="28"/>
      <c r="J102" s="27">
        <v>8</v>
      </c>
      <c r="K102" s="29" t="s">
        <v>35</v>
      </c>
      <c r="L102" s="39" t="s">
        <v>679</v>
      </c>
      <c r="M102" s="31"/>
      <c r="N102" s="27"/>
      <c r="P102" s="32"/>
      <c r="Q102" s="25"/>
      <c r="R102" s="27"/>
      <c r="S102" s="27"/>
      <c r="T102" s="28"/>
      <c r="U102" s="27"/>
      <c r="V102" s="27"/>
      <c r="W102" s="28"/>
      <c r="X102" s="33"/>
      <c r="Y102" s="32"/>
      <c r="Z102" s="25"/>
      <c r="AA102" s="27"/>
      <c r="AB102" s="28"/>
      <c r="AC102" s="27"/>
      <c r="AD102" s="27"/>
      <c r="AE102" s="33"/>
      <c r="AF102" s="32"/>
      <c r="AG102" s="90"/>
      <c r="AH102" s="91"/>
      <c r="AI102" s="27"/>
      <c r="AJ102" s="27"/>
      <c r="AK102" s="28"/>
      <c r="AL102" s="27"/>
      <c r="AM102" s="27"/>
      <c r="AN102" s="27">
        <v>0.2</v>
      </c>
      <c r="AO102" s="27">
        <v>0.2</v>
      </c>
      <c r="AP102" s="36">
        <v>0.2</v>
      </c>
      <c r="AQ102" s="37"/>
      <c r="AR102" s="32"/>
      <c r="AS102" s="25" t="s">
        <v>486</v>
      </c>
      <c r="AT102" s="27" t="s">
        <v>52</v>
      </c>
      <c r="AU102" s="27"/>
      <c r="AW102" s="25" t="s">
        <v>370</v>
      </c>
      <c r="AX102" s="27" t="s">
        <v>95</v>
      </c>
      <c r="AY102" s="27"/>
      <c r="AZ102" s="32"/>
      <c r="BA102" s="41">
        <v>0</v>
      </c>
    </row>
    <row r="103" spans="1:54" x14ac:dyDescent="0.2">
      <c r="A103" s="25">
        <v>87</v>
      </c>
      <c r="B103" s="26">
        <v>45631</v>
      </c>
      <c r="C103" s="27" t="s">
        <v>232</v>
      </c>
      <c r="D103" s="25"/>
      <c r="E103" s="28"/>
      <c r="F103" s="27"/>
      <c r="G103" s="28"/>
      <c r="H103" s="27"/>
      <c r="I103" s="28"/>
      <c r="J103" s="27">
        <v>8</v>
      </c>
      <c r="K103" s="29" t="s">
        <v>35</v>
      </c>
      <c r="L103" s="39"/>
      <c r="M103" s="31"/>
      <c r="N103" s="27"/>
      <c r="P103" s="32"/>
      <c r="Q103" s="25"/>
      <c r="R103" s="27"/>
      <c r="S103" s="27"/>
      <c r="T103" s="28"/>
      <c r="U103" s="27"/>
      <c r="V103" s="27"/>
      <c r="W103" s="28"/>
      <c r="X103" s="33"/>
      <c r="Y103" s="32"/>
      <c r="Z103" s="25"/>
      <c r="AA103" s="27"/>
      <c r="AB103" s="28"/>
      <c r="AC103" s="27"/>
      <c r="AD103" s="27"/>
      <c r="AE103" s="33"/>
      <c r="AF103" s="32"/>
      <c r="AG103" s="90"/>
      <c r="AH103" s="91"/>
      <c r="AI103" s="27"/>
      <c r="AJ103" s="27"/>
      <c r="AK103" s="28"/>
      <c r="AL103" s="27"/>
      <c r="AM103" s="27"/>
      <c r="AN103" s="27">
        <v>0.2</v>
      </c>
      <c r="AO103" s="27">
        <v>0.2</v>
      </c>
      <c r="AP103" s="36">
        <v>0.2</v>
      </c>
      <c r="AQ103" s="37"/>
      <c r="AR103" s="32"/>
      <c r="AS103" s="25" t="s">
        <v>486</v>
      </c>
      <c r="AT103" s="27" t="s">
        <v>52</v>
      </c>
      <c r="AU103" s="27"/>
      <c r="AW103" s="25" t="s">
        <v>370</v>
      </c>
      <c r="AX103" s="27" t="s">
        <v>95</v>
      </c>
      <c r="AY103" s="27"/>
      <c r="AZ103" s="32"/>
      <c r="BA103" s="41">
        <v>0</v>
      </c>
    </row>
    <row r="104" spans="1:54" x14ac:dyDescent="0.2">
      <c r="A104" s="25">
        <v>88</v>
      </c>
      <c r="B104" s="26">
        <v>45632</v>
      </c>
      <c r="C104" s="27" t="s">
        <v>200</v>
      </c>
      <c r="D104" s="25"/>
      <c r="E104" s="28"/>
      <c r="F104" s="27"/>
      <c r="G104" s="28"/>
      <c r="H104" s="27"/>
      <c r="I104" s="28"/>
      <c r="J104" s="27">
        <v>8</v>
      </c>
      <c r="K104" s="29" t="s">
        <v>35</v>
      </c>
      <c r="L104" s="39" t="s">
        <v>680</v>
      </c>
      <c r="M104" s="31"/>
      <c r="N104" s="27"/>
      <c r="P104" s="32"/>
      <c r="Q104" s="25"/>
      <c r="R104" s="27"/>
      <c r="S104" s="27"/>
      <c r="T104" s="28"/>
      <c r="U104" s="27"/>
      <c r="V104" s="27"/>
      <c r="W104" s="28"/>
      <c r="X104" s="33"/>
      <c r="Y104" s="32"/>
      <c r="Z104" s="25"/>
      <c r="AA104" s="27"/>
      <c r="AB104" s="28"/>
      <c r="AC104" s="27"/>
      <c r="AD104" s="27"/>
      <c r="AE104" s="33"/>
      <c r="AF104" s="32"/>
      <c r="AG104" s="90"/>
      <c r="AH104" s="91"/>
      <c r="AI104" s="27"/>
      <c r="AJ104" s="27"/>
      <c r="AK104" s="28"/>
      <c r="AL104" s="27"/>
      <c r="AM104" s="27"/>
      <c r="AN104" s="27"/>
      <c r="AO104" s="27"/>
      <c r="AP104" s="36"/>
      <c r="AQ104" s="37"/>
      <c r="AR104" s="32"/>
      <c r="AS104" s="25" t="s">
        <v>96</v>
      </c>
      <c r="AT104" s="27" t="s">
        <v>52</v>
      </c>
      <c r="AU104" s="27"/>
      <c r="AW104" s="25" t="s">
        <v>370</v>
      </c>
      <c r="AX104" s="27" t="s">
        <v>95</v>
      </c>
      <c r="AY104" s="27"/>
      <c r="AZ104" s="32"/>
      <c r="BA104" s="41"/>
    </row>
    <row r="105" spans="1:54" x14ac:dyDescent="0.2">
      <c r="A105" s="25">
        <v>89</v>
      </c>
      <c r="B105" s="26">
        <v>45633</v>
      </c>
      <c r="C105" s="27"/>
      <c r="D105" s="25"/>
      <c r="E105" s="28"/>
      <c r="F105" s="27"/>
      <c r="G105" s="28"/>
      <c r="H105" s="27"/>
      <c r="I105" s="28"/>
      <c r="J105" s="27">
        <v>8</v>
      </c>
      <c r="K105" s="29" t="s">
        <v>35</v>
      </c>
      <c r="L105" s="39"/>
      <c r="M105" s="31"/>
      <c r="N105" s="27"/>
      <c r="P105" s="32"/>
      <c r="Q105" s="25"/>
      <c r="R105" s="27"/>
      <c r="S105" s="27"/>
      <c r="T105" s="28"/>
      <c r="U105" s="27"/>
      <c r="V105" s="27"/>
      <c r="W105" s="28"/>
      <c r="X105" s="33"/>
      <c r="Y105" s="32"/>
      <c r="Z105" s="25"/>
      <c r="AA105" s="27"/>
      <c r="AB105" s="28"/>
      <c r="AC105" s="27"/>
      <c r="AD105" s="27"/>
      <c r="AE105" s="33"/>
      <c r="AF105" s="32"/>
      <c r="AG105" s="90"/>
      <c r="AH105" s="91"/>
      <c r="AI105" s="27"/>
      <c r="AJ105" s="27"/>
      <c r="AK105" s="28"/>
      <c r="AL105" s="27"/>
      <c r="AM105" s="27"/>
      <c r="AN105" s="27"/>
      <c r="AO105" s="27"/>
      <c r="AP105" s="36"/>
      <c r="AQ105" s="37"/>
      <c r="AR105" s="32"/>
      <c r="AS105" s="25" t="s">
        <v>96</v>
      </c>
      <c r="AT105" s="27" t="s">
        <v>52</v>
      </c>
      <c r="AU105" s="27"/>
      <c r="AW105" s="25" t="s">
        <v>370</v>
      </c>
      <c r="AX105" s="27" t="s">
        <v>95</v>
      </c>
      <c r="AY105" s="27"/>
      <c r="AZ105" s="32"/>
      <c r="BA105" s="41"/>
    </row>
    <row r="106" spans="1:54" x14ac:dyDescent="0.2">
      <c r="A106" s="25">
        <v>90</v>
      </c>
      <c r="B106" s="26">
        <v>45634</v>
      </c>
      <c r="C106" s="27"/>
      <c r="D106" s="25"/>
      <c r="E106" s="28"/>
      <c r="F106" s="27"/>
      <c r="G106" s="28"/>
      <c r="H106" s="27"/>
      <c r="I106" s="28"/>
      <c r="J106" s="27">
        <v>8</v>
      </c>
      <c r="K106" s="29" t="s">
        <v>35</v>
      </c>
      <c r="L106" s="39"/>
      <c r="M106" s="31"/>
      <c r="N106" s="27"/>
      <c r="P106" s="32"/>
      <c r="Q106" s="25"/>
      <c r="R106" s="27"/>
      <c r="S106" s="27"/>
      <c r="T106" s="28"/>
      <c r="U106" s="27"/>
      <c r="V106" s="27"/>
      <c r="W106" s="28"/>
      <c r="X106" s="33"/>
      <c r="Y106" s="32"/>
      <c r="Z106" s="25"/>
      <c r="AA106" s="27"/>
      <c r="AB106" s="28"/>
      <c r="AC106" s="27"/>
      <c r="AD106" s="27"/>
      <c r="AE106" s="33"/>
      <c r="AF106" s="32"/>
      <c r="AG106" s="90"/>
      <c r="AH106" s="91"/>
      <c r="AI106" s="27"/>
      <c r="AJ106" s="27"/>
      <c r="AK106" s="28"/>
      <c r="AL106" s="27"/>
      <c r="AM106" s="27"/>
      <c r="AN106" s="27"/>
      <c r="AO106" s="27"/>
      <c r="AP106" s="36"/>
      <c r="AQ106" s="37"/>
      <c r="AR106" s="32"/>
      <c r="AS106" s="25" t="s">
        <v>96</v>
      </c>
      <c r="AT106" s="27" t="s">
        <v>52</v>
      </c>
      <c r="AU106" s="27"/>
      <c r="AW106" s="25" t="s">
        <v>370</v>
      </c>
      <c r="AX106" s="27" t="s">
        <v>95</v>
      </c>
      <c r="AY106" s="27"/>
      <c r="AZ106" s="32"/>
      <c r="BA106" s="41"/>
    </row>
    <row r="107" spans="1:54" x14ac:dyDescent="0.2">
      <c r="A107" s="25">
        <v>91</v>
      </c>
      <c r="B107" s="26"/>
      <c r="C107" s="27"/>
      <c r="AS107" s="25" t="s">
        <v>96</v>
      </c>
      <c r="AT107" s="27" t="s">
        <v>52</v>
      </c>
      <c r="AU107" s="27"/>
      <c r="AW107" s="25" t="s">
        <v>370</v>
      </c>
      <c r="AX107" s="27" t="s">
        <v>95</v>
      </c>
    </row>
    <row r="108" spans="1:54" x14ac:dyDescent="0.2">
      <c r="A108" s="25">
        <v>92</v>
      </c>
      <c r="B108" s="26"/>
      <c r="C108" s="27"/>
      <c r="AS108" s="25" t="s">
        <v>96</v>
      </c>
      <c r="AT108" s="27" t="s">
        <v>52</v>
      </c>
      <c r="AU108" s="27"/>
      <c r="AW108" s="25" t="s">
        <v>90</v>
      </c>
      <c r="AX108" s="27" t="s">
        <v>95</v>
      </c>
    </row>
    <row r="109" spans="1:54" x14ac:dyDescent="0.2">
      <c r="A109" s="25">
        <v>93</v>
      </c>
      <c r="B109" s="26"/>
      <c r="C109" s="27"/>
      <c r="AS109" s="25" t="s">
        <v>96</v>
      </c>
      <c r="AT109" s="27" t="s">
        <v>52</v>
      </c>
      <c r="AU109" s="27"/>
      <c r="AW109" s="25" t="s">
        <v>90</v>
      </c>
      <c r="AX109" s="27" t="s">
        <v>95</v>
      </c>
    </row>
    <row r="110" spans="1:54" x14ac:dyDescent="0.2">
      <c r="A110" s="25">
        <v>94</v>
      </c>
      <c r="B110" s="26"/>
      <c r="C110" s="27"/>
      <c r="AS110" s="25" t="s">
        <v>96</v>
      </c>
      <c r="AT110" s="27" t="s">
        <v>52</v>
      </c>
      <c r="AU110" s="27"/>
      <c r="AW110" s="25" t="s">
        <v>90</v>
      </c>
      <c r="AX110" s="27" t="s">
        <v>95</v>
      </c>
    </row>
    <row r="111" spans="1:54" x14ac:dyDescent="0.2">
      <c r="A111" s="25">
        <v>95</v>
      </c>
      <c r="B111" s="26"/>
      <c r="C111" s="27"/>
      <c r="AS111" s="25" t="s">
        <v>96</v>
      </c>
      <c r="AT111" s="27" t="s">
        <v>52</v>
      </c>
      <c r="AU111" s="27"/>
      <c r="AW111" s="25" t="s">
        <v>90</v>
      </c>
      <c r="AX111" s="27" t="s">
        <v>95</v>
      </c>
    </row>
    <row r="112" spans="1:54" x14ac:dyDescent="0.2">
      <c r="A112" s="25">
        <v>96</v>
      </c>
      <c r="B112" s="26"/>
      <c r="C112" s="27"/>
      <c r="AS112" s="25" t="s">
        <v>96</v>
      </c>
      <c r="AT112" s="27" t="s">
        <v>52</v>
      </c>
      <c r="AU112" s="27"/>
      <c r="AW112" s="25" t="s">
        <v>90</v>
      </c>
      <c r="AX112" s="27" t="s">
        <v>95</v>
      </c>
      <c r="BA112">
        <v>0</v>
      </c>
    </row>
    <row r="113" spans="1:53" x14ac:dyDescent="0.2">
      <c r="A113" s="25">
        <v>97</v>
      </c>
      <c r="B113" s="26"/>
      <c r="C113" s="27"/>
      <c r="AS113" s="25" t="s">
        <v>96</v>
      </c>
      <c r="AT113" s="27" t="s">
        <v>52</v>
      </c>
      <c r="AU113" s="27"/>
      <c r="AW113" s="25" t="s">
        <v>90</v>
      </c>
      <c r="AX113" s="27" t="s">
        <v>95</v>
      </c>
    </row>
    <row r="114" spans="1:53" x14ac:dyDescent="0.2">
      <c r="A114" s="25">
        <v>98</v>
      </c>
      <c r="B114" s="26"/>
      <c r="C114" s="27"/>
      <c r="K114" s="172"/>
      <c r="AS114" s="25" t="s">
        <v>96</v>
      </c>
      <c r="AT114" s="27" t="s">
        <v>52</v>
      </c>
      <c r="AU114" s="27"/>
      <c r="AW114" s="25" t="s">
        <v>90</v>
      </c>
      <c r="AX114" s="27" t="s">
        <v>95</v>
      </c>
      <c r="BA114">
        <v>0</v>
      </c>
    </row>
    <row r="115" spans="1:53" x14ac:dyDescent="0.2">
      <c r="A115" s="25">
        <v>99</v>
      </c>
      <c r="B115" s="26"/>
      <c r="AS115" s="25" t="s">
        <v>96</v>
      </c>
      <c r="AT115" s="27" t="s">
        <v>52</v>
      </c>
      <c r="AU115" s="27"/>
      <c r="AW115" s="25" t="s">
        <v>90</v>
      </c>
      <c r="AX115" s="27" t="s">
        <v>95</v>
      </c>
    </row>
    <row r="116" spans="1:53" x14ac:dyDescent="0.2">
      <c r="A116" s="25">
        <v>100</v>
      </c>
      <c r="B116" s="26"/>
      <c r="C116" s="27"/>
      <c r="AS116" s="25" t="s">
        <v>96</v>
      </c>
      <c r="AT116" s="27" t="s">
        <v>52</v>
      </c>
      <c r="AU116" s="27"/>
      <c r="AW116" s="25" t="s">
        <v>90</v>
      </c>
      <c r="AX116" s="27" t="s">
        <v>95</v>
      </c>
    </row>
    <row r="117" spans="1:53" x14ac:dyDescent="0.2">
      <c r="A117" s="25">
        <v>101</v>
      </c>
      <c r="B117" s="26"/>
      <c r="C117" s="27"/>
      <c r="AS117" s="25" t="s">
        <v>96</v>
      </c>
      <c r="AT117" s="27" t="s">
        <v>52</v>
      </c>
      <c r="AU117" s="27"/>
      <c r="AW117" s="25" t="s">
        <v>90</v>
      </c>
      <c r="AX117" s="27" t="s">
        <v>95</v>
      </c>
    </row>
    <row r="118" spans="1:53" x14ac:dyDescent="0.2">
      <c r="A118" s="25">
        <v>102</v>
      </c>
      <c r="B118" s="26"/>
      <c r="C118" s="27"/>
      <c r="AS118" s="25" t="s">
        <v>96</v>
      </c>
      <c r="AT118" s="27" t="s">
        <v>52</v>
      </c>
      <c r="AU118" s="27"/>
      <c r="AW118" s="25" t="s">
        <v>90</v>
      </c>
      <c r="AX118" s="27" t="s">
        <v>95</v>
      </c>
    </row>
    <row r="119" spans="1:53" x14ac:dyDescent="0.2">
      <c r="A119" s="25">
        <v>103</v>
      </c>
      <c r="B119" s="26"/>
      <c r="C119" s="27"/>
      <c r="AS119" s="25" t="s">
        <v>96</v>
      </c>
      <c r="AT119" s="27" t="s">
        <v>52</v>
      </c>
      <c r="AU119" s="27"/>
      <c r="AW119" s="25" t="s">
        <v>90</v>
      </c>
      <c r="AX119" s="27" t="s">
        <v>95</v>
      </c>
    </row>
    <row r="120" spans="1:53" x14ac:dyDescent="0.2">
      <c r="A120" s="25">
        <v>104</v>
      </c>
      <c r="B120" s="26"/>
      <c r="C120" s="27"/>
      <c r="AS120" s="25" t="s">
        <v>96</v>
      </c>
      <c r="AT120" s="27" t="s">
        <v>52</v>
      </c>
      <c r="AU120" s="27"/>
      <c r="AW120" s="25" t="s">
        <v>90</v>
      </c>
      <c r="AX120" s="27" t="s">
        <v>95</v>
      </c>
    </row>
    <row r="121" spans="1:53" x14ac:dyDescent="0.2">
      <c r="A121" s="25">
        <v>105</v>
      </c>
      <c r="B121" s="26"/>
      <c r="C121" s="27"/>
      <c r="AS121" s="25" t="s">
        <v>96</v>
      </c>
      <c r="AT121" s="27" t="s">
        <v>52</v>
      </c>
      <c r="AU121" s="27"/>
      <c r="AW121" s="25" t="s">
        <v>90</v>
      </c>
      <c r="AX121" s="27" t="s">
        <v>95</v>
      </c>
    </row>
    <row r="122" spans="1:53" x14ac:dyDescent="0.2">
      <c r="A122" s="25">
        <v>106</v>
      </c>
      <c r="B122" s="26"/>
    </row>
    <row r="123" spans="1:53" x14ac:dyDescent="0.2">
      <c r="A123" s="25">
        <v>107</v>
      </c>
      <c r="B123" s="26"/>
      <c r="C123" s="27"/>
    </row>
    <row r="124" spans="1:53" x14ac:dyDescent="0.2">
      <c r="A124" s="25">
        <v>108</v>
      </c>
      <c r="B124" s="26"/>
      <c r="C124" s="27"/>
    </row>
    <row r="125" spans="1:53" x14ac:dyDescent="0.2">
      <c r="A125" s="25">
        <v>109</v>
      </c>
      <c r="B125" s="26"/>
      <c r="C125" s="27"/>
    </row>
    <row r="126" spans="1:53" x14ac:dyDescent="0.2">
      <c r="A126" s="25">
        <v>110</v>
      </c>
      <c r="B126" s="26"/>
      <c r="C126" s="27"/>
    </row>
    <row r="127" spans="1:53" x14ac:dyDescent="0.2">
      <c r="A127" s="25">
        <v>111</v>
      </c>
      <c r="B127" s="26"/>
      <c r="C127" s="27"/>
    </row>
    <row r="128" spans="1:53" s="173" customFormat="1" x14ac:dyDescent="0.2">
      <c r="A128" s="173">
        <v>112</v>
      </c>
      <c r="B128" s="26"/>
    </row>
    <row r="129" spans="1:3" x14ac:dyDescent="0.2">
      <c r="A129" s="25">
        <v>113</v>
      </c>
      <c r="B129" s="26"/>
      <c r="C129" s="27"/>
    </row>
    <row r="130" spans="1:3" x14ac:dyDescent="0.2">
      <c r="A130" s="25">
        <v>114</v>
      </c>
      <c r="B130" s="26"/>
      <c r="C130" s="27"/>
    </row>
    <row r="131" spans="1:3" x14ac:dyDescent="0.2">
      <c r="A131" s="25">
        <v>115</v>
      </c>
      <c r="B131" s="26"/>
      <c r="C131" s="27"/>
    </row>
  </sheetData>
  <mergeCells count="52">
    <mergeCell ref="A10:C12"/>
    <mergeCell ref="D10:M12"/>
    <mergeCell ref="N10:P12"/>
    <mergeCell ref="Q10:Y12"/>
    <mergeCell ref="Z10:AF12"/>
    <mergeCell ref="A13:A15"/>
    <mergeCell ref="B13:B15"/>
    <mergeCell ref="C13:C15"/>
    <mergeCell ref="D13:E14"/>
    <mergeCell ref="F13:G14"/>
    <mergeCell ref="N13:N15"/>
    <mergeCell ref="AS10:AV12"/>
    <mergeCell ref="AW10:AZ12"/>
    <mergeCell ref="BA10:BA12"/>
    <mergeCell ref="AG12:AK12"/>
    <mergeCell ref="AM12:AP12"/>
    <mergeCell ref="AG10:AP11"/>
    <mergeCell ref="O13:O15"/>
    <mergeCell ref="P13:P15"/>
    <mergeCell ref="Q13:Q15"/>
    <mergeCell ref="R13:T14"/>
    <mergeCell ref="U13:W14"/>
    <mergeCell ref="AX13:AX15"/>
    <mergeCell ref="AY13:AY15"/>
    <mergeCell ref="AZ13:AZ15"/>
    <mergeCell ref="BA13:BA15"/>
    <mergeCell ref="H13:I14"/>
    <mergeCell ref="J13:J15"/>
    <mergeCell ref="K13:K15"/>
    <mergeCell ref="L13:L15"/>
    <mergeCell ref="M13:M15"/>
    <mergeCell ref="O36:O56"/>
    <mergeCell ref="AR13:AR15"/>
    <mergeCell ref="AS13:AS15"/>
    <mergeCell ref="AT13:AT15"/>
    <mergeCell ref="AU13:AU15"/>
    <mergeCell ref="AH13:AH15"/>
    <mergeCell ref="AI13:AK14"/>
    <mergeCell ref="AL13:AL15"/>
    <mergeCell ref="AM13:AM14"/>
    <mergeCell ref="AN13:AP14"/>
    <mergeCell ref="AQ13:AQ15"/>
    <mergeCell ref="Y13:Y15"/>
    <mergeCell ref="Z13:AB14"/>
    <mergeCell ref="AC13:AD14"/>
    <mergeCell ref="AE13:AE15"/>
    <mergeCell ref="AF13:AF15"/>
    <mergeCell ref="X20:X27"/>
    <mergeCell ref="AV13:AV15"/>
    <mergeCell ref="AW13:AW15"/>
    <mergeCell ref="AG13:AG14"/>
    <mergeCell ref="X13:X1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48AB2-8C2F-4624-9010-647FB6521E68}">
  <dimension ref="A1:BB131"/>
  <sheetViews>
    <sheetView zoomScale="85" zoomScaleNormal="85" workbookViewId="0">
      <pane xSplit="1" topLeftCell="P1" activePane="topRight" state="frozen"/>
      <selection pane="topRight" activeCell="L118" sqref="L118"/>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0.33203125"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22.33203125"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13.83203125" customWidth="1"/>
    <col min="50" max="50" width="26.5" bestFit="1" customWidth="1"/>
    <col min="51" max="51" width="24.1640625" bestFit="1" customWidth="1"/>
    <col min="52" max="52" width="41.1640625" bestFit="1" customWidth="1"/>
    <col min="53" max="53" width="18.83203125" bestFit="1" customWidth="1"/>
  </cols>
  <sheetData>
    <row r="1" spans="1:53" x14ac:dyDescent="0.2">
      <c r="A1" s="94" t="s">
        <v>99</v>
      </c>
      <c r="B1" t="s">
        <v>536</v>
      </c>
      <c r="J1" t="s">
        <v>535</v>
      </c>
    </row>
    <row r="2" spans="1:53" x14ac:dyDescent="0.2">
      <c r="A2" s="94" t="s">
        <v>100</v>
      </c>
    </row>
    <row r="3" spans="1:53" x14ac:dyDescent="0.2">
      <c r="A3" s="94" t="s">
        <v>101</v>
      </c>
      <c r="B3">
        <v>4350</v>
      </c>
    </row>
    <row r="4" spans="1:53" x14ac:dyDescent="0.2">
      <c r="A4" s="94" t="s">
        <v>102</v>
      </c>
      <c r="B4">
        <v>41</v>
      </c>
    </row>
    <row r="5" spans="1:53" x14ac:dyDescent="0.2">
      <c r="A5" s="94" t="s">
        <v>103</v>
      </c>
      <c r="B5" s="205">
        <f>B4/B3*100</f>
        <v>0.94252873563218398</v>
      </c>
      <c r="J5" s="208"/>
    </row>
    <row r="6" spans="1:53" x14ac:dyDescent="0.2">
      <c r="A6" s="94" t="s">
        <v>104</v>
      </c>
      <c r="B6" t="s">
        <v>234</v>
      </c>
    </row>
    <row r="7" spans="1:53" x14ac:dyDescent="0.2">
      <c r="A7" s="94" t="s">
        <v>106</v>
      </c>
    </row>
    <row r="8" spans="1:53" x14ac:dyDescent="0.2">
      <c r="A8" s="94" t="s">
        <v>416</v>
      </c>
      <c r="B8">
        <v>12</v>
      </c>
    </row>
    <row r="9" spans="1:53" ht="16" thickBot="1" x14ac:dyDescent="0.25">
      <c r="A9" s="94" t="s">
        <v>417</v>
      </c>
      <c r="B9">
        <v>1000</v>
      </c>
    </row>
    <row r="10" spans="1:53" ht="23" x14ac:dyDescent="0.2">
      <c r="A10" s="209" t="s">
        <v>0</v>
      </c>
      <c r="B10" s="210"/>
      <c r="C10" s="210"/>
      <c r="D10" s="215" t="s">
        <v>1</v>
      </c>
      <c r="E10" s="215"/>
      <c r="F10" s="215"/>
      <c r="G10" s="215"/>
      <c r="H10" s="215"/>
      <c r="I10" s="215"/>
      <c r="J10" s="215"/>
      <c r="K10" s="215"/>
      <c r="L10" s="215"/>
      <c r="M10" s="215"/>
      <c r="N10" s="218" t="s">
        <v>2</v>
      </c>
      <c r="O10" s="218"/>
      <c r="P10" s="219"/>
      <c r="Q10" s="224" t="s">
        <v>3</v>
      </c>
      <c r="R10" s="225"/>
      <c r="S10" s="225"/>
      <c r="T10" s="225"/>
      <c r="U10" s="225"/>
      <c r="V10" s="225"/>
      <c r="W10" s="225"/>
      <c r="X10" s="225"/>
      <c r="Y10" s="226"/>
      <c r="Z10" s="230" t="s">
        <v>4</v>
      </c>
      <c r="AA10" s="231"/>
      <c r="AB10" s="231"/>
      <c r="AC10" s="231"/>
      <c r="AD10" s="231"/>
      <c r="AE10" s="231"/>
      <c r="AF10" s="232"/>
      <c r="AG10" s="271" t="s">
        <v>5</v>
      </c>
      <c r="AH10" s="271"/>
      <c r="AI10" s="271"/>
      <c r="AJ10" s="271"/>
      <c r="AK10" s="271"/>
      <c r="AL10" s="271"/>
      <c r="AM10" s="271"/>
      <c r="AN10" s="271"/>
      <c r="AO10" s="271"/>
      <c r="AP10" s="271"/>
      <c r="AQ10" s="1"/>
      <c r="AR10" s="2"/>
      <c r="AS10" s="251" t="s">
        <v>6</v>
      </c>
      <c r="AT10" s="252"/>
      <c r="AU10" s="252"/>
      <c r="AV10" s="252"/>
      <c r="AW10" s="257" t="s">
        <v>7</v>
      </c>
      <c r="AX10" s="258"/>
      <c r="AY10" s="258"/>
      <c r="AZ10" s="259"/>
      <c r="BA10" s="266" t="s">
        <v>8</v>
      </c>
    </row>
    <row r="11" spans="1:53" ht="23" x14ac:dyDescent="0.2">
      <c r="A11" s="211"/>
      <c r="B11" s="212"/>
      <c r="C11" s="212"/>
      <c r="D11" s="216"/>
      <c r="E11" s="216"/>
      <c r="F11" s="216"/>
      <c r="G11" s="216"/>
      <c r="H11" s="216"/>
      <c r="I11" s="216"/>
      <c r="J11" s="216"/>
      <c r="K11" s="216"/>
      <c r="L11" s="216"/>
      <c r="M11" s="216"/>
      <c r="N11" s="220"/>
      <c r="O11" s="220"/>
      <c r="P11" s="221"/>
      <c r="Q11" s="227"/>
      <c r="R11" s="228"/>
      <c r="S11" s="228"/>
      <c r="T11" s="228"/>
      <c r="U11" s="228"/>
      <c r="V11" s="228"/>
      <c r="W11" s="228"/>
      <c r="X11" s="228"/>
      <c r="Y11" s="229"/>
      <c r="Z11" s="233"/>
      <c r="AA11" s="234"/>
      <c r="AB11" s="234"/>
      <c r="AC11" s="234"/>
      <c r="AD11" s="234"/>
      <c r="AE11" s="234"/>
      <c r="AF11" s="235"/>
      <c r="AG11" s="272"/>
      <c r="AH11" s="272"/>
      <c r="AI11" s="272"/>
      <c r="AJ11" s="272"/>
      <c r="AK11" s="272"/>
      <c r="AL11" s="272"/>
      <c r="AM11" s="272"/>
      <c r="AN11" s="272"/>
      <c r="AO11" s="272"/>
      <c r="AP11" s="272"/>
      <c r="AQ11" s="3"/>
      <c r="AR11" s="4"/>
      <c r="AS11" s="253"/>
      <c r="AT11" s="254"/>
      <c r="AU11" s="254"/>
      <c r="AV11" s="254"/>
      <c r="AW11" s="260"/>
      <c r="AX11" s="261"/>
      <c r="AY11" s="261"/>
      <c r="AZ11" s="262"/>
      <c r="BA11" s="267"/>
    </row>
    <row r="12" spans="1:53" ht="21" thickBot="1" x14ac:dyDescent="0.25">
      <c r="A12" s="213"/>
      <c r="B12" s="214"/>
      <c r="C12" s="214"/>
      <c r="D12" s="217"/>
      <c r="E12" s="217"/>
      <c r="F12" s="217"/>
      <c r="G12" s="217"/>
      <c r="H12" s="217"/>
      <c r="I12" s="217"/>
      <c r="J12" s="217"/>
      <c r="K12" s="217"/>
      <c r="L12" s="217"/>
      <c r="M12" s="217"/>
      <c r="N12" s="222"/>
      <c r="O12" s="222"/>
      <c r="P12" s="223"/>
      <c r="Q12" s="227"/>
      <c r="R12" s="228"/>
      <c r="S12" s="228"/>
      <c r="T12" s="228"/>
      <c r="U12" s="228"/>
      <c r="V12" s="228"/>
      <c r="W12" s="228"/>
      <c r="X12" s="228"/>
      <c r="Y12" s="229"/>
      <c r="Z12" s="233"/>
      <c r="AA12" s="234"/>
      <c r="AB12" s="234"/>
      <c r="AC12" s="234"/>
      <c r="AD12" s="234"/>
      <c r="AE12" s="234"/>
      <c r="AF12" s="235"/>
      <c r="AG12" s="269" t="s">
        <v>9</v>
      </c>
      <c r="AH12" s="269"/>
      <c r="AI12" s="269"/>
      <c r="AJ12" s="269"/>
      <c r="AK12" s="270"/>
      <c r="AL12" s="5"/>
      <c r="AM12" s="269" t="s">
        <v>10</v>
      </c>
      <c r="AN12" s="269"/>
      <c r="AO12" s="269"/>
      <c r="AP12" s="270"/>
      <c r="AQ12" s="6"/>
      <c r="AR12" s="7"/>
      <c r="AS12" s="255"/>
      <c r="AT12" s="256"/>
      <c r="AU12" s="256"/>
      <c r="AV12" s="256"/>
      <c r="AW12" s="263"/>
      <c r="AX12" s="264"/>
      <c r="AY12" s="264"/>
      <c r="AZ12" s="265"/>
      <c r="BA12" s="268"/>
    </row>
    <row r="13" spans="1:53" x14ac:dyDescent="0.2">
      <c r="A13" s="236" t="s">
        <v>11</v>
      </c>
      <c r="B13" s="239" t="s">
        <v>12</v>
      </c>
      <c r="C13" s="239" t="s">
        <v>13</v>
      </c>
      <c r="D13" s="242" t="s">
        <v>14</v>
      </c>
      <c r="E13" s="243"/>
      <c r="F13" s="246" t="s">
        <v>15</v>
      </c>
      <c r="G13" s="243"/>
      <c r="H13" s="292" t="s">
        <v>16</v>
      </c>
      <c r="I13" s="293"/>
      <c r="J13" s="296" t="s">
        <v>17</v>
      </c>
      <c r="K13" s="299" t="s">
        <v>18</v>
      </c>
      <c r="L13" s="292" t="s">
        <v>19</v>
      </c>
      <c r="M13" s="303" t="s">
        <v>20</v>
      </c>
      <c r="N13" s="248" t="s">
        <v>21</v>
      </c>
      <c r="O13" s="248" t="s">
        <v>19</v>
      </c>
      <c r="P13" s="248" t="s">
        <v>20</v>
      </c>
      <c r="Q13" s="273" t="s">
        <v>22</v>
      </c>
      <c r="R13" s="276" t="s">
        <v>23</v>
      </c>
      <c r="S13" s="276"/>
      <c r="T13" s="277"/>
      <c r="U13" s="280" t="s">
        <v>24</v>
      </c>
      <c r="V13" s="280"/>
      <c r="W13" s="281"/>
      <c r="X13" s="353" t="s">
        <v>19</v>
      </c>
      <c r="Y13" s="330" t="s">
        <v>20</v>
      </c>
      <c r="Z13" s="333" t="s">
        <v>23</v>
      </c>
      <c r="AA13" s="334"/>
      <c r="AB13" s="335"/>
      <c r="AC13" s="339" t="s">
        <v>24</v>
      </c>
      <c r="AD13" s="339"/>
      <c r="AE13" s="339" t="s">
        <v>19</v>
      </c>
      <c r="AF13" s="342" t="s">
        <v>20</v>
      </c>
      <c r="AG13" s="351" t="s">
        <v>25</v>
      </c>
      <c r="AH13" s="318" t="s">
        <v>26</v>
      </c>
      <c r="AI13" s="321" t="s">
        <v>24</v>
      </c>
      <c r="AJ13" s="321"/>
      <c r="AK13" s="321"/>
      <c r="AL13" s="323" t="s">
        <v>27</v>
      </c>
      <c r="AM13" s="325" t="s">
        <v>25</v>
      </c>
      <c r="AN13" s="321" t="s">
        <v>24</v>
      </c>
      <c r="AO13" s="321"/>
      <c r="AP13" s="309"/>
      <c r="AQ13" s="327" t="s">
        <v>19</v>
      </c>
      <c r="AR13" s="309" t="s">
        <v>20</v>
      </c>
      <c r="AS13" s="312" t="s">
        <v>28</v>
      </c>
      <c r="AT13" s="315" t="s">
        <v>29</v>
      </c>
      <c r="AU13" s="315" t="s">
        <v>19</v>
      </c>
      <c r="AV13" s="315" t="s">
        <v>20</v>
      </c>
      <c r="AW13" s="348" t="s">
        <v>30</v>
      </c>
      <c r="AX13" s="284" t="s">
        <v>29</v>
      </c>
      <c r="AY13" s="284" t="s">
        <v>19</v>
      </c>
      <c r="AZ13" s="287" t="s">
        <v>20</v>
      </c>
      <c r="BA13" s="290" t="s">
        <v>31</v>
      </c>
    </row>
    <row r="14" spans="1:53" x14ac:dyDescent="0.2">
      <c r="A14" s="237"/>
      <c r="B14" s="240"/>
      <c r="C14" s="240"/>
      <c r="D14" s="244"/>
      <c r="E14" s="245"/>
      <c r="F14" s="247"/>
      <c r="G14" s="245"/>
      <c r="H14" s="294"/>
      <c r="I14" s="295"/>
      <c r="J14" s="297"/>
      <c r="K14" s="300"/>
      <c r="L14" s="294"/>
      <c r="M14" s="304"/>
      <c r="N14" s="249"/>
      <c r="O14" s="249"/>
      <c r="P14" s="249"/>
      <c r="Q14" s="274"/>
      <c r="R14" s="278"/>
      <c r="S14" s="278"/>
      <c r="T14" s="279"/>
      <c r="U14" s="282"/>
      <c r="V14" s="282"/>
      <c r="W14" s="283"/>
      <c r="X14" s="354"/>
      <c r="Y14" s="331"/>
      <c r="Z14" s="336"/>
      <c r="AA14" s="337"/>
      <c r="AB14" s="338"/>
      <c r="AC14" s="340"/>
      <c r="AD14" s="340"/>
      <c r="AE14" s="340"/>
      <c r="AF14" s="343"/>
      <c r="AG14" s="352"/>
      <c r="AH14" s="319"/>
      <c r="AI14" s="322"/>
      <c r="AJ14" s="322"/>
      <c r="AK14" s="322"/>
      <c r="AL14" s="324"/>
      <c r="AM14" s="326"/>
      <c r="AN14" s="322"/>
      <c r="AO14" s="322"/>
      <c r="AP14" s="310"/>
      <c r="AQ14" s="328"/>
      <c r="AR14" s="310"/>
      <c r="AS14" s="313"/>
      <c r="AT14" s="316"/>
      <c r="AU14" s="316"/>
      <c r="AV14" s="316"/>
      <c r="AW14" s="349"/>
      <c r="AX14" s="285"/>
      <c r="AY14" s="285"/>
      <c r="AZ14" s="288"/>
      <c r="BA14" s="290"/>
    </row>
    <row r="15" spans="1:53" ht="57" thickBot="1" x14ac:dyDescent="0.25">
      <c r="A15" s="238"/>
      <c r="B15" s="241"/>
      <c r="C15" s="241"/>
      <c r="D15" s="8" t="s">
        <v>32</v>
      </c>
      <c r="E15" s="9" t="s">
        <v>33</v>
      </c>
      <c r="F15" s="10" t="s">
        <v>32</v>
      </c>
      <c r="G15" s="9" t="s">
        <v>33</v>
      </c>
      <c r="H15" s="11" t="s">
        <v>32</v>
      </c>
      <c r="I15" s="12" t="s">
        <v>33</v>
      </c>
      <c r="J15" s="298"/>
      <c r="K15" s="301"/>
      <c r="L15" s="302"/>
      <c r="M15" s="305"/>
      <c r="N15" s="250"/>
      <c r="O15" s="250"/>
      <c r="P15" s="250"/>
      <c r="Q15" s="275"/>
      <c r="R15" s="13" t="s">
        <v>32</v>
      </c>
      <c r="S15" s="13" t="s">
        <v>34</v>
      </c>
      <c r="T15" s="14" t="s">
        <v>33</v>
      </c>
      <c r="U15" s="15" t="s">
        <v>32</v>
      </c>
      <c r="V15" s="15" t="s">
        <v>34</v>
      </c>
      <c r="W15" s="16" t="s">
        <v>33</v>
      </c>
      <c r="X15" s="355"/>
      <c r="Y15" s="332"/>
      <c r="Z15" s="17" t="s">
        <v>32</v>
      </c>
      <c r="AA15" s="18" t="s">
        <v>34</v>
      </c>
      <c r="AB15" s="19" t="s">
        <v>33</v>
      </c>
      <c r="AC15" s="20" t="s">
        <v>32</v>
      </c>
      <c r="AD15" s="20" t="s">
        <v>34</v>
      </c>
      <c r="AE15" s="341"/>
      <c r="AF15" s="344"/>
      <c r="AG15" s="21" t="s">
        <v>34</v>
      </c>
      <c r="AH15" s="320"/>
      <c r="AI15" s="22" t="s">
        <v>32</v>
      </c>
      <c r="AJ15" s="22" t="s">
        <v>34</v>
      </c>
      <c r="AK15" s="22" t="s">
        <v>33</v>
      </c>
      <c r="AL15" s="324"/>
      <c r="AM15" s="23" t="s">
        <v>33</v>
      </c>
      <c r="AN15" s="22" t="s">
        <v>32</v>
      </c>
      <c r="AO15" s="22" t="s">
        <v>34</v>
      </c>
      <c r="AP15" s="24" t="s">
        <v>33</v>
      </c>
      <c r="AQ15" s="329"/>
      <c r="AR15" s="311"/>
      <c r="AS15" s="314"/>
      <c r="AT15" s="317"/>
      <c r="AU15" s="317"/>
      <c r="AV15" s="317"/>
      <c r="AW15" s="350"/>
      <c r="AX15" s="286"/>
      <c r="AY15" s="286"/>
      <c r="AZ15" s="289"/>
      <c r="BA15" s="291"/>
    </row>
    <row r="16" spans="1:53" ht="16" thickBot="1" x14ac:dyDescent="0.25">
      <c r="A16" s="25">
        <v>0</v>
      </c>
      <c r="B16" s="26">
        <v>45477</v>
      </c>
      <c r="C16" s="27" t="s">
        <v>528</v>
      </c>
      <c r="D16" s="25"/>
      <c r="E16" s="28"/>
      <c r="F16" s="27"/>
      <c r="G16" s="28"/>
      <c r="H16" s="27"/>
      <c r="I16" s="28"/>
      <c r="J16" s="27">
        <v>0</v>
      </c>
      <c r="K16" s="29" t="s">
        <v>35</v>
      </c>
      <c r="L16" s="30" t="s">
        <v>529</v>
      </c>
      <c r="M16" s="31" t="s">
        <v>530</v>
      </c>
      <c r="N16" s="27"/>
      <c r="P16" s="32"/>
      <c r="Q16" s="25"/>
      <c r="R16" s="27"/>
      <c r="S16" s="27"/>
      <c r="T16" s="28"/>
      <c r="U16" s="27"/>
      <c r="V16" s="27"/>
      <c r="W16" s="28"/>
      <c r="X16" s="33"/>
      <c r="Y16" s="32"/>
      <c r="Z16" s="25"/>
      <c r="AA16" s="27"/>
      <c r="AB16" s="28"/>
      <c r="AC16" s="27"/>
      <c r="AD16" s="27"/>
      <c r="AE16" s="33"/>
      <c r="AG16" s="25"/>
      <c r="AH16" s="34"/>
      <c r="AI16" s="27"/>
      <c r="AJ16" s="27"/>
      <c r="AK16" s="27"/>
      <c r="AL16" s="25"/>
      <c r="AM16" s="35"/>
      <c r="AN16" s="27"/>
      <c r="AO16" s="27"/>
      <c r="AP16" s="36"/>
      <c r="AQ16" s="37"/>
      <c r="AR16" s="32"/>
      <c r="AS16" s="25"/>
      <c r="AT16" s="27"/>
      <c r="AU16" s="27"/>
      <c r="AW16" s="25"/>
      <c r="AX16" s="27"/>
      <c r="AY16" s="27"/>
      <c r="AZ16" s="32"/>
      <c r="BA16" s="38"/>
    </row>
    <row r="17" spans="1:53" ht="16" thickBot="1" x14ac:dyDescent="0.25">
      <c r="A17" s="25">
        <v>1</v>
      </c>
      <c r="B17" s="26">
        <v>45478</v>
      </c>
      <c r="C17" s="27" t="s">
        <v>200</v>
      </c>
      <c r="D17" s="25"/>
      <c r="E17" s="28"/>
      <c r="F17" s="27"/>
      <c r="G17" s="28"/>
      <c r="H17" s="27"/>
      <c r="I17" s="28"/>
      <c r="J17" s="27">
        <v>0</v>
      </c>
      <c r="K17" s="29" t="s">
        <v>35</v>
      </c>
      <c r="L17" s="39"/>
      <c r="M17" s="31" t="s">
        <v>531</v>
      </c>
      <c r="N17" s="27"/>
      <c r="P17" s="32"/>
      <c r="Q17" s="40"/>
      <c r="R17" s="27"/>
      <c r="S17" s="27"/>
      <c r="T17" s="28"/>
      <c r="U17" s="27"/>
      <c r="V17" s="27"/>
      <c r="W17" s="28"/>
      <c r="X17" s="33"/>
      <c r="Y17" s="32"/>
      <c r="Z17" s="25"/>
      <c r="AA17" s="27"/>
      <c r="AB17" s="28"/>
      <c r="AC17" s="27"/>
      <c r="AD17" s="27"/>
      <c r="AE17" s="33"/>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2</v>
      </c>
      <c r="B18" s="26">
        <v>45479</v>
      </c>
      <c r="C18" s="27" t="s">
        <v>200</v>
      </c>
      <c r="D18" s="25"/>
      <c r="E18" s="28"/>
      <c r="F18" s="27"/>
      <c r="G18" s="28"/>
      <c r="H18" s="27"/>
      <c r="I18" s="28"/>
      <c r="J18" s="27">
        <v>0</v>
      </c>
      <c r="K18" s="29" t="s">
        <v>35</v>
      </c>
      <c r="L18" s="39"/>
      <c r="M18" s="31" t="s">
        <v>532</v>
      </c>
      <c r="N18" s="27"/>
      <c r="O18" s="42"/>
      <c r="Q18" s="43" t="s">
        <v>37</v>
      </c>
      <c r="R18" s="27"/>
      <c r="S18" s="27"/>
      <c r="T18" s="28"/>
      <c r="U18" s="27"/>
      <c r="V18" s="27"/>
      <c r="W18" s="28"/>
      <c r="X18" s="33"/>
      <c r="Y18" s="32"/>
      <c r="Z18" s="25"/>
      <c r="AA18" s="27"/>
      <c r="AB18" s="28"/>
      <c r="AC18" s="27"/>
      <c r="AD18" s="27"/>
      <c r="AE18" s="33"/>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3</v>
      </c>
      <c r="B19" s="26">
        <v>45480</v>
      </c>
      <c r="C19" s="27" t="s">
        <v>232</v>
      </c>
      <c r="D19" s="25"/>
      <c r="E19" s="28"/>
      <c r="F19" s="27"/>
      <c r="G19" s="28"/>
      <c r="H19" s="27"/>
      <c r="I19" s="28"/>
      <c r="J19" s="27" t="s">
        <v>208</v>
      </c>
      <c r="K19" s="29" t="s">
        <v>35</v>
      </c>
      <c r="L19" s="44" t="s">
        <v>287</v>
      </c>
      <c r="M19" s="31" t="s">
        <v>353</v>
      </c>
      <c r="N19" s="27" t="s">
        <v>240</v>
      </c>
      <c r="O19" s="45" t="s">
        <v>41</v>
      </c>
      <c r="P19" s="46"/>
      <c r="Q19" s="25"/>
      <c r="R19" s="27"/>
      <c r="S19" s="27"/>
      <c r="T19" s="28"/>
      <c r="U19" s="27">
        <v>5</v>
      </c>
      <c r="V19" s="27"/>
      <c r="W19" s="28">
        <v>5</v>
      </c>
      <c r="X19" s="47" t="s">
        <v>43</v>
      </c>
      <c r="Y19" s="32"/>
      <c r="Z19" s="25"/>
      <c r="AA19" s="27"/>
      <c r="AB19" s="28"/>
      <c r="AC19" s="27">
        <v>3</v>
      </c>
      <c r="AD19" s="27">
        <v>2</v>
      </c>
      <c r="AE19" s="48" t="s">
        <v>342</v>
      </c>
      <c r="AG19" s="25"/>
      <c r="AH19" s="34"/>
      <c r="AI19" s="27"/>
      <c r="AJ19" s="27"/>
      <c r="AK19" s="27"/>
      <c r="AL19" s="25"/>
      <c r="AM19" s="34"/>
      <c r="AN19" s="27"/>
      <c r="AO19" s="27"/>
      <c r="AP19" s="36"/>
      <c r="AQ19" s="37"/>
      <c r="AR19" s="32"/>
      <c r="AS19" s="25"/>
      <c r="AT19" s="27"/>
      <c r="AU19" s="27"/>
      <c r="AW19" s="25"/>
      <c r="AX19" s="27"/>
      <c r="AY19" s="27"/>
      <c r="AZ19" s="32"/>
      <c r="BA19" s="41"/>
    </row>
    <row r="20" spans="1:53" x14ac:dyDescent="0.2">
      <c r="A20" s="25">
        <v>4</v>
      </c>
      <c r="B20" s="26">
        <v>45481</v>
      </c>
      <c r="C20" s="27" t="s">
        <v>232</v>
      </c>
      <c r="D20" s="25"/>
      <c r="E20" s="28"/>
      <c r="F20" s="27"/>
      <c r="G20" s="28"/>
      <c r="H20" s="27"/>
      <c r="I20" s="28"/>
      <c r="J20" s="27" t="s">
        <v>208</v>
      </c>
      <c r="K20" s="29" t="s">
        <v>35</v>
      </c>
      <c r="L20" s="39"/>
      <c r="M20" s="31"/>
      <c r="N20" s="27" t="s">
        <v>240</v>
      </c>
      <c r="O20" t="s">
        <v>46</v>
      </c>
      <c r="P20" s="32"/>
      <c r="Q20" s="25"/>
      <c r="R20" s="27"/>
      <c r="S20" s="27"/>
      <c r="T20" s="28"/>
      <c r="U20" s="27">
        <v>5</v>
      </c>
      <c r="V20" s="27"/>
      <c r="W20" s="28">
        <v>5</v>
      </c>
      <c r="X20" s="345" t="s">
        <v>47</v>
      </c>
      <c r="Y20" s="32"/>
      <c r="Z20" s="25"/>
      <c r="AA20" s="27"/>
      <c r="AB20" s="28"/>
      <c r="AC20" s="27">
        <v>3</v>
      </c>
      <c r="AD20" s="27">
        <v>2</v>
      </c>
      <c r="AE20" s="33"/>
      <c r="AG20" s="25"/>
      <c r="AH20" s="34"/>
      <c r="AI20" s="27"/>
      <c r="AJ20" s="27"/>
      <c r="AK20" s="27"/>
      <c r="AL20" s="25"/>
      <c r="AM20" s="34"/>
      <c r="AN20" s="27"/>
      <c r="AO20" s="27"/>
      <c r="AP20" s="36"/>
      <c r="AQ20" s="37"/>
      <c r="AR20" s="32"/>
      <c r="AS20" s="25"/>
      <c r="AT20" s="27"/>
      <c r="AU20" s="27"/>
      <c r="AW20" s="25"/>
      <c r="AX20" s="27"/>
      <c r="AY20" s="27"/>
      <c r="AZ20" s="32"/>
      <c r="BA20" s="41"/>
    </row>
    <row r="21" spans="1:53" x14ac:dyDescent="0.2">
      <c r="A21" s="25">
        <v>5</v>
      </c>
      <c r="B21" s="26">
        <v>45482</v>
      </c>
      <c r="C21" s="27" t="s">
        <v>314</v>
      </c>
      <c r="D21" s="25"/>
      <c r="E21" s="28"/>
      <c r="F21" s="27"/>
      <c r="G21" s="28"/>
      <c r="H21" s="27"/>
      <c r="I21" s="28"/>
      <c r="J21" s="27" t="s">
        <v>208</v>
      </c>
      <c r="K21" s="29" t="s">
        <v>35</v>
      </c>
      <c r="L21" s="39"/>
      <c r="M21" s="31"/>
      <c r="N21" s="27" t="s">
        <v>240</v>
      </c>
      <c r="P21" s="32"/>
      <c r="Q21" s="25"/>
      <c r="R21" s="27"/>
      <c r="S21" s="27"/>
      <c r="T21" s="28"/>
      <c r="U21" s="27">
        <v>5</v>
      </c>
      <c r="V21" s="27"/>
      <c r="W21" s="28">
        <v>5</v>
      </c>
      <c r="X21" s="346"/>
      <c r="Y21" s="32"/>
      <c r="Z21" s="25"/>
      <c r="AA21" s="27"/>
      <c r="AB21" s="28"/>
      <c r="AC21" s="27">
        <v>3</v>
      </c>
      <c r="AD21" s="27">
        <v>2</v>
      </c>
      <c r="AE21" s="33"/>
      <c r="AG21" s="25"/>
      <c r="AH21" s="34"/>
      <c r="AI21" s="27"/>
      <c r="AJ21" s="27"/>
      <c r="AK21" s="27"/>
      <c r="AL21" s="25"/>
      <c r="AM21" s="34"/>
      <c r="AN21" s="27"/>
      <c r="AO21" s="27"/>
      <c r="AP21" s="36"/>
      <c r="AQ21" s="37"/>
      <c r="AR21" s="32"/>
      <c r="AS21" s="25"/>
      <c r="AT21" s="27"/>
      <c r="AU21" s="27"/>
      <c r="AW21" s="25"/>
      <c r="AX21" s="27"/>
      <c r="AY21" s="27"/>
      <c r="AZ21" s="32"/>
      <c r="BA21" s="41"/>
    </row>
    <row r="22" spans="1:53" x14ac:dyDescent="0.2">
      <c r="A22" s="25">
        <v>6</v>
      </c>
      <c r="B22" s="26">
        <v>45483</v>
      </c>
      <c r="C22" s="27" t="s">
        <v>232</v>
      </c>
      <c r="D22" s="25"/>
      <c r="E22" s="28"/>
      <c r="F22" s="27"/>
      <c r="G22" s="28"/>
      <c r="H22" s="27"/>
      <c r="I22" s="28"/>
      <c r="J22" s="27" t="s">
        <v>208</v>
      </c>
      <c r="K22" s="29" t="s">
        <v>35</v>
      </c>
      <c r="L22" s="39"/>
      <c r="M22" s="31"/>
      <c r="N22" s="27" t="s">
        <v>240</v>
      </c>
      <c r="P22" s="32"/>
      <c r="Q22" s="25"/>
      <c r="R22" s="27"/>
      <c r="S22" s="27"/>
      <c r="T22" s="28"/>
      <c r="U22" s="27">
        <v>5</v>
      </c>
      <c r="V22" s="27"/>
      <c r="W22" s="28">
        <v>5</v>
      </c>
      <c r="X22" s="346"/>
      <c r="Y22" s="32"/>
      <c r="Z22" s="25"/>
      <c r="AA22" s="27"/>
      <c r="AB22" s="28"/>
      <c r="AC22" s="27">
        <v>3</v>
      </c>
      <c r="AD22" s="27">
        <v>2</v>
      </c>
      <c r="AE22" s="33"/>
      <c r="AG22" s="25"/>
      <c r="AH22" s="34"/>
      <c r="AI22" s="27"/>
      <c r="AJ22" s="27"/>
      <c r="AK22" s="27"/>
      <c r="AL22" s="25"/>
      <c r="AM22" s="34"/>
      <c r="AN22" s="27"/>
      <c r="AO22" s="27"/>
      <c r="AP22" s="36"/>
      <c r="AQ22" s="37"/>
      <c r="AR22" s="32"/>
      <c r="AS22" s="25"/>
      <c r="AT22" s="27"/>
      <c r="AU22" s="27"/>
      <c r="AW22" s="25"/>
      <c r="AX22" s="27"/>
      <c r="AY22" s="27"/>
      <c r="AZ22" s="32"/>
      <c r="BA22" s="41"/>
    </row>
    <row r="23" spans="1:53" x14ac:dyDescent="0.2">
      <c r="A23" s="25">
        <v>7</v>
      </c>
      <c r="B23" s="26">
        <v>45484</v>
      </c>
      <c r="C23" s="27" t="s">
        <v>314</v>
      </c>
      <c r="D23" s="25"/>
      <c r="E23" s="28"/>
      <c r="F23" s="27"/>
      <c r="G23" s="28"/>
      <c r="H23" s="27"/>
      <c r="I23" s="28"/>
      <c r="J23" s="27" t="s">
        <v>208</v>
      </c>
      <c r="K23" s="29" t="s">
        <v>35</v>
      </c>
      <c r="L23" s="39"/>
      <c r="M23" s="31"/>
      <c r="N23" s="27" t="s">
        <v>240</v>
      </c>
      <c r="P23" s="32"/>
      <c r="Q23" s="25"/>
      <c r="R23" s="27"/>
      <c r="S23" s="27"/>
      <c r="T23" s="28"/>
      <c r="U23" s="27">
        <v>5</v>
      </c>
      <c r="V23" s="27"/>
      <c r="W23" s="28">
        <v>5</v>
      </c>
      <c r="X23" s="346"/>
      <c r="Y23" s="32"/>
      <c r="Z23" s="25"/>
      <c r="AA23" s="27"/>
      <c r="AB23" s="28"/>
      <c r="AC23" s="27">
        <v>3</v>
      </c>
      <c r="AD23" s="27">
        <v>2</v>
      </c>
      <c r="AE23" s="33"/>
      <c r="AG23" s="25"/>
      <c r="AH23" s="34"/>
      <c r="AI23" s="27"/>
      <c r="AJ23" s="27"/>
      <c r="AK23" s="27"/>
      <c r="AL23" s="25"/>
      <c r="AM23" s="34"/>
      <c r="AN23" s="27"/>
      <c r="AO23" s="27"/>
      <c r="AP23" s="36"/>
      <c r="AQ23" s="37"/>
      <c r="AR23" s="32"/>
      <c r="AS23" s="25"/>
      <c r="AT23" s="27"/>
      <c r="AU23" s="27"/>
      <c r="AW23" s="25"/>
      <c r="AX23" s="27"/>
      <c r="AY23" s="27"/>
      <c r="AZ23" s="32"/>
      <c r="BA23" s="41"/>
    </row>
    <row r="24" spans="1:53" x14ac:dyDescent="0.2">
      <c r="A24" s="25">
        <v>8</v>
      </c>
      <c r="B24" s="26">
        <v>45485</v>
      </c>
      <c r="C24" s="27" t="s">
        <v>200</v>
      </c>
      <c r="D24" s="25"/>
      <c r="E24" s="28"/>
      <c r="F24" s="27"/>
      <c r="G24" s="28"/>
      <c r="H24" s="27"/>
      <c r="I24" s="28"/>
      <c r="J24" s="27" t="s">
        <v>208</v>
      </c>
      <c r="K24" s="29" t="s">
        <v>35</v>
      </c>
      <c r="L24" s="39"/>
      <c r="M24" s="31"/>
      <c r="N24" s="27" t="s">
        <v>240</v>
      </c>
      <c r="P24" s="32"/>
      <c r="Q24" s="25"/>
      <c r="R24" s="27"/>
      <c r="S24" s="27"/>
      <c r="T24" s="28"/>
      <c r="U24" s="27">
        <v>5</v>
      </c>
      <c r="V24" s="27"/>
      <c r="W24" s="28">
        <v>5</v>
      </c>
      <c r="X24" s="346"/>
      <c r="Y24" s="32"/>
      <c r="Z24" s="25"/>
      <c r="AA24" s="27"/>
      <c r="AB24" s="28"/>
      <c r="AC24" s="27">
        <v>3</v>
      </c>
      <c r="AD24" s="27">
        <v>2</v>
      </c>
      <c r="AE24" s="33"/>
      <c r="AG24" s="25"/>
      <c r="AH24" s="34"/>
      <c r="AI24" s="27"/>
      <c r="AJ24" s="27"/>
      <c r="AK24" s="27"/>
      <c r="AL24" s="25"/>
      <c r="AM24" s="34"/>
      <c r="AN24" s="27"/>
      <c r="AO24" s="27"/>
      <c r="AP24" s="36"/>
      <c r="AQ24" s="37"/>
      <c r="AR24" s="32"/>
      <c r="AS24" s="25"/>
      <c r="AT24" s="27"/>
      <c r="AU24" s="27"/>
      <c r="AW24" s="25"/>
      <c r="AX24" s="27"/>
      <c r="AY24" s="27"/>
      <c r="AZ24" s="32"/>
      <c r="BA24" s="41"/>
    </row>
    <row r="25" spans="1:53" ht="16" thickBot="1" x14ac:dyDescent="0.25">
      <c r="A25" s="25">
        <v>9</v>
      </c>
      <c r="B25" s="26">
        <v>45486</v>
      </c>
      <c r="C25" s="27" t="s">
        <v>200</v>
      </c>
      <c r="D25" s="25"/>
      <c r="E25" s="28"/>
      <c r="F25" s="27"/>
      <c r="G25" s="28"/>
      <c r="H25" s="27"/>
      <c r="I25" s="28"/>
      <c r="J25" s="27" t="s">
        <v>208</v>
      </c>
      <c r="K25" s="29" t="s">
        <v>35</v>
      </c>
      <c r="L25" s="39"/>
      <c r="M25" s="31"/>
      <c r="N25" s="27" t="s">
        <v>240</v>
      </c>
      <c r="P25" s="32"/>
      <c r="Q25" s="25"/>
      <c r="R25" s="27"/>
      <c r="S25" s="27"/>
      <c r="T25" s="28"/>
      <c r="U25" s="27">
        <v>5</v>
      </c>
      <c r="V25" s="27"/>
      <c r="W25" s="28">
        <v>5</v>
      </c>
      <c r="X25" s="346"/>
      <c r="Y25" s="32"/>
      <c r="Z25" s="25"/>
      <c r="AA25" s="27"/>
      <c r="AB25" s="28"/>
      <c r="AC25" s="27">
        <v>3</v>
      </c>
      <c r="AD25" s="27">
        <v>2</v>
      </c>
      <c r="AE25" s="33"/>
      <c r="AG25" s="25"/>
      <c r="AH25" s="34"/>
      <c r="AI25" s="27"/>
      <c r="AJ25" s="27"/>
      <c r="AK25" s="27"/>
      <c r="AL25" s="25"/>
      <c r="AM25" s="34"/>
      <c r="AN25" s="27"/>
      <c r="AO25" s="27"/>
      <c r="AP25" s="36"/>
      <c r="AQ25" s="37"/>
      <c r="AR25" s="32"/>
      <c r="AS25" s="25"/>
      <c r="AT25" s="27"/>
      <c r="AU25" s="27"/>
      <c r="AW25" s="25"/>
      <c r="AX25" s="27"/>
      <c r="AY25" s="27"/>
      <c r="AZ25" s="32"/>
      <c r="BA25" s="41"/>
    </row>
    <row r="26" spans="1:53" ht="16" thickBot="1" x14ac:dyDescent="0.25">
      <c r="A26" s="25">
        <v>10</v>
      </c>
      <c r="B26" s="26">
        <v>45487</v>
      </c>
      <c r="C26" s="27" t="s">
        <v>232</v>
      </c>
      <c r="D26" s="25"/>
      <c r="E26" s="28"/>
      <c r="F26" s="27"/>
      <c r="G26" s="28"/>
      <c r="H26" s="27"/>
      <c r="I26" s="28"/>
      <c r="J26" s="27" t="s">
        <v>208</v>
      </c>
      <c r="K26" s="29" t="s">
        <v>35</v>
      </c>
      <c r="L26" s="39"/>
      <c r="M26" s="31"/>
      <c r="N26" s="27" t="s">
        <v>240</v>
      </c>
      <c r="O26" s="49"/>
      <c r="P26" s="32"/>
      <c r="Q26" s="25"/>
      <c r="R26" s="27"/>
      <c r="S26" s="27"/>
      <c r="T26" s="28"/>
      <c r="U26" s="27">
        <v>5</v>
      </c>
      <c r="V26" s="27"/>
      <c r="W26" s="28">
        <v>5</v>
      </c>
      <c r="X26" s="346"/>
      <c r="Y26" s="32"/>
      <c r="Z26" s="25"/>
      <c r="AA26" s="27"/>
      <c r="AB26" s="28"/>
      <c r="AC26" s="27">
        <v>5</v>
      </c>
      <c r="AD26" s="27">
        <v>5</v>
      </c>
      <c r="AE26" s="50" t="s">
        <v>343</v>
      </c>
      <c r="AG26" s="25"/>
      <c r="AH26" s="34"/>
      <c r="AI26" s="27"/>
      <c r="AJ26" s="27"/>
      <c r="AK26" s="27"/>
      <c r="AL26" s="25"/>
      <c r="AM26" s="34"/>
      <c r="AN26" s="27"/>
      <c r="AO26" s="27"/>
      <c r="AP26" s="36"/>
      <c r="AQ26" s="37"/>
      <c r="AR26" s="32"/>
      <c r="AS26" s="25"/>
      <c r="AT26" s="27"/>
      <c r="AU26" s="27"/>
      <c r="AW26" s="25"/>
      <c r="AX26" s="27"/>
      <c r="AY26" s="27"/>
      <c r="AZ26" s="32"/>
      <c r="BA26" s="41"/>
    </row>
    <row r="27" spans="1:53" ht="16" thickBot="1" x14ac:dyDescent="0.25">
      <c r="A27" s="25">
        <v>11</v>
      </c>
      <c r="B27" s="26">
        <v>45488</v>
      </c>
      <c r="C27" s="27" t="s">
        <v>232</v>
      </c>
      <c r="D27" s="25"/>
      <c r="E27" s="28"/>
      <c r="F27" s="27"/>
      <c r="G27" s="28"/>
      <c r="H27" s="27"/>
      <c r="I27" s="28"/>
      <c r="J27" s="27" t="s">
        <v>208</v>
      </c>
      <c r="K27" s="29" t="s">
        <v>35</v>
      </c>
      <c r="L27" s="52"/>
      <c r="M27" s="31"/>
      <c r="N27" s="27" t="s">
        <v>533</v>
      </c>
      <c r="P27" s="32" t="s">
        <v>550</v>
      </c>
      <c r="Q27" s="25"/>
      <c r="R27" s="27"/>
      <c r="S27" s="27"/>
      <c r="T27" s="28"/>
      <c r="U27" s="27">
        <v>5</v>
      </c>
      <c r="V27" s="27"/>
      <c r="W27" s="28">
        <v>5</v>
      </c>
      <c r="X27" s="347"/>
      <c r="Y27" s="32"/>
      <c r="Z27" s="25"/>
      <c r="AA27" s="27"/>
      <c r="AB27" s="28"/>
      <c r="AC27" s="27">
        <v>5</v>
      </c>
      <c r="AD27" s="27">
        <v>5</v>
      </c>
      <c r="AE27" s="33"/>
      <c r="AF27" s="32"/>
      <c r="AG27" s="25"/>
      <c r="AH27" s="34"/>
      <c r="AI27" s="27"/>
      <c r="AJ27" s="27"/>
      <c r="AK27" s="27"/>
      <c r="AL27" s="25"/>
      <c r="AM27" s="34"/>
      <c r="AN27" s="27"/>
      <c r="AO27" s="27"/>
      <c r="AP27" s="36"/>
      <c r="AQ27" s="37"/>
      <c r="AR27" s="32"/>
      <c r="AS27" s="25"/>
      <c r="AT27" s="27"/>
      <c r="AU27" s="27"/>
      <c r="AW27" s="25"/>
      <c r="AX27" s="27"/>
      <c r="AY27" s="27"/>
      <c r="AZ27" s="32"/>
      <c r="BA27" s="41"/>
    </row>
    <row r="28" spans="1:53" ht="16" thickBot="1" x14ac:dyDescent="0.25">
      <c r="A28" s="25">
        <v>12</v>
      </c>
      <c r="B28" s="26">
        <v>45489</v>
      </c>
      <c r="C28" s="27" t="s">
        <v>227</v>
      </c>
      <c r="D28" s="25"/>
      <c r="E28" s="28"/>
      <c r="F28" s="27"/>
      <c r="G28" s="28"/>
      <c r="H28" s="27"/>
      <c r="I28" s="28"/>
      <c r="J28" s="27" t="s">
        <v>208</v>
      </c>
      <c r="K28" s="29" t="s">
        <v>35</v>
      </c>
      <c r="L28" s="53"/>
      <c r="M28" s="31"/>
      <c r="N28" s="27" t="s">
        <v>240</v>
      </c>
      <c r="P28" s="32"/>
      <c r="Q28" s="25"/>
      <c r="R28" s="27"/>
      <c r="S28" s="27"/>
      <c r="T28" s="28"/>
      <c r="U28" s="27">
        <v>1</v>
      </c>
      <c r="V28" s="27"/>
      <c r="W28" s="28">
        <v>1</v>
      </c>
      <c r="X28" s="54" t="s">
        <v>49</v>
      </c>
      <c r="Y28" s="32"/>
      <c r="Z28" s="25"/>
      <c r="AA28" s="27"/>
      <c r="AB28" s="28"/>
      <c r="AC28" s="27">
        <v>10</v>
      </c>
      <c r="AD28" s="27">
        <v>5</v>
      </c>
      <c r="AE28" s="50" t="s">
        <v>344</v>
      </c>
      <c r="AG28" s="25"/>
      <c r="AH28" s="34"/>
      <c r="AI28" s="27"/>
      <c r="AJ28" s="27"/>
      <c r="AK28" s="27"/>
      <c r="AL28" s="25"/>
      <c r="AM28" s="34"/>
      <c r="AN28" s="27"/>
      <c r="AO28" s="27"/>
      <c r="AP28" s="36"/>
      <c r="AQ28" s="37"/>
      <c r="AR28" s="32"/>
      <c r="AS28" s="25"/>
      <c r="AT28" s="27"/>
      <c r="AU28" s="27"/>
      <c r="AW28" s="25"/>
      <c r="AX28" s="27"/>
      <c r="AY28" s="27"/>
      <c r="AZ28" s="32"/>
      <c r="BA28" s="41"/>
    </row>
    <row r="29" spans="1:53" ht="16" thickBot="1" x14ac:dyDescent="0.25">
      <c r="A29" s="25">
        <v>13</v>
      </c>
      <c r="B29" s="26">
        <v>45490</v>
      </c>
      <c r="C29" s="27" t="s">
        <v>227</v>
      </c>
      <c r="D29" s="25"/>
      <c r="E29" s="28"/>
      <c r="F29" s="27"/>
      <c r="G29" s="28"/>
      <c r="H29" s="27"/>
      <c r="I29" s="28"/>
      <c r="J29" s="27" t="s">
        <v>208</v>
      </c>
      <c r="K29" s="29" t="s">
        <v>35</v>
      </c>
      <c r="L29" s="39"/>
      <c r="M29" s="31"/>
      <c r="N29" s="27" t="s">
        <v>240</v>
      </c>
      <c r="P29" s="32"/>
      <c r="Q29" s="25"/>
      <c r="R29" s="27"/>
      <c r="S29" s="27"/>
      <c r="T29" s="28"/>
      <c r="U29" s="27">
        <v>1</v>
      </c>
      <c r="V29" s="27"/>
      <c r="W29" s="28">
        <v>1</v>
      </c>
      <c r="X29" s="33"/>
      <c r="Y29" s="32"/>
      <c r="Z29" s="55"/>
      <c r="AA29" s="56"/>
      <c r="AB29" s="57"/>
      <c r="AC29" s="27">
        <v>10</v>
      </c>
      <c r="AD29" s="27">
        <v>5</v>
      </c>
      <c r="AE29" s="33"/>
      <c r="AG29" s="25"/>
      <c r="AH29" s="34"/>
      <c r="AI29" s="27"/>
      <c r="AJ29" s="27"/>
      <c r="AK29" s="27"/>
      <c r="AL29" s="25"/>
      <c r="AM29" s="34"/>
      <c r="AN29" s="27"/>
      <c r="AO29" s="27"/>
      <c r="AP29" s="36"/>
      <c r="AQ29" s="37"/>
      <c r="AR29" s="32"/>
      <c r="AS29" s="25"/>
      <c r="AT29" s="27"/>
      <c r="AU29" s="201"/>
      <c r="AW29" s="25"/>
      <c r="AX29" s="27"/>
      <c r="AY29" s="27"/>
      <c r="AZ29" s="32"/>
      <c r="BA29" s="41"/>
    </row>
    <row r="30" spans="1:53" ht="16" thickBot="1" x14ac:dyDescent="0.25">
      <c r="A30" s="25">
        <v>14</v>
      </c>
      <c r="B30" s="26">
        <v>45491</v>
      </c>
      <c r="C30" s="27" t="s">
        <v>200</v>
      </c>
      <c r="D30" s="25"/>
      <c r="E30" s="28"/>
      <c r="F30" s="27"/>
      <c r="G30" s="28"/>
      <c r="H30" s="27"/>
      <c r="I30" s="28"/>
      <c r="J30" s="27" t="s">
        <v>208</v>
      </c>
      <c r="K30" s="29" t="s">
        <v>35</v>
      </c>
      <c r="L30" s="39"/>
      <c r="M30" s="31"/>
      <c r="N30" s="27" t="s">
        <v>240</v>
      </c>
      <c r="P30" s="32"/>
      <c r="Q30" s="25"/>
      <c r="R30" s="27"/>
      <c r="S30" s="27"/>
      <c r="T30" s="28"/>
      <c r="U30" s="27">
        <v>1</v>
      </c>
      <c r="V30" s="27"/>
      <c r="W30" s="28">
        <v>1</v>
      </c>
      <c r="X30" s="33"/>
      <c r="Y30" s="32"/>
      <c r="Z30" s="59"/>
      <c r="AA30" s="60"/>
      <c r="AB30" s="61"/>
      <c r="AC30" s="27">
        <v>10</v>
      </c>
      <c r="AD30" s="27">
        <v>5</v>
      </c>
      <c r="AE30" s="33"/>
      <c r="AG30" s="25"/>
      <c r="AH30" s="34"/>
      <c r="AI30" s="27"/>
      <c r="AJ30" s="27"/>
      <c r="AK30" s="27"/>
      <c r="AL30" s="25"/>
      <c r="AM30" s="34"/>
      <c r="AN30" s="27"/>
      <c r="AO30" s="27"/>
      <c r="AP30" s="36"/>
      <c r="AQ30" s="37"/>
      <c r="AR30" s="32"/>
      <c r="AS30" s="25"/>
      <c r="AT30" s="27"/>
      <c r="AW30" s="25"/>
      <c r="AX30" s="27"/>
      <c r="AY30" s="27"/>
      <c r="AZ30" s="32"/>
      <c r="BA30" s="62"/>
    </row>
    <row r="31" spans="1:53" ht="16" thickBot="1" x14ac:dyDescent="0.25">
      <c r="A31" s="25">
        <v>15</v>
      </c>
      <c r="B31" s="26">
        <v>45492</v>
      </c>
      <c r="C31" s="27" t="s">
        <v>200</v>
      </c>
      <c r="D31" s="25"/>
      <c r="E31" s="28"/>
      <c r="F31" s="27"/>
      <c r="G31" s="28"/>
      <c r="H31" s="27"/>
      <c r="I31" s="28"/>
      <c r="J31" s="27" t="s">
        <v>208</v>
      </c>
      <c r="K31" s="29" t="s">
        <v>35</v>
      </c>
      <c r="L31" s="39"/>
      <c r="M31" s="31"/>
      <c r="N31" s="27" t="s">
        <v>240</v>
      </c>
      <c r="P31" s="32"/>
      <c r="Q31" s="25"/>
      <c r="R31" s="27"/>
      <c r="S31" s="27"/>
      <c r="T31" s="28"/>
      <c r="U31" s="27">
        <v>1</v>
      </c>
      <c r="V31" s="27"/>
      <c r="W31" s="28">
        <v>1</v>
      </c>
      <c r="X31" s="33"/>
      <c r="Y31" s="32"/>
      <c r="Z31" s="25"/>
      <c r="AA31" s="27"/>
      <c r="AB31" s="28"/>
      <c r="AC31" s="27">
        <v>10</v>
      </c>
      <c r="AD31" s="27">
        <v>5</v>
      </c>
      <c r="AE31" s="33"/>
      <c r="AG31" s="25"/>
      <c r="AH31" s="34"/>
      <c r="AI31" s="27"/>
      <c r="AJ31" s="27"/>
      <c r="AK31" s="27"/>
      <c r="AL31" s="25"/>
      <c r="AM31" s="34"/>
      <c r="AN31" s="27"/>
      <c r="AO31" s="27"/>
      <c r="AP31" s="36"/>
      <c r="AQ31" s="37"/>
      <c r="AR31" s="32"/>
      <c r="AS31" s="25"/>
      <c r="AT31" s="27"/>
      <c r="AU31" s="201"/>
      <c r="AW31" s="25"/>
      <c r="AX31" s="27"/>
      <c r="AY31" s="27"/>
      <c r="AZ31" s="32"/>
      <c r="BA31" s="41"/>
    </row>
    <row r="32" spans="1:53" ht="16" thickBot="1" x14ac:dyDescent="0.25">
      <c r="A32" s="25">
        <v>16</v>
      </c>
      <c r="B32" s="26">
        <v>45493</v>
      </c>
      <c r="C32" s="27" t="s">
        <v>232</v>
      </c>
      <c r="D32" s="25"/>
      <c r="E32" s="28"/>
      <c r="F32" s="27"/>
      <c r="G32" s="28"/>
      <c r="H32" s="27"/>
      <c r="I32" s="28"/>
      <c r="J32" s="27" t="s">
        <v>208</v>
      </c>
      <c r="K32" s="29" t="s">
        <v>35</v>
      </c>
      <c r="L32" s="44" t="s">
        <v>288</v>
      </c>
      <c r="M32" s="31"/>
      <c r="N32" s="27" t="s">
        <v>240</v>
      </c>
      <c r="P32" s="32"/>
      <c r="Q32" s="25"/>
      <c r="R32" s="27"/>
      <c r="S32" s="27"/>
      <c r="T32" s="28"/>
      <c r="U32" s="27">
        <v>1</v>
      </c>
      <c r="V32" s="27"/>
      <c r="W32" s="28">
        <v>1</v>
      </c>
      <c r="X32" s="63" t="s">
        <v>60</v>
      </c>
      <c r="Y32" s="46" t="s">
        <v>61</v>
      </c>
      <c r="AB32" s="28"/>
      <c r="AC32" s="27">
        <v>10</v>
      </c>
      <c r="AD32" s="27">
        <v>5</v>
      </c>
      <c r="AE32" s="33"/>
      <c r="AG32" s="25"/>
      <c r="AH32" s="34"/>
      <c r="AI32" s="27"/>
      <c r="AJ32" s="27"/>
      <c r="AK32" s="27"/>
      <c r="AL32" s="25"/>
      <c r="AM32" s="34"/>
      <c r="AN32" s="27"/>
      <c r="AO32" s="27"/>
      <c r="AP32" s="36"/>
      <c r="AQ32" s="64"/>
      <c r="AR32" s="65"/>
      <c r="AS32" s="25"/>
      <c r="AT32" s="27"/>
      <c r="AU32" s="27"/>
      <c r="AW32" s="25"/>
      <c r="AX32" s="27"/>
      <c r="AY32" s="27"/>
      <c r="AZ32" s="32"/>
      <c r="BA32" s="41"/>
    </row>
    <row r="33" spans="1:53" x14ac:dyDescent="0.2">
      <c r="A33" s="25">
        <v>17</v>
      </c>
      <c r="B33" s="26">
        <v>45494</v>
      </c>
      <c r="C33" s="27" t="s">
        <v>232</v>
      </c>
      <c r="D33" s="25"/>
      <c r="E33" s="28"/>
      <c r="F33" s="27"/>
      <c r="G33" s="28"/>
      <c r="H33" s="27"/>
      <c r="I33" s="28"/>
      <c r="J33" s="27" t="s">
        <v>208</v>
      </c>
      <c r="K33" s="29" t="s">
        <v>35</v>
      </c>
      <c r="L33" s="39" t="s">
        <v>557</v>
      </c>
      <c r="M33" s="31"/>
      <c r="N33" s="27" t="s">
        <v>240</v>
      </c>
      <c r="P33" s="32"/>
      <c r="Q33" s="25"/>
      <c r="R33" s="27"/>
      <c r="S33" s="27"/>
      <c r="T33" s="28"/>
      <c r="U33" s="27"/>
      <c r="V33" s="27" t="s">
        <v>154</v>
      </c>
      <c r="W33" s="28"/>
      <c r="X33" s="33" t="s">
        <v>155</v>
      </c>
      <c r="Y33" s="32"/>
      <c r="Z33" s="25"/>
      <c r="AA33" s="27"/>
      <c r="AB33" s="28"/>
      <c r="AC33" s="27">
        <v>10</v>
      </c>
      <c r="AD33" s="27">
        <v>5</v>
      </c>
      <c r="AE33" s="33"/>
      <c r="AG33" s="25"/>
      <c r="AH33" s="34"/>
      <c r="AI33" s="27"/>
      <c r="AJ33" s="27"/>
      <c r="AK33" s="27"/>
      <c r="AL33" s="25"/>
      <c r="AM33" s="34"/>
      <c r="AN33" s="27"/>
      <c r="AO33" s="27"/>
      <c r="AP33" s="36"/>
      <c r="AQ33" s="37"/>
      <c r="AR33" s="32"/>
      <c r="AS33" s="25"/>
      <c r="AT33" s="27"/>
      <c r="AU33" s="27"/>
      <c r="AW33" s="25"/>
      <c r="AX33" s="27"/>
      <c r="AY33" s="27"/>
      <c r="AZ33" s="32"/>
      <c r="BA33" s="41"/>
    </row>
    <row r="34" spans="1:53" ht="16" thickBot="1" x14ac:dyDescent="0.25">
      <c r="A34" s="25">
        <v>18</v>
      </c>
      <c r="B34" s="26">
        <v>45495</v>
      </c>
      <c r="C34" s="27" t="s">
        <v>232</v>
      </c>
      <c r="D34" s="25"/>
      <c r="E34" s="28"/>
      <c r="F34" s="27"/>
      <c r="G34" s="28"/>
      <c r="H34" s="27"/>
      <c r="I34" s="28"/>
      <c r="J34" s="27" t="s">
        <v>208</v>
      </c>
      <c r="K34" s="29" t="s">
        <v>35</v>
      </c>
      <c r="L34" s="39"/>
      <c r="M34" s="31"/>
      <c r="N34" s="27" t="s">
        <v>240</v>
      </c>
      <c r="P34" s="66"/>
      <c r="Q34" s="25"/>
      <c r="R34" s="27"/>
      <c r="S34" s="27"/>
      <c r="T34" s="28"/>
      <c r="U34" s="27"/>
      <c r="V34" s="27" t="s">
        <v>154</v>
      </c>
      <c r="W34" s="28"/>
      <c r="X34" s="33"/>
      <c r="Y34" s="32"/>
      <c r="Z34" s="25"/>
      <c r="AA34" s="27"/>
      <c r="AB34" s="28"/>
      <c r="AC34" s="27">
        <v>10</v>
      </c>
      <c r="AD34" s="27">
        <v>5</v>
      </c>
      <c r="AE34" s="33"/>
      <c r="AG34" s="25"/>
      <c r="AH34" s="34"/>
      <c r="AI34" s="27"/>
      <c r="AJ34" s="27"/>
      <c r="AK34" s="27"/>
      <c r="AL34" s="25"/>
      <c r="AM34" s="34"/>
      <c r="AN34" s="27"/>
      <c r="AO34" s="27"/>
      <c r="AP34" s="36"/>
      <c r="AQ34" s="67" t="s">
        <v>65</v>
      </c>
      <c r="AR34" s="46" t="s">
        <v>350</v>
      </c>
      <c r="AS34" s="25"/>
      <c r="AT34" s="27"/>
      <c r="AW34" s="25"/>
      <c r="AX34" s="27"/>
      <c r="AY34" s="27"/>
      <c r="AZ34" s="32"/>
      <c r="BA34" s="41"/>
    </row>
    <row r="35" spans="1:53" ht="16" thickBot="1" x14ac:dyDescent="0.25">
      <c r="A35" s="25">
        <v>19</v>
      </c>
      <c r="B35" s="26">
        <v>45496</v>
      </c>
      <c r="C35" s="27" t="s">
        <v>232</v>
      </c>
      <c r="D35" s="25"/>
      <c r="E35" s="28"/>
      <c r="F35" s="27"/>
      <c r="G35" s="28"/>
      <c r="H35" s="27"/>
      <c r="I35" s="28"/>
      <c r="J35" s="27" t="s">
        <v>208</v>
      </c>
      <c r="K35" s="29" t="s">
        <v>35</v>
      </c>
      <c r="L35" s="39"/>
      <c r="M35" s="31"/>
      <c r="N35" s="27" t="s">
        <v>240</v>
      </c>
      <c r="P35" s="32"/>
      <c r="Q35" s="25"/>
      <c r="R35" s="27"/>
      <c r="S35" s="27"/>
      <c r="T35" s="28"/>
      <c r="U35" s="27"/>
      <c r="V35" s="27" t="s">
        <v>154</v>
      </c>
      <c r="W35" s="28"/>
      <c r="X35" s="33"/>
      <c r="Y35" s="32"/>
      <c r="Z35" s="25"/>
      <c r="AA35" s="27"/>
      <c r="AB35" s="28"/>
      <c r="AC35" s="27">
        <v>10</v>
      </c>
      <c r="AD35" s="27">
        <v>5</v>
      </c>
      <c r="AE35" s="33"/>
      <c r="AG35" s="25"/>
      <c r="AH35" s="34"/>
      <c r="AI35" s="27">
        <v>2.5000000000000001E-2</v>
      </c>
      <c r="AJ35" s="27"/>
      <c r="AK35" s="27">
        <v>2.5000000000000001E-2</v>
      </c>
      <c r="AL35" s="25"/>
      <c r="AM35" s="34"/>
      <c r="AN35" s="27"/>
      <c r="AO35" s="27"/>
      <c r="AP35" s="36"/>
      <c r="AQ35" s="203"/>
      <c r="AR35" s="32" t="s">
        <v>64</v>
      </c>
      <c r="AS35" s="25"/>
      <c r="AT35" s="27"/>
      <c r="AU35" s="27"/>
      <c r="AW35" s="25"/>
      <c r="AX35" s="27"/>
      <c r="AY35" s="27"/>
      <c r="AZ35" s="32"/>
      <c r="BA35" s="62"/>
    </row>
    <row r="36" spans="1:53" x14ac:dyDescent="0.2">
      <c r="A36" s="25">
        <v>20</v>
      </c>
      <c r="B36" s="26">
        <v>45497</v>
      </c>
      <c r="C36" s="27" t="s">
        <v>227</v>
      </c>
      <c r="D36" s="25"/>
      <c r="E36" s="28"/>
      <c r="F36" s="27"/>
      <c r="G36" s="28"/>
      <c r="H36" s="27"/>
      <c r="I36" s="28"/>
      <c r="J36" s="27" t="s">
        <v>208</v>
      </c>
      <c r="K36" s="29" t="s">
        <v>35</v>
      </c>
      <c r="L36" s="39"/>
      <c r="M36" s="197"/>
      <c r="N36" s="27" t="s">
        <v>240</v>
      </c>
      <c r="O36" s="306" t="s">
        <v>66</v>
      </c>
      <c r="P36" s="32"/>
      <c r="Q36" s="25"/>
      <c r="R36" s="27"/>
      <c r="S36" s="27"/>
      <c r="T36" s="28"/>
      <c r="U36" s="27"/>
      <c r="V36" s="27" t="s">
        <v>154</v>
      </c>
      <c r="W36" s="28"/>
      <c r="X36" s="33"/>
      <c r="Y36" s="32"/>
      <c r="Z36" s="25"/>
      <c r="AA36" s="27"/>
      <c r="AB36" s="28"/>
      <c r="AC36" s="27">
        <v>10</v>
      </c>
      <c r="AD36" s="27">
        <v>5</v>
      </c>
      <c r="AE36" s="33"/>
      <c r="AG36" s="25"/>
      <c r="AH36" s="34"/>
      <c r="AI36" s="27">
        <v>2.5000000000000001E-2</v>
      </c>
      <c r="AJ36" s="27"/>
      <c r="AK36" s="27">
        <v>2.5000000000000001E-2</v>
      </c>
      <c r="AL36" s="25"/>
      <c r="AM36" s="34"/>
      <c r="AN36" s="27"/>
      <c r="AO36" s="27"/>
      <c r="AP36" s="36"/>
      <c r="AQ36" s="37"/>
      <c r="AR36" s="32" t="s">
        <v>64</v>
      </c>
      <c r="AS36" s="25"/>
      <c r="AT36" s="27"/>
      <c r="AU36" s="27"/>
      <c r="AW36" s="25"/>
      <c r="AX36" s="27"/>
      <c r="AY36" s="27"/>
      <c r="AZ36" s="32"/>
      <c r="BA36" s="41"/>
    </row>
    <row r="37" spans="1:53" ht="16" thickBot="1" x14ac:dyDescent="0.25">
      <c r="A37" s="70">
        <v>21</v>
      </c>
      <c r="B37" s="26">
        <v>45498</v>
      </c>
      <c r="C37" s="71" t="s">
        <v>227</v>
      </c>
      <c r="D37" s="70"/>
      <c r="E37" s="72"/>
      <c r="F37" s="71"/>
      <c r="G37" s="72"/>
      <c r="H37" s="71"/>
      <c r="I37" s="72"/>
      <c r="J37" s="27" t="s">
        <v>208</v>
      </c>
      <c r="K37" s="29" t="s">
        <v>35</v>
      </c>
      <c r="L37" s="39"/>
      <c r="M37" s="198"/>
      <c r="N37" s="27" t="s">
        <v>240</v>
      </c>
      <c r="O37" s="307"/>
      <c r="P37" s="74"/>
      <c r="Q37" s="70"/>
      <c r="R37" s="71"/>
      <c r="S37" s="71"/>
      <c r="T37" s="72"/>
      <c r="U37" s="71"/>
      <c r="V37" s="71" t="s">
        <v>154</v>
      </c>
      <c r="W37" s="72"/>
      <c r="X37" s="33"/>
      <c r="Y37" s="75"/>
      <c r="Z37" s="70"/>
      <c r="AA37" s="71"/>
      <c r="AB37" s="72"/>
      <c r="AC37" s="27">
        <v>10</v>
      </c>
      <c r="AD37" s="71">
        <v>5</v>
      </c>
      <c r="AE37" s="33"/>
      <c r="AF37" s="76"/>
      <c r="AG37" s="70"/>
      <c r="AH37" s="77"/>
      <c r="AI37" s="27">
        <v>2.5000000000000001E-2</v>
      </c>
      <c r="AJ37" s="27"/>
      <c r="AK37" s="27">
        <v>2.5000000000000001E-2</v>
      </c>
      <c r="AL37" s="70"/>
      <c r="AM37" s="77"/>
      <c r="AN37" s="27"/>
      <c r="AO37" s="71"/>
      <c r="AP37" s="78"/>
      <c r="AQ37" s="37"/>
      <c r="AR37" s="32" t="s">
        <v>64</v>
      </c>
      <c r="AS37" s="70"/>
      <c r="AT37" s="27"/>
      <c r="AU37" s="71"/>
      <c r="AV37" s="76"/>
      <c r="AW37" s="70"/>
      <c r="AX37" s="71"/>
      <c r="AY37" s="71"/>
      <c r="AZ37" s="75"/>
      <c r="BA37" s="79"/>
    </row>
    <row r="38" spans="1:53" ht="16" thickBot="1" x14ac:dyDescent="0.25">
      <c r="A38" s="25">
        <v>22</v>
      </c>
      <c r="B38" s="26">
        <v>45499</v>
      </c>
      <c r="C38" s="27" t="s">
        <v>200</v>
      </c>
      <c r="D38" s="25"/>
      <c r="E38" s="28"/>
      <c r="F38" s="27"/>
      <c r="G38" s="28"/>
      <c r="H38" s="27"/>
      <c r="I38" s="28"/>
      <c r="J38" s="27" t="s">
        <v>208</v>
      </c>
      <c r="K38" s="29" t="s">
        <v>35</v>
      </c>
      <c r="L38" s="39"/>
      <c r="M38" s="197"/>
      <c r="N38" s="27" t="s">
        <v>240</v>
      </c>
      <c r="O38" s="307"/>
      <c r="P38" s="46"/>
      <c r="Q38" s="43"/>
      <c r="R38" s="27"/>
      <c r="S38" s="27"/>
      <c r="T38" s="28"/>
      <c r="U38" s="27"/>
      <c r="V38" s="27" t="s">
        <v>154</v>
      </c>
      <c r="W38" s="28"/>
      <c r="X38" s="33"/>
      <c r="Y38" s="32"/>
      <c r="Z38" s="60"/>
      <c r="AA38" s="60"/>
      <c r="AB38" s="61"/>
      <c r="AC38" s="27">
        <v>10</v>
      </c>
      <c r="AD38" s="27">
        <v>5</v>
      </c>
      <c r="AE38" s="33"/>
      <c r="AG38" s="25"/>
      <c r="AH38" s="34"/>
      <c r="AI38" s="27">
        <v>0.05</v>
      </c>
      <c r="AJ38" s="27"/>
      <c r="AK38" s="27">
        <v>0.05</v>
      </c>
      <c r="AL38" s="25"/>
      <c r="AM38" s="34"/>
      <c r="AN38" s="27"/>
      <c r="AO38" s="27"/>
      <c r="AP38" s="36"/>
      <c r="AQ38" s="37"/>
      <c r="AR38" s="32" t="s">
        <v>64</v>
      </c>
      <c r="AS38" s="25"/>
      <c r="AT38" s="27"/>
      <c r="AU38" s="27"/>
      <c r="AW38" s="25"/>
      <c r="AX38" s="27"/>
      <c r="AY38" s="27"/>
      <c r="AZ38" s="32"/>
      <c r="BA38" s="80" t="s">
        <v>68</v>
      </c>
    </row>
    <row r="39" spans="1:53" ht="16" thickBot="1" x14ac:dyDescent="0.25">
      <c r="A39" s="25">
        <v>23</v>
      </c>
      <c r="B39" s="26">
        <v>45500</v>
      </c>
      <c r="C39" s="27" t="s">
        <v>200</v>
      </c>
      <c r="D39" s="25"/>
      <c r="E39" s="28"/>
      <c r="F39" s="27"/>
      <c r="G39" s="28"/>
      <c r="H39" s="27"/>
      <c r="I39" s="28"/>
      <c r="J39" s="27" t="s">
        <v>208</v>
      </c>
      <c r="K39" s="29" t="s">
        <v>35</v>
      </c>
      <c r="L39" s="39"/>
      <c r="M39" s="31"/>
      <c r="N39" s="27" t="s">
        <v>240</v>
      </c>
      <c r="O39" s="307"/>
      <c r="P39" s="32"/>
      <c r="Q39" s="25"/>
      <c r="R39" s="27"/>
      <c r="S39" s="27"/>
      <c r="T39" s="28"/>
      <c r="U39" s="27"/>
      <c r="V39" s="27" t="s">
        <v>154</v>
      </c>
      <c r="W39" s="28"/>
      <c r="X39" s="33"/>
      <c r="Y39" s="32"/>
      <c r="Z39" s="25"/>
      <c r="AA39" s="27"/>
      <c r="AB39" s="28"/>
      <c r="AC39" s="27">
        <v>10</v>
      </c>
      <c r="AD39" s="27">
        <v>5</v>
      </c>
      <c r="AE39" s="33"/>
      <c r="AG39" s="25"/>
      <c r="AH39" s="34"/>
      <c r="AI39" s="27">
        <v>0.1</v>
      </c>
      <c r="AJ39" s="27"/>
      <c r="AK39" s="27">
        <v>0.1</v>
      </c>
      <c r="AL39" s="25"/>
      <c r="AM39" s="34"/>
      <c r="AN39" s="27"/>
      <c r="AO39" s="27"/>
      <c r="AP39" s="36"/>
      <c r="AQ39" s="37"/>
      <c r="AR39" s="32" t="s">
        <v>64</v>
      </c>
      <c r="AS39" s="25"/>
      <c r="AT39" s="27"/>
      <c r="AU39" s="201"/>
      <c r="AW39" s="25"/>
      <c r="AX39" s="27"/>
      <c r="AY39" s="27"/>
      <c r="AZ39" s="32"/>
      <c r="BA39" s="41">
        <v>5</v>
      </c>
    </row>
    <row r="40" spans="1:53" ht="16" thickBot="1" x14ac:dyDescent="0.25">
      <c r="A40" s="25">
        <v>24</v>
      </c>
      <c r="B40" s="26">
        <v>45501</v>
      </c>
      <c r="C40" s="27" t="s">
        <v>200</v>
      </c>
      <c r="D40" s="25"/>
      <c r="E40" s="28"/>
      <c r="F40" s="27"/>
      <c r="G40" s="28"/>
      <c r="H40" s="27"/>
      <c r="I40" s="28"/>
      <c r="J40" s="27" t="s">
        <v>208</v>
      </c>
      <c r="K40" s="29" t="s">
        <v>35</v>
      </c>
      <c r="L40" s="44" t="s">
        <v>289</v>
      </c>
      <c r="M40" s="31"/>
      <c r="N40" s="27" t="s">
        <v>240</v>
      </c>
      <c r="O40" s="307"/>
      <c r="P40" s="32"/>
      <c r="Q40" s="25"/>
      <c r="R40" s="27"/>
      <c r="S40" s="27"/>
      <c r="T40" s="28"/>
      <c r="U40" s="27"/>
      <c r="V40" s="27" t="s">
        <v>154</v>
      </c>
      <c r="W40" s="28"/>
      <c r="X40" s="33"/>
      <c r="Y40" s="32"/>
      <c r="Z40" s="25"/>
      <c r="AA40" s="27"/>
      <c r="AB40" s="28"/>
      <c r="AC40" s="27">
        <v>10</v>
      </c>
      <c r="AD40" s="27">
        <v>5</v>
      </c>
      <c r="AF40" s="46" t="s">
        <v>290</v>
      </c>
      <c r="AG40" s="25"/>
      <c r="AH40" s="34"/>
      <c r="AI40" s="27">
        <v>0.1</v>
      </c>
      <c r="AJ40" s="27">
        <v>0.1</v>
      </c>
      <c r="AK40" s="27">
        <v>0.1</v>
      </c>
      <c r="AL40" s="25"/>
      <c r="AM40" s="34"/>
      <c r="AN40" s="27"/>
      <c r="AO40" s="27"/>
      <c r="AP40" s="36"/>
      <c r="AQ40" s="37"/>
      <c r="AR40" s="46" t="s">
        <v>351</v>
      </c>
      <c r="AS40" s="25" t="s">
        <v>72</v>
      </c>
      <c r="AT40" s="27" t="s">
        <v>52</v>
      </c>
      <c r="AU40" s="58" t="s">
        <v>295</v>
      </c>
      <c r="AW40" s="25"/>
      <c r="AX40" s="27"/>
      <c r="AY40" s="27"/>
      <c r="AZ40" s="32"/>
      <c r="BA40" s="41">
        <v>7</v>
      </c>
    </row>
    <row r="41" spans="1:53" ht="16" thickBot="1" x14ac:dyDescent="0.25">
      <c r="A41" s="25">
        <v>25</v>
      </c>
      <c r="B41" s="26">
        <v>45502</v>
      </c>
      <c r="C41" s="27" t="s">
        <v>232</v>
      </c>
      <c r="D41" s="25"/>
      <c r="E41" s="28"/>
      <c r="F41" s="27"/>
      <c r="G41" s="28"/>
      <c r="H41" s="27"/>
      <c r="I41" s="28"/>
      <c r="J41" s="27" t="s">
        <v>208</v>
      </c>
      <c r="K41" s="29" t="s">
        <v>35</v>
      </c>
      <c r="L41" s="39"/>
      <c r="M41" s="31"/>
      <c r="N41" s="27" t="s">
        <v>240</v>
      </c>
      <c r="O41" s="307"/>
      <c r="P41" s="81"/>
      <c r="Q41" s="43"/>
      <c r="R41" s="27"/>
      <c r="S41" s="27"/>
      <c r="T41" s="28"/>
      <c r="U41" s="27"/>
      <c r="V41" s="27" t="s">
        <v>154</v>
      </c>
      <c r="W41" s="28"/>
      <c r="X41" s="33"/>
      <c r="Y41" s="32"/>
      <c r="Z41" s="27"/>
      <c r="AA41" s="27"/>
      <c r="AB41" s="28"/>
      <c r="AC41" s="27"/>
      <c r="AD41" s="27"/>
      <c r="AE41" s="27"/>
      <c r="AG41" s="25"/>
      <c r="AH41" s="34"/>
      <c r="AI41" s="27">
        <v>0.1</v>
      </c>
      <c r="AJ41" s="27">
        <v>0.1</v>
      </c>
      <c r="AK41" s="27">
        <v>0.1</v>
      </c>
      <c r="AL41" s="25"/>
      <c r="AM41" s="34"/>
      <c r="AN41" s="27"/>
      <c r="AO41" s="27"/>
      <c r="AP41" s="36"/>
      <c r="AQ41" s="37"/>
      <c r="AR41" s="32" t="s">
        <v>75</v>
      </c>
      <c r="AS41" s="25" t="s">
        <v>72</v>
      </c>
      <c r="AT41" s="27" t="s">
        <v>52</v>
      </c>
      <c r="AW41" s="25"/>
      <c r="AX41" s="27"/>
      <c r="AY41" s="27"/>
      <c r="AZ41" s="32"/>
      <c r="BA41" s="41">
        <v>16</v>
      </c>
    </row>
    <row r="42" spans="1:53" ht="16" thickBot="1" x14ac:dyDescent="0.25">
      <c r="A42" s="25">
        <v>26</v>
      </c>
      <c r="B42" s="26">
        <v>45503</v>
      </c>
      <c r="C42" s="27" t="s">
        <v>227</v>
      </c>
      <c r="D42" s="25"/>
      <c r="E42" s="28"/>
      <c r="F42" s="27"/>
      <c r="G42" s="28"/>
      <c r="H42" s="27"/>
      <c r="I42" s="28"/>
      <c r="J42" s="27" t="s">
        <v>208</v>
      </c>
      <c r="K42" s="29" t="s">
        <v>35</v>
      </c>
      <c r="L42" s="39" t="s">
        <v>587</v>
      </c>
      <c r="M42" s="31"/>
      <c r="N42" s="27" t="s">
        <v>240</v>
      </c>
      <c r="O42" s="307"/>
      <c r="P42" s="32"/>
      <c r="Q42" s="25"/>
      <c r="R42" s="27"/>
      <c r="S42" s="27"/>
      <c r="T42" s="28"/>
      <c r="U42" s="27"/>
      <c r="V42" s="27" t="s">
        <v>154</v>
      </c>
      <c r="W42" s="28"/>
      <c r="X42" s="33"/>
      <c r="Y42" s="32"/>
      <c r="Z42" s="25"/>
      <c r="AA42" s="27"/>
      <c r="AB42" s="28"/>
      <c r="AC42" s="27"/>
      <c r="AD42" s="27"/>
      <c r="AE42" s="33"/>
      <c r="AG42" s="25"/>
      <c r="AH42" s="34"/>
      <c r="AI42" s="27">
        <v>0.1</v>
      </c>
      <c r="AJ42" s="27">
        <v>0.1</v>
      </c>
      <c r="AK42" s="27">
        <v>0.1</v>
      </c>
      <c r="AL42" s="25"/>
      <c r="AM42" s="34"/>
      <c r="AN42" s="27"/>
      <c r="AO42" s="27"/>
      <c r="AP42" s="36"/>
      <c r="AQ42" s="37"/>
      <c r="AR42" s="32" t="s">
        <v>75</v>
      </c>
      <c r="AS42" s="25" t="s">
        <v>72</v>
      </c>
      <c r="AT42" s="27" t="s">
        <v>52</v>
      </c>
      <c r="AW42" s="25"/>
      <c r="AX42" s="27"/>
      <c r="AY42" s="27"/>
      <c r="AZ42" s="32"/>
      <c r="BA42" s="41">
        <v>99</v>
      </c>
    </row>
    <row r="43" spans="1:53" ht="16" thickBot="1" x14ac:dyDescent="0.25">
      <c r="A43" s="25">
        <v>27</v>
      </c>
      <c r="B43" s="26">
        <v>45504</v>
      </c>
      <c r="C43" s="27" t="s">
        <v>227</v>
      </c>
      <c r="D43" s="25"/>
      <c r="E43" s="28"/>
      <c r="F43" s="27"/>
      <c r="G43" s="28"/>
      <c r="H43" s="27"/>
      <c r="I43" s="28"/>
      <c r="J43" s="27" t="s">
        <v>208</v>
      </c>
      <c r="K43" s="29" t="s">
        <v>35</v>
      </c>
      <c r="L43" s="39" t="s">
        <v>595</v>
      </c>
      <c r="M43" s="31"/>
      <c r="N43" s="27" t="s">
        <v>240</v>
      </c>
      <c r="O43" s="307"/>
      <c r="P43" s="32"/>
      <c r="Q43" s="25"/>
      <c r="R43" s="27"/>
      <c r="S43" s="27"/>
      <c r="T43" s="28"/>
      <c r="U43" s="27"/>
      <c r="V43" s="27" t="s">
        <v>154</v>
      </c>
      <c r="W43" s="28"/>
      <c r="X43" s="33"/>
      <c r="Y43" s="32"/>
      <c r="Z43" s="25"/>
      <c r="AA43" s="27"/>
      <c r="AB43" s="28"/>
      <c r="AC43" s="27"/>
      <c r="AD43" s="27"/>
      <c r="AE43" s="33"/>
      <c r="AG43" s="25"/>
      <c r="AH43" s="34"/>
      <c r="AI43" s="27">
        <v>0.1</v>
      </c>
      <c r="AJ43" s="27">
        <v>0.1</v>
      </c>
      <c r="AK43" s="27">
        <v>0.1</v>
      </c>
      <c r="AL43" s="25"/>
      <c r="AM43" s="34"/>
      <c r="AN43" s="27"/>
      <c r="AO43" s="27"/>
      <c r="AP43" s="36"/>
      <c r="AQ43" s="82" t="s">
        <v>292</v>
      </c>
      <c r="AR43" s="32" t="s">
        <v>352</v>
      </c>
      <c r="AS43" s="25" t="s">
        <v>72</v>
      </c>
      <c r="AT43" s="27" t="s">
        <v>52</v>
      </c>
      <c r="AU43" s="27"/>
      <c r="AW43" s="25"/>
      <c r="AX43" s="27"/>
      <c r="AY43" s="27"/>
      <c r="AZ43" s="32"/>
      <c r="BA43" s="41">
        <v>16</v>
      </c>
    </row>
    <row r="44" spans="1:53" x14ac:dyDescent="0.2">
      <c r="A44" s="25">
        <v>28</v>
      </c>
      <c r="B44" s="26">
        <v>45505</v>
      </c>
      <c r="C44" s="27" t="s">
        <v>227</v>
      </c>
      <c r="D44" s="25"/>
      <c r="E44" s="28"/>
      <c r="F44" s="27"/>
      <c r="G44" s="28"/>
      <c r="H44" s="27"/>
      <c r="I44" s="28"/>
      <c r="J44" s="27" t="s">
        <v>208</v>
      </c>
      <c r="K44" s="29" t="s">
        <v>35</v>
      </c>
      <c r="L44" s="39"/>
      <c r="M44" s="31"/>
      <c r="N44" s="27" t="s">
        <v>240</v>
      </c>
      <c r="O44" s="307"/>
      <c r="P44" s="32"/>
      <c r="Q44" s="25"/>
      <c r="R44" s="27"/>
      <c r="S44" s="27"/>
      <c r="T44" s="28"/>
      <c r="U44" s="27"/>
      <c r="V44" s="27" t="s">
        <v>154</v>
      </c>
      <c r="W44" s="28"/>
      <c r="Y44" s="32"/>
      <c r="Z44" s="25"/>
      <c r="AA44" s="27"/>
      <c r="AB44" s="28"/>
      <c r="AC44" s="27"/>
      <c r="AD44" s="27"/>
      <c r="AE44" s="33"/>
      <c r="AG44" s="25"/>
      <c r="AH44" s="34"/>
      <c r="AI44" s="27">
        <v>0.1</v>
      </c>
      <c r="AJ44" s="27">
        <v>0.1</v>
      </c>
      <c r="AK44" s="27">
        <v>0.1</v>
      </c>
      <c r="AL44" s="25"/>
      <c r="AM44" s="34"/>
      <c r="AN44" s="27"/>
      <c r="AO44" s="27"/>
      <c r="AP44" s="36"/>
      <c r="AR44" s="32" t="s">
        <v>293</v>
      </c>
      <c r="AS44" s="25" t="s">
        <v>72</v>
      </c>
      <c r="AT44" s="27" t="s">
        <v>52</v>
      </c>
      <c r="AU44" s="27"/>
      <c r="AW44" s="25"/>
      <c r="AX44" s="27"/>
      <c r="AY44" s="27"/>
      <c r="AZ44" s="32"/>
      <c r="BA44" s="41">
        <v>3</v>
      </c>
    </row>
    <row r="45" spans="1:53" ht="17.25" customHeight="1" thickBot="1" x14ac:dyDescent="0.25">
      <c r="A45" s="25">
        <v>29</v>
      </c>
      <c r="B45" s="26">
        <v>45506</v>
      </c>
      <c r="C45" s="27" t="s">
        <v>200</v>
      </c>
      <c r="D45" s="25"/>
      <c r="E45" s="28"/>
      <c r="F45" s="27"/>
      <c r="G45" s="28"/>
      <c r="H45" s="27"/>
      <c r="I45" s="28"/>
      <c r="J45" s="27" t="s">
        <v>208</v>
      </c>
      <c r="K45" s="29" t="s">
        <v>345</v>
      </c>
      <c r="L45" s="39"/>
      <c r="M45" s="31"/>
      <c r="N45" s="27" t="s">
        <v>240</v>
      </c>
      <c r="O45" s="307"/>
      <c r="P45" s="32"/>
      <c r="Q45" s="25"/>
      <c r="R45" s="27"/>
      <c r="S45" s="27"/>
      <c r="T45" s="28"/>
      <c r="U45" s="27"/>
      <c r="V45" s="27" t="s">
        <v>154</v>
      </c>
      <c r="W45" s="28"/>
      <c r="X45" s="33"/>
      <c r="Y45" s="32"/>
      <c r="Z45" s="25"/>
      <c r="AA45" s="27"/>
      <c r="AB45" s="28"/>
      <c r="AC45" s="27"/>
      <c r="AD45" s="27"/>
      <c r="AE45" s="33"/>
      <c r="AG45" s="25"/>
      <c r="AH45" s="34"/>
      <c r="AI45" s="27">
        <v>0.1</v>
      </c>
      <c r="AJ45" s="27">
        <v>0.1</v>
      </c>
      <c r="AK45" s="27">
        <v>0.1</v>
      </c>
      <c r="AL45" s="25"/>
      <c r="AM45" s="34"/>
      <c r="AN45" s="27">
        <v>0.05</v>
      </c>
      <c r="AO45" s="27"/>
      <c r="AP45" s="36">
        <v>0.05</v>
      </c>
      <c r="AQ45" s="37"/>
      <c r="AR45" s="32" t="s">
        <v>293</v>
      </c>
      <c r="AS45" s="25" t="s">
        <v>72</v>
      </c>
      <c r="AT45" s="27" t="s">
        <v>52</v>
      </c>
      <c r="AU45" s="27"/>
      <c r="AW45" s="25"/>
      <c r="AX45" s="27"/>
      <c r="AY45" s="27"/>
      <c r="AZ45" s="32"/>
      <c r="BA45" s="41">
        <v>0</v>
      </c>
    </row>
    <row r="46" spans="1:53" s="87" customFormat="1" ht="16" thickBot="1" x14ac:dyDescent="0.25">
      <c r="A46" s="25">
        <v>30</v>
      </c>
      <c r="B46" s="26">
        <v>45507</v>
      </c>
      <c r="C46" s="27" t="s">
        <v>200</v>
      </c>
      <c r="D46" s="25"/>
      <c r="E46" s="28"/>
      <c r="F46" s="27"/>
      <c r="G46" s="28"/>
      <c r="H46" s="27"/>
      <c r="I46" s="28"/>
      <c r="J46" s="27" t="s">
        <v>208</v>
      </c>
      <c r="K46" s="29" t="s">
        <v>346</v>
      </c>
      <c r="L46" s="39"/>
      <c r="M46" s="31"/>
      <c r="N46" s="27" t="s">
        <v>240</v>
      </c>
      <c r="O46" s="307"/>
      <c r="Q46" s="83"/>
      <c r="R46" s="83"/>
      <c r="S46" s="83"/>
      <c r="T46" s="83"/>
      <c r="U46" s="83"/>
      <c r="V46" s="83" t="s">
        <v>154</v>
      </c>
      <c r="W46" s="83"/>
      <c r="X46" s="83"/>
      <c r="Z46" s="83"/>
      <c r="AA46" s="83"/>
      <c r="AB46" s="83"/>
      <c r="AC46" s="83"/>
      <c r="AD46" s="83"/>
      <c r="AE46" s="83"/>
      <c r="AG46" s="83"/>
      <c r="AH46" s="83"/>
      <c r="AI46" s="83">
        <v>0.05</v>
      </c>
      <c r="AJ46" s="83">
        <v>0.05</v>
      </c>
      <c r="AK46" s="83">
        <v>0.05</v>
      </c>
      <c r="AL46" s="83"/>
      <c r="AM46" s="83"/>
      <c r="AN46" s="83">
        <v>0.1</v>
      </c>
      <c r="AO46" s="83"/>
      <c r="AP46" s="83">
        <v>0.1</v>
      </c>
      <c r="AQ46" s="87" t="s">
        <v>599</v>
      </c>
      <c r="AR46" s="190" t="s">
        <v>294</v>
      </c>
      <c r="AS46" s="83" t="s">
        <v>72</v>
      </c>
      <c r="AT46" s="83" t="s">
        <v>52</v>
      </c>
      <c r="AU46" s="83"/>
      <c r="AW46" s="83" t="s">
        <v>325</v>
      </c>
      <c r="AX46" s="83"/>
      <c r="AY46" s="83"/>
      <c r="BA46" s="83">
        <v>11</v>
      </c>
    </row>
    <row r="47" spans="1:53" x14ac:dyDescent="0.2">
      <c r="A47" s="25">
        <v>31</v>
      </c>
      <c r="B47" s="26">
        <v>45508</v>
      </c>
      <c r="C47" s="27" t="s">
        <v>232</v>
      </c>
      <c r="D47" s="25"/>
      <c r="E47" s="28"/>
      <c r="F47" s="27"/>
      <c r="G47" s="28"/>
      <c r="H47" s="27"/>
      <c r="I47" s="28"/>
      <c r="J47" s="202">
        <v>45357</v>
      </c>
      <c r="K47" s="29" t="s">
        <v>347</v>
      </c>
      <c r="L47" s="39"/>
      <c r="M47" s="31"/>
      <c r="N47" s="27" t="s">
        <v>272</v>
      </c>
      <c r="O47" s="307"/>
      <c r="P47" s="32"/>
      <c r="Q47" s="25"/>
      <c r="R47" s="27"/>
      <c r="S47" s="27"/>
      <c r="T47" s="28"/>
      <c r="U47" s="27"/>
      <c r="V47" s="27" t="s">
        <v>154</v>
      </c>
      <c r="W47" s="28"/>
      <c r="X47" s="33"/>
      <c r="Y47" s="32"/>
      <c r="Z47" s="25"/>
      <c r="AA47" s="27"/>
      <c r="AB47" s="28"/>
      <c r="AC47" s="27"/>
      <c r="AD47" s="27"/>
      <c r="AE47" s="33"/>
      <c r="AG47" s="25"/>
      <c r="AH47" s="34"/>
      <c r="AI47" s="27">
        <v>0.05</v>
      </c>
      <c r="AJ47" s="27">
        <v>0.05</v>
      </c>
      <c r="AK47" s="27">
        <v>0.05</v>
      </c>
      <c r="AL47" s="25"/>
      <c r="AM47" s="34"/>
      <c r="AN47" s="27">
        <v>0.1</v>
      </c>
      <c r="AO47" s="27"/>
      <c r="AP47" s="36">
        <v>0.1</v>
      </c>
      <c r="AQ47" s="37"/>
      <c r="AR47" s="66"/>
      <c r="AS47" s="25" t="s">
        <v>72</v>
      </c>
      <c r="AT47" s="27" t="s">
        <v>52</v>
      </c>
      <c r="AU47" s="27"/>
      <c r="AW47" s="25" t="s">
        <v>325</v>
      </c>
      <c r="AX47" s="27"/>
      <c r="AY47" s="27"/>
      <c r="AZ47" s="32"/>
      <c r="BA47" s="41">
        <v>3</v>
      </c>
    </row>
    <row r="48" spans="1:53" x14ac:dyDescent="0.2">
      <c r="A48" s="25">
        <v>32</v>
      </c>
      <c r="B48" s="26">
        <v>45509</v>
      </c>
      <c r="C48" s="27" t="s">
        <v>200</v>
      </c>
      <c r="D48" s="25"/>
      <c r="E48" s="28"/>
      <c r="F48" s="27"/>
      <c r="G48" s="28"/>
      <c r="H48" s="27"/>
      <c r="I48" s="28"/>
      <c r="J48" s="202">
        <v>45357</v>
      </c>
      <c r="K48" s="29" t="s">
        <v>35</v>
      </c>
      <c r="L48" s="39"/>
      <c r="M48" s="31"/>
      <c r="N48" s="27" t="s">
        <v>272</v>
      </c>
      <c r="O48" s="307"/>
      <c r="P48" s="32"/>
      <c r="Q48" s="25"/>
      <c r="R48" s="27"/>
      <c r="S48" s="27"/>
      <c r="T48" s="28"/>
      <c r="U48" s="27"/>
      <c r="V48" s="27" t="s">
        <v>154</v>
      </c>
      <c r="W48" s="28"/>
      <c r="X48" s="33"/>
      <c r="Y48" s="32"/>
      <c r="Z48" s="25"/>
      <c r="AA48" s="27"/>
      <c r="AB48" s="28"/>
      <c r="AC48" s="27"/>
      <c r="AD48" s="27"/>
      <c r="AE48" s="33"/>
      <c r="AG48" s="25"/>
      <c r="AH48" s="34"/>
      <c r="AI48" s="27">
        <v>0.05</v>
      </c>
      <c r="AJ48" s="27">
        <v>0.05</v>
      </c>
      <c r="AK48" s="27">
        <v>0.05</v>
      </c>
      <c r="AL48" s="25"/>
      <c r="AM48" s="34"/>
      <c r="AN48" s="27">
        <v>0.1</v>
      </c>
      <c r="AO48" s="27"/>
      <c r="AP48" s="36">
        <v>0.1</v>
      </c>
      <c r="AQ48" s="37"/>
      <c r="AR48" s="32"/>
      <c r="AS48" s="25" t="s">
        <v>72</v>
      </c>
      <c r="AT48" s="27" t="s">
        <v>52</v>
      </c>
      <c r="AU48" s="27"/>
      <c r="AW48" s="25" t="s">
        <v>325</v>
      </c>
      <c r="AX48" s="27"/>
      <c r="AY48" s="27"/>
      <c r="AZ48" s="32"/>
      <c r="BA48" s="41">
        <v>6</v>
      </c>
    </row>
    <row r="49" spans="1:54" x14ac:dyDescent="0.2">
      <c r="A49" s="25">
        <v>33</v>
      </c>
      <c r="B49" s="26">
        <v>45510</v>
      </c>
      <c r="C49" s="27" t="s">
        <v>227</v>
      </c>
      <c r="D49" s="25"/>
      <c r="E49" s="28"/>
      <c r="F49" s="27"/>
      <c r="G49" s="28"/>
      <c r="H49" s="27"/>
      <c r="I49" s="28"/>
      <c r="J49" s="202">
        <v>45357</v>
      </c>
      <c r="K49" s="29" t="s">
        <v>35</v>
      </c>
      <c r="L49" s="39"/>
      <c r="M49" s="31"/>
      <c r="N49" s="27" t="s">
        <v>272</v>
      </c>
      <c r="O49" s="307"/>
      <c r="P49" s="32"/>
      <c r="Q49" s="25"/>
      <c r="R49" s="27"/>
      <c r="S49" s="27"/>
      <c r="T49" s="28"/>
      <c r="U49" s="27"/>
      <c r="V49" s="27" t="s">
        <v>154</v>
      </c>
      <c r="W49" s="28"/>
      <c r="X49" s="33"/>
      <c r="Y49" s="32"/>
      <c r="Z49" s="25"/>
      <c r="AA49" s="27"/>
      <c r="AB49" s="28"/>
      <c r="AC49" s="27"/>
      <c r="AD49" s="27"/>
      <c r="AE49" s="33"/>
      <c r="AG49" s="25"/>
      <c r="AH49" s="34"/>
      <c r="AI49" s="27">
        <v>0.05</v>
      </c>
      <c r="AJ49" s="27">
        <v>0.05</v>
      </c>
      <c r="AK49" s="27">
        <v>0.05</v>
      </c>
      <c r="AL49" s="25"/>
      <c r="AM49" s="34"/>
      <c r="AN49" s="27">
        <v>0.1</v>
      </c>
      <c r="AO49" s="27"/>
      <c r="AP49" s="36">
        <v>0.1</v>
      </c>
      <c r="AQ49" s="37"/>
      <c r="AR49" s="32"/>
      <c r="AS49" s="25" t="s">
        <v>72</v>
      </c>
      <c r="AT49" s="27" t="s">
        <v>52</v>
      </c>
      <c r="AW49" s="25" t="s">
        <v>325</v>
      </c>
      <c r="AX49" s="27"/>
      <c r="AY49" s="27"/>
      <c r="AZ49" s="32"/>
      <c r="BA49" s="41">
        <v>7</v>
      </c>
    </row>
    <row r="50" spans="1:54" ht="16" thickBot="1" x14ac:dyDescent="0.25">
      <c r="A50" s="25">
        <v>34</v>
      </c>
      <c r="B50" s="26">
        <v>45511</v>
      </c>
      <c r="C50" s="27" t="s">
        <v>232</v>
      </c>
      <c r="D50" s="25"/>
      <c r="E50" s="28"/>
      <c r="F50" s="27"/>
      <c r="G50" s="28"/>
      <c r="H50" s="27"/>
      <c r="I50" s="28"/>
      <c r="J50" s="202">
        <v>45357</v>
      </c>
      <c r="K50" s="29" t="s">
        <v>35</v>
      </c>
      <c r="L50" s="39"/>
      <c r="M50" s="31"/>
      <c r="N50" s="27" t="s">
        <v>272</v>
      </c>
      <c r="O50" s="307"/>
      <c r="P50" s="32"/>
      <c r="Q50" s="25"/>
      <c r="R50" s="27"/>
      <c r="S50" s="27"/>
      <c r="T50" s="28"/>
      <c r="U50" s="27"/>
      <c r="V50" s="27" t="s">
        <v>154</v>
      </c>
      <c r="W50" s="28"/>
      <c r="X50" s="33"/>
      <c r="Y50" s="32"/>
      <c r="Z50" s="25"/>
      <c r="AA50" s="27"/>
      <c r="AB50" s="28"/>
      <c r="AC50" s="27"/>
      <c r="AD50" s="27"/>
      <c r="AE50" s="33"/>
      <c r="AG50" s="25"/>
      <c r="AH50" s="34"/>
      <c r="AI50" s="27">
        <v>0.05</v>
      </c>
      <c r="AJ50" s="27">
        <v>0.05</v>
      </c>
      <c r="AK50" s="27">
        <v>0.05</v>
      </c>
      <c r="AL50" s="25"/>
      <c r="AM50" s="34"/>
      <c r="AN50" s="27">
        <v>0.1</v>
      </c>
      <c r="AO50" s="27"/>
      <c r="AP50" s="36">
        <v>0.1</v>
      </c>
      <c r="AQ50" s="37"/>
      <c r="AR50" s="32"/>
      <c r="AS50" s="25" t="s">
        <v>72</v>
      </c>
      <c r="AT50" s="27" t="s">
        <v>52</v>
      </c>
      <c r="AU50" s="27"/>
      <c r="AW50" s="25" t="s">
        <v>325</v>
      </c>
      <c r="AX50" s="27"/>
      <c r="AY50" s="27"/>
      <c r="AZ50" s="32"/>
      <c r="BA50" s="41">
        <v>4</v>
      </c>
    </row>
    <row r="51" spans="1:54" ht="16" thickBot="1" x14ac:dyDescent="0.25">
      <c r="A51" s="25">
        <v>35</v>
      </c>
      <c r="B51" s="26">
        <v>45512</v>
      </c>
      <c r="C51" s="27" t="s">
        <v>232</v>
      </c>
      <c r="D51" s="25"/>
      <c r="E51" s="28"/>
      <c r="F51" s="27"/>
      <c r="G51" s="28"/>
      <c r="H51" s="27"/>
      <c r="I51" s="28"/>
      <c r="J51" s="202">
        <v>45357</v>
      </c>
      <c r="K51" s="29" t="s">
        <v>35</v>
      </c>
      <c r="L51" s="39"/>
      <c r="M51" s="31"/>
      <c r="N51" s="27" t="s">
        <v>272</v>
      </c>
      <c r="O51" s="307"/>
      <c r="P51" s="32"/>
      <c r="Q51" s="25"/>
      <c r="R51" s="27"/>
      <c r="S51" s="27"/>
      <c r="T51" s="28"/>
      <c r="U51" s="27"/>
      <c r="V51" s="27" t="s">
        <v>154</v>
      </c>
      <c r="W51" s="28"/>
      <c r="X51" s="33"/>
      <c r="Y51" s="32"/>
      <c r="Z51" s="25"/>
      <c r="AA51" s="27"/>
      <c r="AB51" s="28"/>
      <c r="AC51" s="27"/>
      <c r="AD51" s="27"/>
      <c r="AE51" s="33"/>
      <c r="AG51" s="25"/>
      <c r="AH51" s="34"/>
      <c r="AI51" s="27">
        <v>0.05</v>
      </c>
      <c r="AJ51" s="27">
        <v>0.05</v>
      </c>
      <c r="AK51" s="27">
        <v>0.05</v>
      </c>
      <c r="AL51" s="25"/>
      <c r="AM51" s="34"/>
      <c r="AN51" s="27">
        <v>0.1</v>
      </c>
      <c r="AO51" s="27"/>
      <c r="AP51" s="36">
        <v>0.1</v>
      </c>
      <c r="AQ51" s="37"/>
      <c r="AR51" s="32"/>
      <c r="AS51" s="25" t="s">
        <v>72</v>
      </c>
      <c r="AT51" s="27" t="s">
        <v>52</v>
      </c>
      <c r="AU51" s="58" t="s">
        <v>77</v>
      </c>
      <c r="AV51" s="27" t="s">
        <v>514</v>
      </c>
      <c r="AW51" s="27" t="s">
        <v>325</v>
      </c>
      <c r="AX51" s="27" t="s">
        <v>91</v>
      </c>
      <c r="AY51" s="27"/>
      <c r="AZ51" s="32"/>
      <c r="BA51" s="41">
        <v>2</v>
      </c>
    </row>
    <row r="52" spans="1:54" ht="16" thickBot="1" x14ac:dyDescent="0.25">
      <c r="A52" s="25">
        <v>36</v>
      </c>
      <c r="B52" s="26">
        <v>45513</v>
      </c>
      <c r="C52" s="27" t="s">
        <v>200</v>
      </c>
      <c r="D52" s="25"/>
      <c r="E52" s="28"/>
      <c r="F52" s="27"/>
      <c r="G52" s="28"/>
      <c r="H52" s="27"/>
      <c r="I52" s="28"/>
      <c r="J52" s="202">
        <v>45357</v>
      </c>
      <c r="K52" s="29" t="s">
        <v>35</v>
      </c>
      <c r="L52" s="53"/>
      <c r="M52" s="31"/>
      <c r="N52" s="27" t="s">
        <v>272</v>
      </c>
      <c r="O52" s="307"/>
      <c r="P52" s="32"/>
      <c r="Q52" s="25"/>
      <c r="R52" s="27"/>
      <c r="S52" s="27"/>
      <c r="T52" s="28"/>
      <c r="U52" s="27"/>
      <c r="V52" s="27" t="s">
        <v>154</v>
      </c>
      <c r="W52" s="28"/>
      <c r="X52" s="33"/>
      <c r="Y52" s="32"/>
      <c r="Z52" s="25"/>
      <c r="AA52" s="27"/>
      <c r="AB52" s="28"/>
      <c r="AC52" s="27"/>
      <c r="AD52" s="27"/>
      <c r="AE52" s="33"/>
      <c r="AG52" s="25"/>
      <c r="AH52" s="34"/>
      <c r="AI52" s="27">
        <v>0.05</v>
      </c>
      <c r="AJ52" s="27">
        <v>0.05</v>
      </c>
      <c r="AK52" s="27">
        <v>0.05</v>
      </c>
      <c r="AL52" s="25"/>
      <c r="AM52" s="34"/>
      <c r="AN52" s="27">
        <v>0.1</v>
      </c>
      <c r="AO52" s="27">
        <v>0.1</v>
      </c>
      <c r="AP52" s="36">
        <v>0.1</v>
      </c>
      <c r="AQ52" s="37"/>
      <c r="AR52" s="32"/>
      <c r="AS52" s="25" t="s">
        <v>72</v>
      </c>
      <c r="AT52" s="27" t="s">
        <v>52</v>
      </c>
      <c r="AW52" s="27" t="s">
        <v>325</v>
      </c>
      <c r="AX52" s="27" t="s">
        <v>91</v>
      </c>
      <c r="AY52" s="27"/>
      <c r="AZ52" s="32"/>
      <c r="BA52" s="41">
        <v>3</v>
      </c>
    </row>
    <row r="53" spans="1:54" ht="16" thickBot="1" x14ac:dyDescent="0.25">
      <c r="A53" s="25">
        <v>37</v>
      </c>
      <c r="B53" s="26">
        <v>45514</v>
      </c>
      <c r="C53" s="27" t="s">
        <v>227</v>
      </c>
      <c r="D53" s="25"/>
      <c r="E53" s="28"/>
      <c r="F53" s="27"/>
      <c r="G53" s="28"/>
      <c r="H53" s="27"/>
      <c r="I53" s="28"/>
      <c r="J53" s="202">
        <v>45357</v>
      </c>
      <c r="K53" s="29" t="s">
        <v>35</v>
      </c>
      <c r="L53" s="53"/>
      <c r="M53" s="31"/>
      <c r="N53" s="27" t="s">
        <v>272</v>
      </c>
      <c r="O53" s="307"/>
      <c r="P53" s="32"/>
      <c r="Q53" s="25"/>
      <c r="R53" s="27"/>
      <c r="S53" s="27"/>
      <c r="T53" s="28"/>
      <c r="U53" s="27"/>
      <c r="V53" s="27" t="s">
        <v>502</v>
      </c>
      <c r="W53" s="28"/>
      <c r="X53" s="33"/>
      <c r="Y53" s="32" t="s">
        <v>601</v>
      </c>
      <c r="Z53" s="59"/>
      <c r="AA53" s="60"/>
      <c r="AB53" s="61"/>
      <c r="AC53" s="27"/>
      <c r="AD53" s="27"/>
      <c r="AE53" s="33"/>
      <c r="AG53" s="25"/>
      <c r="AH53" s="34"/>
      <c r="AI53" s="27"/>
      <c r="AJ53" s="27"/>
      <c r="AK53" s="27"/>
      <c r="AL53" s="25"/>
      <c r="AM53" s="34"/>
      <c r="AN53" s="27">
        <v>0.1</v>
      </c>
      <c r="AO53" s="27">
        <v>0.1</v>
      </c>
      <c r="AP53" s="36">
        <v>0.1</v>
      </c>
      <c r="AQ53" s="37"/>
      <c r="AR53" s="32" t="s">
        <v>602</v>
      </c>
      <c r="AS53" s="25" t="s">
        <v>72</v>
      </c>
      <c r="AT53" s="27" t="s">
        <v>52</v>
      </c>
      <c r="AU53" s="27"/>
      <c r="AW53" s="27" t="s">
        <v>325</v>
      </c>
      <c r="AX53" s="27" t="s">
        <v>91</v>
      </c>
      <c r="AY53" s="27"/>
      <c r="AZ53" s="32"/>
      <c r="BA53" s="41">
        <v>0</v>
      </c>
    </row>
    <row r="54" spans="1:54" x14ac:dyDescent="0.2">
      <c r="A54" s="25">
        <v>38</v>
      </c>
      <c r="B54" s="26">
        <v>45515</v>
      </c>
      <c r="C54" s="27" t="s">
        <v>232</v>
      </c>
      <c r="D54" s="25"/>
      <c r="E54" s="28"/>
      <c r="F54" s="27"/>
      <c r="G54" s="28"/>
      <c r="H54" s="27"/>
      <c r="I54" s="28"/>
      <c r="J54" s="202">
        <v>45357</v>
      </c>
      <c r="K54" s="29" t="s">
        <v>35</v>
      </c>
      <c r="L54" s="39"/>
      <c r="M54" s="31"/>
      <c r="N54" s="27" t="s">
        <v>272</v>
      </c>
      <c r="O54" s="307"/>
      <c r="P54" s="32"/>
      <c r="Q54" s="25"/>
      <c r="R54" s="27"/>
      <c r="S54" s="27"/>
      <c r="T54" s="28"/>
      <c r="U54" s="27"/>
      <c r="V54" s="27" t="s">
        <v>502</v>
      </c>
      <c r="W54" s="28"/>
      <c r="X54" s="33"/>
      <c r="Y54" s="32" t="s">
        <v>601</v>
      </c>
      <c r="Z54" s="25"/>
      <c r="AA54" s="27"/>
      <c r="AB54" s="28"/>
      <c r="AC54" s="27"/>
      <c r="AD54" s="27"/>
      <c r="AE54" s="33"/>
      <c r="AG54" s="25"/>
      <c r="AH54" s="34"/>
      <c r="AI54" s="27">
        <v>0.05</v>
      </c>
      <c r="AJ54" s="27">
        <v>0.05</v>
      </c>
      <c r="AK54" s="27">
        <v>0.05</v>
      </c>
      <c r="AL54" s="25"/>
      <c r="AM54" s="34"/>
      <c r="AN54" s="27">
        <v>0.1</v>
      </c>
      <c r="AO54" s="27">
        <v>0.1</v>
      </c>
      <c r="AP54" s="36">
        <v>0.1</v>
      </c>
      <c r="AQ54" s="37"/>
      <c r="AR54" s="32"/>
      <c r="AS54" s="25" t="s">
        <v>72</v>
      </c>
      <c r="AT54" s="27" t="s">
        <v>52</v>
      </c>
      <c r="AU54" s="27"/>
      <c r="AW54" s="27" t="s">
        <v>325</v>
      </c>
      <c r="AX54" s="27" t="s">
        <v>91</v>
      </c>
      <c r="AY54" s="27"/>
      <c r="AZ54" s="32"/>
      <c r="BA54" s="41">
        <v>1</v>
      </c>
      <c r="BB54" t="s">
        <v>605</v>
      </c>
    </row>
    <row r="55" spans="1:54" ht="16" thickBot="1" x14ac:dyDescent="0.25">
      <c r="A55" s="25">
        <v>39</v>
      </c>
      <c r="B55" s="26">
        <v>45516</v>
      </c>
      <c r="C55" s="27"/>
      <c r="D55" s="25"/>
      <c r="E55" s="28"/>
      <c r="F55" s="27"/>
      <c r="G55" s="28"/>
      <c r="H55" s="27"/>
      <c r="I55" s="28"/>
      <c r="J55" s="202">
        <v>45357</v>
      </c>
      <c r="K55" s="29" t="s">
        <v>35</v>
      </c>
      <c r="L55" t="s">
        <v>608</v>
      </c>
      <c r="M55" s="31"/>
      <c r="N55" s="27" t="s">
        <v>272</v>
      </c>
      <c r="O55" s="307"/>
      <c r="P55" s="32"/>
      <c r="Q55" s="25"/>
      <c r="R55" s="27"/>
      <c r="S55" s="27"/>
      <c r="T55" s="28"/>
      <c r="U55" s="27"/>
      <c r="V55" s="27" t="s">
        <v>502</v>
      </c>
      <c r="W55" s="28"/>
      <c r="X55" s="33"/>
      <c r="Y55" s="32" t="s">
        <v>601</v>
      </c>
      <c r="Z55" s="25"/>
      <c r="AA55" s="27"/>
      <c r="AB55" s="28"/>
      <c r="AC55" s="27"/>
      <c r="AD55" s="27"/>
      <c r="AE55" s="33"/>
      <c r="AG55" s="25"/>
      <c r="AH55" s="34"/>
      <c r="AI55" s="27">
        <v>0.05</v>
      </c>
      <c r="AJ55" s="27">
        <v>0.05</v>
      </c>
      <c r="AK55" s="27">
        <v>0.05</v>
      </c>
      <c r="AL55" s="25"/>
      <c r="AM55" s="34"/>
      <c r="AN55" s="27">
        <v>0.1</v>
      </c>
      <c r="AO55" s="27">
        <v>0.1</v>
      </c>
      <c r="AP55" s="36">
        <v>0.1</v>
      </c>
      <c r="AQ55" s="37"/>
      <c r="AR55" s="32"/>
      <c r="AS55" s="25" t="s">
        <v>72</v>
      </c>
      <c r="AT55" s="27" t="s">
        <v>52</v>
      </c>
      <c r="AU55" s="27"/>
      <c r="AW55" s="27" t="s">
        <v>325</v>
      </c>
      <c r="AX55" s="27" t="s">
        <v>91</v>
      </c>
      <c r="AY55" s="27"/>
      <c r="AZ55" s="32"/>
      <c r="BA55" s="41">
        <v>2</v>
      </c>
    </row>
    <row r="56" spans="1:54" ht="16" thickBot="1" x14ac:dyDescent="0.25">
      <c r="A56" s="25">
        <v>40</v>
      </c>
      <c r="B56" s="26">
        <v>45517</v>
      </c>
      <c r="C56" s="27" t="s">
        <v>227</v>
      </c>
      <c r="D56" s="25"/>
      <c r="E56" s="28"/>
      <c r="F56" s="27"/>
      <c r="G56" s="28"/>
      <c r="H56" s="27"/>
      <c r="I56" s="28"/>
      <c r="J56" s="202">
        <v>45357</v>
      </c>
      <c r="K56" s="29" t="s">
        <v>35</v>
      </c>
      <c r="L56" s="53"/>
      <c r="M56" s="31"/>
      <c r="N56" s="27" t="s">
        <v>272</v>
      </c>
      <c r="O56" s="308"/>
      <c r="Q56" s="25"/>
      <c r="R56" s="27"/>
      <c r="S56" s="27"/>
      <c r="T56" s="28"/>
      <c r="U56" s="27"/>
      <c r="V56" s="27" t="s">
        <v>502</v>
      </c>
      <c r="W56" s="28"/>
      <c r="X56" s="33"/>
      <c r="Y56" s="32" t="s">
        <v>601</v>
      </c>
      <c r="Z56" s="59"/>
      <c r="AA56" s="60"/>
      <c r="AB56" s="61"/>
      <c r="AC56" s="27"/>
      <c r="AD56" s="27"/>
      <c r="AE56" s="33"/>
      <c r="AG56" s="25"/>
      <c r="AH56" s="34"/>
      <c r="AI56" s="27">
        <v>0.05</v>
      </c>
      <c r="AJ56" s="27">
        <v>0.05</v>
      </c>
      <c r="AK56" s="27">
        <v>0.05</v>
      </c>
      <c r="AL56" s="25"/>
      <c r="AM56" s="34"/>
      <c r="AN56" s="27">
        <v>0.1</v>
      </c>
      <c r="AO56" s="27">
        <v>0.1</v>
      </c>
      <c r="AP56" s="36">
        <v>0.1</v>
      </c>
      <c r="AQ56" s="37"/>
      <c r="AR56" s="32"/>
      <c r="AS56" s="25" t="s">
        <v>72</v>
      </c>
      <c r="AT56" s="27" t="s">
        <v>52</v>
      </c>
      <c r="AU56" s="58" t="s">
        <v>80</v>
      </c>
      <c r="AV56" s="27" t="s">
        <v>609</v>
      </c>
      <c r="AW56" s="27" t="s">
        <v>325</v>
      </c>
      <c r="AX56" s="27" t="s">
        <v>91</v>
      </c>
      <c r="AY56" s="27"/>
      <c r="AZ56" s="32"/>
      <c r="BA56" s="41">
        <v>0</v>
      </c>
    </row>
    <row r="57" spans="1:54" x14ac:dyDescent="0.2">
      <c r="A57" s="25">
        <v>41</v>
      </c>
      <c r="B57" s="26">
        <v>45518</v>
      </c>
      <c r="C57" s="27" t="s">
        <v>314</v>
      </c>
      <c r="D57" s="25"/>
      <c r="E57" s="28"/>
      <c r="F57" s="27"/>
      <c r="G57" s="28"/>
      <c r="H57" s="27"/>
      <c r="I57" s="28"/>
      <c r="J57" s="202">
        <v>45357</v>
      </c>
      <c r="K57" s="29" t="s">
        <v>35</v>
      </c>
      <c r="M57" s="31"/>
      <c r="N57" s="27" t="s">
        <v>272</v>
      </c>
      <c r="P57" s="32"/>
      <c r="Q57" s="25"/>
      <c r="R57" s="27"/>
      <c r="S57" s="27"/>
      <c r="T57" s="28"/>
      <c r="U57" s="27"/>
      <c r="V57" s="27" t="s">
        <v>154</v>
      </c>
      <c r="W57" s="28"/>
      <c r="X57" s="33"/>
      <c r="Y57" s="32"/>
      <c r="Z57" s="25"/>
      <c r="AA57" s="27"/>
      <c r="AB57" s="28"/>
      <c r="AC57" s="27"/>
      <c r="AD57" s="27"/>
      <c r="AE57" s="33"/>
      <c r="AG57" s="25"/>
      <c r="AH57" s="34"/>
      <c r="AI57" s="27">
        <v>0.05</v>
      </c>
      <c r="AJ57" s="27">
        <v>0.05</v>
      </c>
      <c r="AK57" s="27">
        <v>0.05</v>
      </c>
      <c r="AL57" s="25"/>
      <c r="AM57" s="34"/>
      <c r="AN57" s="27">
        <v>0.1</v>
      </c>
      <c r="AO57" s="27">
        <v>0.1</v>
      </c>
      <c r="AP57" s="36">
        <v>0.1</v>
      </c>
      <c r="AQ57" s="37"/>
      <c r="AR57" s="32"/>
      <c r="AS57" s="25" t="s">
        <v>79</v>
      </c>
      <c r="AT57" s="27" t="s">
        <v>52</v>
      </c>
      <c r="AU57" s="27"/>
      <c r="AW57" s="27" t="s">
        <v>325</v>
      </c>
      <c r="AX57" s="27" t="s">
        <v>91</v>
      </c>
      <c r="AY57" s="27"/>
      <c r="AZ57" s="32"/>
      <c r="BA57" s="41">
        <v>0</v>
      </c>
    </row>
    <row r="58" spans="1:54" x14ac:dyDescent="0.2">
      <c r="A58" s="25">
        <v>42</v>
      </c>
      <c r="B58" s="26">
        <v>45519</v>
      </c>
      <c r="C58" s="27" t="s">
        <v>227</v>
      </c>
      <c r="D58" s="25"/>
      <c r="E58" s="28"/>
      <c r="F58" s="27"/>
      <c r="G58" s="28"/>
      <c r="H58" s="27"/>
      <c r="I58" s="28"/>
      <c r="J58" s="202">
        <v>45357</v>
      </c>
      <c r="K58" s="29" t="s">
        <v>35</v>
      </c>
      <c r="L58" s="39"/>
      <c r="M58" s="31"/>
      <c r="N58" s="27" t="s">
        <v>272</v>
      </c>
      <c r="P58" s="32"/>
      <c r="Q58" s="25"/>
      <c r="R58" s="27"/>
      <c r="S58" s="27"/>
      <c r="T58" s="28"/>
      <c r="U58" s="27"/>
      <c r="V58" s="27" t="s">
        <v>154</v>
      </c>
      <c r="W58" s="28"/>
      <c r="X58" s="33"/>
      <c r="Y58" s="32"/>
      <c r="Z58" s="25"/>
      <c r="AA58" s="27"/>
      <c r="AB58" s="28"/>
      <c r="AC58" s="27"/>
      <c r="AD58" s="27"/>
      <c r="AE58" s="33"/>
      <c r="AG58" s="25"/>
      <c r="AH58" s="34"/>
      <c r="AI58" s="27">
        <v>0.05</v>
      </c>
      <c r="AJ58" s="27">
        <v>0.05</v>
      </c>
      <c r="AK58" s="27">
        <v>0.05</v>
      </c>
      <c r="AL58" s="25"/>
      <c r="AM58" s="34"/>
      <c r="AN58" s="27">
        <v>0.1</v>
      </c>
      <c r="AO58" s="27">
        <v>0.1</v>
      </c>
      <c r="AP58" s="36">
        <v>0.1</v>
      </c>
      <c r="AQ58" s="37"/>
      <c r="AR58" s="32"/>
      <c r="AS58" s="25" t="s">
        <v>79</v>
      </c>
      <c r="AT58" s="27" t="s">
        <v>52</v>
      </c>
      <c r="AU58" s="27"/>
      <c r="AW58" s="27" t="s">
        <v>325</v>
      </c>
      <c r="AX58" s="27" t="s">
        <v>91</v>
      </c>
      <c r="AY58" s="27"/>
      <c r="AZ58" s="32"/>
      <c r="BA58" s="41">
        <v>0</v>
      </c>
    </row>
    <row r="59" spans="1:54" ht="16" thickBot="1" x14ac:dyDescent="0.25">
      <c r="A59" s="25">
        <v>43</v>
      </c>
      <c r="B59" s="26">
        <v>45520</v>
      </c>
      <c r="C59" s="27" t="s">
        <v>200</v>
      </c>
      <c r="D59" s="25"/>
      <c r="E59" s="28"/>
      <c r="F59" s="27"/>
      <c r="G59" s="28"/>
      <c r="H59" s="27"/>
      <c r="I59" s="28"/>
      <c r="J59" s="202">
        <v>45357</v>
      </c>
      <c r="K59" s="29" t="s">
        <v>35</v>
      </c>
      <c r="L59" s="39"/>
      <c r="M59" s="31"/>
      <c r="N59" s="27" t="s">
        <v>272</v>
      </c>
      <c r="P59" s="32"/>
      <c r="Q59" s="25"/>
      <c r="R59" s="27"/>
      <c r="S59" s="27"/>
      <c r="T59" s="28"/>
      <c r="U59" s="27"/>
      <c r="V59" s="27" t="s">
        <v>154</v>
      </c>
      <c r="W59" s="28"/>
      <c r="X59" s="33"/>
      <c r="Y59" s="32"/>
      <c r="Z59" s="25"/>
      <c r="AA59" s="27"/>
      <c r="AB59" s="28"/>
      <c r="AC59" s="27"/>
      <c r="AD59" s="27"/>
      <c r="AE59" s="33"/>
      <c r="AG59" s="25"/>
      <c r="AH59" s="34"/>
      <c r="AI59" s="27">
        <v>0.05</v>
      </c>
      <c r="AJ59" s="27">
        <v>0.05</v>
      </c>
      <c r="AK59" s="27">
        <v>0.05</v>
      </c>
      <c r="AL59" s="25"/>
      <c r="AM59" s="34"/>
      <c r="AN59" s="27">
        <v>0.1</v>
      </c>
      <c r="AO59" s="27">
        <v>0.1</v>
      </c>
      <c r="AP59" s="36">
        <v>0.1</v>
      </c>
      <c r="AQ59" s="37"/>
      <c r="AR59" s="32"/>
      <c r="AS59" s="25" t="s">
        <v>79</v>
      </c>
      <c r="AT59" s="27" t="s">
        <v>52</v>
      </c>
      <c r="AU59" s="27"/>
      <c r="AW59" s="27" t="s">
        <v>325</v>
      </c>
      <c r="AX59" s="27" t="s">
        <v>91</v>
      </c>
      <c r="AY59" s="27"/>
      <c r="AZ59" s="32"/>
      <c r="BA59" s="41">
        <v>0</v>
      </c>
    </row>
    <row r="60" spans="1:54" ht="16" thickBot="1" x14ac:dyDescent="0.25">
      <c r="A60" s="25">
        <v>44</v>
      </c>
      <c r="B60" s="26">
        <v>45521</v>
      </c>
      <c r="C60" s="27" t="s">
        <v>200</v>
      </c>
      <c r="D60" s="25"/>
      <c r="E60" s="28"/>
      <c r="F60" s="27"/>
      <c r="G60" s="28"/>
      <c r="H60" s="27"/>
      <c r="I60" s="28"/>
      <c r="J60" s="202">
        <v>45357</v>
      </c>
      <c r="K60" s="29" t="s">
        <v>35</v>
      </c>
      <c r="L60" s="39"/>
      <c r="M60" s="31"/>
      <c r="N60" s="27" t="s">
        <v>272</v>
      </c>
      <c r="P60" s="32"/>
      <c r="Q60" s="27"/>
      <c r="R60" s="27"/>
      <c r="S60" s="27"/>
      <c r="T60" s="28"/>
      <c r="U60" s="27"/>
      <c r="V60" s="27" t="s">
        <v>154</v>
      </c>
      <c r="W60" s="28"/>
      <c r="X60" s="33"/>
      <c r="Y60" s="32"/>
      <c r="Z60" s="59"/>
      <c r="AA60" s="60"/>
      <c r="AB60" s="61"/>
      <c r="AC60" s="27"/>
      <c r="AD60" s="27"/>
      <c r="AE60" s="33"/>
      <c r="AG60" s="25"/>
      <c r="AH60" s="34"/>
      <c r="AI60" s="27">
        <v>0.05</v>
      </c>
      <c r="AJ60" s="27">
        <v>0.05</v>
      </c>
      <c r="AK60" s="27">
        <v>0.05</v>
      </c>
      <c r="AL60" s="25"/>
      <c r="AM60" s="34"/>
      <c r="AN60" s="27">
        <v>0.1</v>
      </c>
      <c r="AO60" s="27">
        <v>0.1</v>
      </c>
      <c r="AP60" s="36">
        <v>0.1</v>
      </c>
      <c r="AQ60" s="37"/>
      <c r="AR60" s="32" t="s">
        <v>612</v>
      </c>
      <c r="AS60" s="25" t="s">
        <v>79</v>
      </c>
      <c r="AT60" s="27" t="s">
        <v>52</v>
      </c>
      <c r="AU60" s="58" t="s">
        <v>81</v>
      </c>
      <c r="AV60" s="27" t="s">
        <v>613</v>
      </c>
      <c r="AW60" s="27" t="s">
        <v>325</v>
      </c>
      <c r="AX60" s="27" t="s">
        <v>303</v>
      </c>
      <c r="AY60" s="27"/>
      <c r="AZ60" s="32"/>
      <c r="BA60" s="41">
        <v>0</v>
      </c>
    </row>
    <row r="61" spans="1:54" x14ac:dyDescent="0.2">
      <c r="A61" s="25">
        <v>45</v>
      </c>
      <c r="B61" s="26">
        <v>45522</v>
      </c>
      <c r="C61" s="27" t="s">
        <v>232</v>
      </c>
      <c r="D61" s="25"/>
      <c r="E61" s="28"/>
      <c r="F61" s="27"/>
      <c r="G61" s="28"/>
      <c r="H61" s="27"/>
      <c r="I61" s="28"/>
      <c r="J61" s="202">
        <v>45357</v>
      </c>
      <c r="K61" s="29" t="s">
        <v>35</v>
      </c>
      <c r="L61" s="39"/>
      <c r="M61" s="31"/>
      <c r="N61" s="27" t="s">
        <v>272</v>
      </c>
      <c r="P61" s="32"/>
      <c r="Q61" s="25"/>
      <c r="R61" s="27"/>
      <c r="S61" s="27"/>
      <c r="T61" s="28"/>
      <c r="U61" s="27"/>
      <c r="V61" s="27" t="s">
        <v>154</v>
      </c>
      <c r="W61" s="28"/>
      <c r="X61" s="33"/>
      <c r="Y61" s="32"/>
      <c r="Z61" s="25"/>
      <c r="AA61" s="27"/>
      <c r="AB61" s="28"/>
      <c r="AC61" s="27"/>
      <c r="AD61" s="27"/>
      <c r="AE61" s="33"/>
      <c r="AG61" s="25"/>
      <c r="AH61" s="34"/>
      <c r="AI61" s="27">
        <v>0.05</v>
      </c>
      <c r="AJ61" s="27">
        <v>0.05</v>
      </c>
      <c r="AK61" s="27">
        <v>0.05</v>
      </c>
      <c r="AL61" s="25"/>
      <c r="AM61" s="34"/>
      <c r="AN61" s="27">
        <v>0.1</v>
      </c>
      <c r="AO61" s="27">
        <v>0.1</v>
      </c>
      <c r="AP61" s="36">
        <v>0.1</v>
      </c>
      <c r="AQ61" s="37"/>
      <c r="AR61" s="32"/>
      <c r="AS61" s="25" t="s">
        <v>79</v>
      </c>
      <c r="AT61" s="27" t="s">
        <v>52</v>
      </c>
      <c r="AW61" s="27" t="s">
        <v>325</v>
      </c>
      <c r="AX61" s="27" t="s">
        <v>303</v>
      </c>
      <c r="AY61" s="27"/>
      <c r="AZ61" s="32"/>
      <c r="BA61" s="41">
        <v>0</v>
      </c>
    </row>
    <row r="62" spans="1:54" x14ac:dyDescent="0.2">
      <c r="A62" s="25">
        <v>46</v>
      </c>
      <c r="B62" s="26">
        <v>45523</v>
      </c>
      <c r="C62" s="27" t="s">
        <v>232</v>
      </c>
      <c r="D62" s="25"/>
      <c r="E62" s="28"/>
      <c r="F62" s="27"/>
      <c r="G62" s="28"/>
      <c r="H62" s="27"/>
      <c r="I62" s="28"/>
      <c r="J62" s="202">
        <v>45357</v>
      </c>
      <c r="K62" s="29" t="s">
        <v>35</v>
      </c>
      <c r="L62" s="39"/>
      <c r="M62" s="31"/>
      <c r="N62" s="27" t="s">
        <v>272</v>
      </c>
      <c r="P62" s="32"/>
      <c r="Q62" s="25"/>
      <c r="R62" s="27"/>
      <c r="S62" s="27"/>
      <c r="T62" s="28"/>
      <c r="U62" s="27"/>
      <c r="V62" s="27" t="s">
        <v>502</v>
      </c>
      <c r="W62" s="28"/>
      <c r="X62" s="33"/>
      <c r="Y62" s="32" t="s">
        <v>601</v>
      </c>
      <c r="Z62" s="25"/>
      <c r="AA62" s="27"/>
      <c r="AB62" s="28"/>
      <c r="AC62" s="27"/>
      <c r="AD62" s="27"/>
      <c r="AE62" s="33"/>
      <c r="AG62" s="25"/>
      <c r="AH62" s="34"/>
      <c r="AI62" s="27">
        <v>0.05</v>
      </c>
      <c r="AJ62" s="27">
        <v>0.05</v>
      </c>
      <c r="AK62" s="27">
        <v>0.05</v>
      </c>
      <c r="AL62" s="25"/>
      <c r="AM62" s="34"/>
      <c r="AN62" s="27">
        <v>0.1</v>
      </c>
      <c r="AO62" s="27">
        <v>0.1</v>
      </c>
      <c r="AP62" s="36">
        <v>0.1</v>
      </c>
      <c r="AQ62" s="37"/>
      <c r="AR62" s="32"/>
      <c r="AS62" s="25" t="s">
        <v>614</v>
      </c>
      <c r="AT62" s="27" t="s">
        <v>52</v>
      </c>
      <c r="AU62" s="27"/>
      <c r="AW62" s="27" t="s">
        <v>325</v>
      </c>
      <c r="AX62" s="27" t="s">
        <v>303</v>
      </c>
      <c r="AY62" s="27"/>
      <c r="AZ62" s="32"/>
      <c r="BA62" s="41">
        <v>2</v>
      </c>
    </row>
    <row r="63" spans="1:54" x14ac:dyDescent="0.2">
      <c r="A63" s="25">
        <v>47</v>
      </c>
      <c r="B63" s="26">
        <v>45524</v>
      </c>
      <c r="C63" s="27" t="s">
        <v>227</v>
      </c>
      <c r="D63" s="25"/>
      <c r="E63" s="28"/>
      <c r="F63" s="27"/>
      <c r="G63" s="28"/>
      <c r="H63" s="27"/>
      <c r="I63" s="28"/>
      <c r="J63" s="202">
        <v>45357</v>
      </c>
      <c r="K63" s="29" t="s">
        <v>35</v>
      </c>
      <c r="L63" s="39"/>
      <c r="M63" s="31"/>
      <c r="N63" s="27" t="s">
        <v>272</v>
      </c>
      <c r="P63" s="32"/>
      <c r="Q63" s="25"/>
      <c r="R63" s="27"/>
      <c r="S63" s="27"/>
      <c r="T63" s="28"/>
      <c r="U63" s="27"/>
      <c r="V63" s="27" t="s">
        <v>154</v>
      </c>
      <c r="W63" s="28"/>
      <c r="X63" s="33"/>
      <c r="Y63" s="32"/>
      <c r="Z63" s="25"/>
      <c r="AA63" s="27"/>
      <c r="AB63" s="28"/>
      <c r="AC63" s="27"/>
      <c r="AD63" s="27"/>
      <c r="AE63" s="33"/>
      <c r="AG63" s="25"/>
      <c r="AH63" s="34"/>
      <c r="AI63" s="27">
        <v>0.05</v>
      </c>
      <c r="AJ63" s="27">
        <v>0.05</v>
      </c>
      <c r="AK63" s="27">
        <v>0.05</v>
      </c>
      <c r="AL63" s="25"/>
      <c r="AM63" s="34"/>
      <c r="AN63" s="27">
        <v>0.1</v>
      </c>
      <c r="AO63" s="27">
        <v>0.1</v>
      </c>
      <c r="AP63" s="36">
        <v>0.1</v>
      </c>
      <c r="AQ63" s="37"/>
      <c r="AR63" s="32"/>
      <c r="AS63" s="25" t="s">
        <v>614</v>
      </c>
      <c r="AT63" s="27" t="s">
        <v>52</v>
      </c>
      <c r="AU63" s="27"/>
      <c r="AW63" s="27" t="s">
        <v>325</v>
      </c>
      <c r="AX63" s="27" t="s">
        <v>303</v>
      </c>
      <c r="AY63" s="27"/>
      <c r="AZ63" s="32"/>
      <c r="BA63" s="41">
        <v>0</v>
      </c>
    </row>
    <row r="64" spans="1:54" x14ac:dyDescent="0.2">
      <c r="A64" s="25">
        <v>48</v>
      </c>
      <c r="B64" s="26">
        <v>45525</v>
      </c>
      <c r="C64" s="27" t="s">
        <v>227</v>
      </c>
      <c r="D64" s="25"/>
      <c r="E64" s="28"/>
      <c r="F64" s="27"/>
      <c r="G64" s="28"/>
      <c r="H64" s="27"/>
      <c r="I64" s="28"/>
      <c r="J64" s="202">
        <v>45357</v>
      </c>
      <c r="K64" s="29" t="s">
        <v>35</v>
      </c>
      <c r="M64" s="31"/>
      <c r="N64" s="27" t="s">
        <v>272</v>
      </c>
      <c r="P64" s="32"/>
      <c r="Q64" s="25"/>
      <c r="R64" s="27"/>
      <c r="S64" s="27"/>
      <c r="T64" s="28"/>
      <c r="U64" s="27"/>
      <c r="V64" s="27" t="s">
        <v>154</v>
      </c>
      <c r="W64" s="28"/>
      <c r="X64" s="33"/>
      <c r="Y64" s="32"/>
      <c r="Z64" s="25"/>
      <c r="AA64" s="27"/>
      <c r="AB64" s="28"/>
      <c r="AC64" s="27"/>
      <c r="AD64" s="27"/>
      <c r="AE64" s="33"/>
      <c r="AG64" s="25"/>
      <c r="AH64" s="34"/>
      <c r="AI64" s="27">
        <v>0.05</v>
      </c>
      <c r="AJ64" s="27">
        <v>0.05</v>
      </c>
      <c r="AK64" s="27">
        <v>0.05</v>
      </c>
      <c r="AL64" s="25"/>
      <c r="AM64" s="34"/>
      <c r="AN64" s="27">
        <v>0.1</v>
      </c>
      <c r="AO64" s="27">
        <v>0.1</v>
      </c>
      <c r="AP64" s="36">
        <v>0.1</v>
      </c>
      <c r="AQ64" s="37"/>
      <c r="AR64" s="32"/>
      <c r="AS64" s="25" t="s">
        <v>614</v>
      </c>
      <c r="AT64" s="27" t="s">
        <v>52</v>
      </c>
      <c r="AU64" s="27"/>
      <c r="AW64" s="27" t="s">
        <v>325</v>
      </c>
      <c r="AX64" s="27" t="s">
        <v>303</v>
      </c>
      <c r="AY64" s="27"/>
      <c r="AZ64" s="32"/>
      <c r="BA64" s="41">
        <v>0</v>
      </c>
    </row>
    <row r="65" spans="1:54" ht="16" thickBot="1" x14ac:dyDescent="0.25">
      <c r="A65" s="25">
        <v>49</v>
      </c>
      <c r="B65" s="26">
        <v>45526</v>
      </c>
      <c r="C65" s="27" t="s">
        <v>227</v>
      </c>
      <c r="D65" s="25"/>
      <c r="E65" s="28"/>
      <c r="F65" s="27"/>
      <c r="G65" s="28"/>
      <c r="H65" s="27"/>
      <c r="I65" s="28"/>
      <c r="J65" s="202">
        <v>45357</v>
      </c>
      <c r="K65" s="29" t="s">
        <v>35</v>
      </c>
      <c r="L65" s="39"/>
      <c r="M65" s="31"/>
      <c r="N65" s="27" t="s">
        <v>367</v>
      </c>
      <c r="P65" s="32"/>
      <c r="Q65" s="25"/>
      <c r="R65" s="27"/>
      <c r="S65" s="27"/>
      <c r="T65" s="28"/>
      <c r="U65" s="27"/>
      <c r="V65" s="27" t="s">
        <v>154</v>
      </c>
      <c r="W65" s="28"/>
      <c r="X65" s="33"/>
      <c r="Y65" s="32"/>
      <c r="Z65" s="25"/>
      <c r="AA65" s="27"/>
      <c r="AB65" s="28"/>
      <c r="AC65" s="27"/>
      <c r="AD65" s="27"/>
      <c r="AE65" s="33"/>
      <c r="AG65" s="25"/>
      <c r="AH65" s="34"/>
      <c r="AI65" s="27">
        <v>0.05</v>
      </c>
      <c r="AJ65" s="27">
        <v>0.05</v>
      </c>
      <c r="AK65" s="27">
        <v>0.05</v>
      </c>
      <c r="AL65" s="25"/>
      <c r="AM65" s="34"/>
      <c r="AN65" s="27">
        <v>0.1</v>
      </c>
      <c r="AO65" s="27">
        <v>0.1</v>
      </c>
      <c r="AP65" s="36">
        <v>0.1</v>
      </c>
      <c r="AQ65" s="37"/>
      <c r="AR65" s="32"/>
      <c r="AS65" s="25" t="s">
        <v>614</v>
      </c>
      <c r="AT65" s="27" t="s">
        <v>52</v>
      </c>
      <c r="AU65" s="27"/>
      <c r="AW65" s="27" t="s">
        <v>325</v>
      </c>
      <c r="AX65" s="27" t="s">
        <v>303</v>
      </c>
      <c r="AY65" s="27"/>
      <c r="AZ65" s="32"/>
      <c r="BA65" s="41">
        <v>0</v>
      </c>
    </row>
    <row r="66" spans="1:54" ht="16" thickBot="1" x14ac:dyDescent="0.25">
      <c r="A66" s="25">
        <v>50</v>
      </c>
      <c r="B66" s="26">
        <v>45527</v>
      </c>
      <c r="C66" s="27" t="s">
        <v>200</v>
      </c>
      <c r="D66" s="25"/>
      <c r="E66" s="28"/>
      <c r="F66" s="27"/>
      <c r="G66" s="28"/>
      <c r="H66" s="27"/>
      <c r="I66" s="28"/>
      <c r="J66" s="202">
        <v>45357</v>
      </c>
      <c r="K66" s="29" t="s">
        <v>35</v>
      </c>
      <c r="L66" s="44" t="s">
        <v>83</v>
      </c>
      <c r="M66" s="31"/>
      <c r="N66" s="27" t="s">
        <v>616</v>
      </c>
      <c r="O66" s="45" t="s">
        <v>349</v>
      </c>
      <c r="P66" s="46" t="s">
        <v>69</v>
      </c>
      <c r="Q66" s="25"/>
      <c r="R66" s="27"/>
      <c r="S66" s="27"/>
      <c r="T66" s="28"/>
      <c r="U66" s="27"/>
      <c r="V66" s="27" t="s">
        <v>154</v>
      </c>
      <c r="W66" s="28"/>
      <c r="X66" s="33"/>
      <c r="Y66" s="32"/>
      <c r="Z66" s="25"/>
      <c r="AA66" s="27"/>
      <c r="AB66" s="28"/>
      <c r="AC66" s="27"/>
      <c r="AD66" s="27"/>
      <c r="AE66" s="33"/>
      <c r="AG66" s="25"/>
      <c r="AH66" s="34"/>
      <c r="AI66" s="27">
        <v>0.05</v>
      </c>
      <c r="AJ66" s="27">
        <v>0.05</v>
      </c>
      <c r="AK66" s="27">
        <v>0.05</v>
      </c>
      <c r="AL66" s="25"/>
      <c r="AM66" s="34"/>
      <c r="AN66" s="27">
        <v>0.1</v>
      </c>
      <c r="AO66" s="27">
        <v>0.1</v>
      </c>
      <c r="AP66" s="36">
        <v>0.1</v>
      </c>
      <c r="AQ66" s="37"/>
      <c r="AR66" s="32"/>
      <c r="AS66" s="25" t="s">
        <v>82</v>
      </c>
      <c r="AT66" s="27" t="s">
        <v>87</v>
      </c>
      <c r="AU66" s="58" t="s">
        <v>88</v>
      </c>
      <c r="AV66" s="27" t="s">
        <v>617</v>
      </c>
      <c r="AW66" s="27" t="s">
        <v>325</v>
      </c>
      <c r="AX66" s="27" t="s">
        <v>303</v>
      </c>
      <c r="AY66" s="27"/>
      <c r="AZ66" s="32"/>
      <c r="BA66" s="41">
        <v>0</v>
      </c>
    </row>
    <row r="67" spans="1:54" ht="16" thickBot="1" x14ac:dyDescent="0.25">
      <c r="A67" s="25">
        <v>51</v>
      </c>
      <c r="B67" s="26">
        <v>45528</v>
      </c>
      <c r="C67" s="27" t="s">
        <v>200</v>
      </c>
      <c r="D67" s="25"/>
      <c r="E67" s="28"/>
      <c r="F67" s="27"/>
      <c r="G67" s="28"/>
      <c r="H67" s="27"/>
      <c r="I67" s="28"/>
      <c r="J67" s="206">
        <v>45357</v>
      </c>
      <c r="K67" s="29" t="s">
        <v>35</v>
      </c>
      <c r="L67" s="88" t="s">
        <v>348</v>
      </c>
      <c r="M67" s="31"/>
      <c r="N67" s="27" t="s">
        <v>367</v>
      </c>
      <c r="P67" s="46"/>
      <c r="Q67" s="27"/>
      <c r="R67" s="27"/>
      <c r="S67" s="27"/>
      <c r="T67" s="28"/>
      <c r="U67" s="27"/>
      <c r="V67" s="27" t="s">
        <v>154</v>
      </c>
      <c r="W67" s="28"/>
      <c r="X67" s="33"/>
      <c r="Y67" s="32"/>
      <c r="Z67" s="25"/>
      <c r="AA67" s="27"/>
      <c r="AB67" s="28"/>
      <c r="AC67" s="27"/>
      <c r="AD67" s="27"/>
      <c r="AE67" s="33"/>
      <c r="AG67" s="25"/>
      <c r="AH67" s="34"/>
      <c r="AI67" s="27">
        <v>0.05</v>
      </c>
      <c r="AJ67" s="27">
        <v>0.05</v>
      </c>
      <c r="AK67" s="27">
        <v>0.05</v>
      </c>
      <c r="AL67" s="25"/>
      <c r="AM67" s="34"/>
      <c r="AN67" s="27">
        <v>0.1</v>
      </c>
      <c r="AO67" s="27">
        <v>0.1</v>
      </c>
      <c r="AP67" s="36">
        <v>0.1</v>
      </c>
      <c r="AQ67" s="37"/>
      <c r="AR67" s="32"/>
      <c r="AS67" s="25" t="s">
        <v>82</v>
      </c>
      <c r="AT67" s="27" t="s">
        <v>87</v>
      </c>
      <c r="AU67" s="27"/>
      <c r="AW67" s="27" t="s">
        <v>325</v>
      </c>
      <c r="AX67" s="27" t="s">
        <v>303</v>
      </c>
      <c r="AY67" s="27"/>
      <c r="AZ67" s="32"/>
      <c r="BA67" s="41">
        <v>0</v>
      </c>
    </row>
    <row r="68" spans="1:54" ht="16" thickBot="1" x14ac:dyDescent="0.25">
      <c r="A68" s="25">
        <v>52</v>
      </c>
      <c r="B68" s="26">
        <v>45529</v>
      </c>
      <c r="C68" s="27" t="s">
        <v>200</v>
      </c>
      <c r="D68" s="25"/>
      <c r="E68" s="28"/>
      <c r="F68" s="27"/>
      <c r="G68" s="28"/>
      <c r="H68" s="27"/>
      <c r="I68" s="28"/>
      <c r="J68" s="27">
        <v>8</v>
      </c>
      <c r="K68" s="29" t="s">
        <v>35</v>
      </c>
      <c r="L68" s="39" t="s">
        <v>618</v>
      </c>
      <c r="M68" s="31"/>
      <c r="N68" s="27" t="s">
        <v>619</v>
      </c>
      <c r="P68" s="32"/>
      <c r="Q68" s="25"/>
      <c r="R68" s="27"/>
      <c r="S68" s="27"/>
      <c r="T68" s="28"/>
      <c r="U68" s="27"/>
      <c r="V68" s="207"/>
      <c r="W68" s="28"/>
      <c r="X68" s="33"/>
      <c r="Y68" s="32"/>
      <c r="Z68" s="25"/>
      <c r="AA68" s="27"/>
      <c r="AB68" s="28"/>
      <c r="AC68" s="27"/>
      <c r="AD68" s="27"/>
      <c r="AE68" s="33"/>
      <c r="AG68" s="25"/>
      <c r="AH68" s="34"/>
      <c r="AI68" s="27">
        <v>0.05</v>
      </c>
      <c r="AJ68" s="27">
        <v>0.05</v>
      </c>
      <c r="AK68" s="27">
        <v>0.05</v>
      </c>
      <c r="AL68" s="25"/>
      <c r="AM68" s="34"/>
      <c r="AN68" s="27">
        <v>0.1</v>
      </c>
      <c r="AO68" s="27">
        <v>0.1</v>
      </c>
      <c r="AP68" s="36">
        <v>0.1</v>
      </c>
      <c r="AQ68" s="37"/>
      <c r="AR68" s="32"/>
      <c r="AS68" s="25" t="s">
        <v>82</v>
      </c>
      <c r="AT68" s="27" t="s">
        <v>87</v>
      </c>
      <c r="AW68" s="27" t="s">
        <v>325</v>
      </c>
      <c r="AX68" s="27" t="s">
        <v>303</v>
      </c>
      <c r="AY68" s="27"/>
      <c r="AZ68" s="32"/>
      <c r="BA68" s="41">
        <v>0</v>
      </c>
    </row>
    <row r="69" spans="1:54" ht="16" thickBot="1" x14ac:dyDescent="0.25">
      <c r="A69" s="25">
        <v>53</v>
      </c>
      <c r="B69" s="26">
        <v>45530</v>
      </c>
      <c r="C69" s="27" t="s">
        <v>362</v>
      </c>
      <c r="D69" s="25"/>
      <c r="E69" s="28"/>
      <c r="F69" s="27"/>
      <c r="G69" s="28"/>
      <c r="H69" s="27"/>
      <c r="I69" s="28"/>
      <c r="J69" s="27">
        <v>8</v>
      </c>
      <c r="K69" s="29" t="s">
        <v>35</v>
      </c>
      <c r="L69" s="39"/>
      <c r="M69" s="31"/>
      <c r="N69" s="27" t="s">
        <v>619</v>
      </c>
      <c r="P69" s="32"/>
      <c r="Q69" s="25"/>
      <c r="R69" s="27"/>
      <c r="S69" s="27"/>
      <c r="T69" s="28"/>
      <c r="U69" s="27"/>
      <c r="V69" s="207"/>
      <c r="W69" s="28"/>
      <c r="X69" s="33"/>
      <c r="Y69" s="32"/>
      <c r="Z69" s="25"/>
      <c r="AA69" s="27"/>
      <c r="AB69" s="28"/>
      <c r="AC69" s="27"/>
      <c r="AD69" s="27"/>
      <c r="AE69" s="33"/>
      <c r="AG69" s="25"/>
      <c r="AH69" s="34"/>
      <c r="AI69" s="27">
        <v>0.05</v>
      </c>
      <c r="AJ69" s="27">
        <v>0.05</v>
      </c>
      <c r="AK69" s="27">
        <v>0.05</v>
      </c>
      <c r="AL69" s="25"/>
      <c r="AM69" s="34"/>
      <c r="AN69" s="27">
        <v>0.1</v>
      </c>
      <c r="AO69" s="27">
        <v>0.1</v>
      </c>
      <c r="AP69" s="36">
        <v>0.1</v>
      </c>
      <c r="AQ69" s="37"/>
      <c r="AR69" s="32"/>
      <c r="AS69" s="25" t="s">
        <v>82</v>
      </c>
      <c r="AT69" s="27" t="s">
        <v>87</v>
      </c>
      <c r="AU69" s="27"/>
      <c r="AW69" s="25" t="s">
        <v>341</v>
      </c>
      <c r="AX69" s="27" t="s">
        <v>91</v>
      </c>
      <c r="AY69" s="89" t="s">
        <v>92</v>
      </c>
      <c r="AZ69" s="32"/>
      <c r="BA69" s="41">
        <v>0</v>
      </c>
    </row>
    <row r="70" spans="1:54" ht="16" thickBot="1" x14ac:dyDescent="0.25">
      <c r="A70" s="25">
        <v>54</v>
      </c>
      <c r="B70" s="26">
        <v>45531</v>
      </c>
      <c r="C70" s="27" t="s">
        <v>200</v>
      </c>
      <c r="D70" s="25"/>
      <c r="E70" s="28"/>
      <c r="F70" s="27"/>
      <c r="G70" s="28"/>
      <c r="H70" s="27"/>
      <c r="I70" s="28"/>
      <c r="J70" s="27">
        <v>8</v>
      </c>
      <c r="K70" s="29" t="s">
        <v>35</v>
      </c>
      <c r="L70" s="39"/>
      <c r="M70" s="31"/>
      <c r="N70" s="27" t="s">
        <v>619</v>
      </c>
      <c r="P70" s="32"/>
      <c r="Q70" s="25"/>
      <c r="R70" s="27"/>
      <c r="S70" s="27"/>
      <c r="T70" s="28"/>
      <c r="U70" s="27"/>
      <c r="V70" s="207"/>
      <c r="W70" s="28"/>
      <c r="X70" s="33"/>
      <c r="Y70" s="32"/>
      <c r="Z70" s="25"/>
      <c r="AA70" s="27"/>
      <c r="AB70" s="28"/>
      <c r="AC70" s="27"/>
      <c r="AD70" s="27"/>
      <c r="AE70" s="33"/>
      <c r="AG70" s="25"/>
      <c r="AH70" s="34"/>
      <c r="AI70" s="27">
        <v>0.05</v>
      </c>
      <c r="AJ70" s="27">
        <v>0.05</v>
      </c>
      <c r="AK70" s="27">
        <v>0.05</v>
      </c>
      <c r="AL70" s="25"/>
      <c r="AM70" s="34"/>
      <c r="AN70" s="27">
        <v>0.1</v>
      </c>
      <c r="AO70" s="27">
        <v>0.1</v>
      </c>
      <c r="AP70" s="36">
        <v>0.1</v>
      </c>
      <c r="AQ70" s="37"/>
      <c r="AR70" s="32"/>
      <c r="AS70" s="25" t="s">
        <v>82</v>
      </c>
      <c r="AT70" s="27" t="s">
        <v>87</v>
      </c>
      <c r="AU70" s="27"/>
      <c r="AW70" s="25" t="s">
        <v>341</v>
      </c>
      <c r="AX70" s="27" t="s">
        <v>91</v>
      </c>
      <c r="AY70" s="27"/>
      <c r="AZ70" s="32"/>
      <c r="BA70" s="41">
        <v>0</v>
      </c>
    </row>
    <row r="71" spans="1:54" ht="16" thickBot="1" x14ac:dyDescent="0.25">
      <c r="A71" s="25">
        <v>55</v>
      </c>
      <c r="B71" s="26">
        <v>45532</v>
      </c>
      <c r="C71" s="27" t="s">
        <v>200</v>
      </c>
      <c r="D71" s="25"/>
      <c r="E71" s="28"/>
      <c r="F71" s="27"/>
      <c r="G71" s="28"/>
      <c r="H71" s="27"/>
      <c r="I71" s="28"/>
      <c r="J71" s="27">
        <v>8</v>
      </c>
      <c r="K71" s="29" t="s">
        <v>35</v>
      </c>
      <c r="L71" s="39"/>
      <c r="M71" s="31"/>
      <c r="N71" s="27" t="s">
        <v>621</v>
      </c>
      <c r="P71" s="32"/>
      <c r="Q71" s="25"/>
      <c r="R71" s="27"/>
      <c r="S71" s="27"/>
      <c r="T71" s="28"/>
      <c r="U71" s="27"/>
      <c r="V71" s="207"/>
      <c r="W71" s="28"/>
      <c r="X71" s="33"/>
      <c r="Y71" s="32"/>
      <c r="Z71" s="25"/>
      <c r="AA71" s="27"/>
      <c r="AB71" s="28"/>
      <c r="AC71" s="27"/>
      <c r="AD71" s="27"/>
      <c r="AE71" s="33"/>
      <c r="AG71" s="25"/>
      <c r="AH71" s="34"/>
      <c r="AI71" s="27">
        <v>0.05</v>
      </c>
      <c r="AJ71" s="27">
        <v>0.05</v>
      </c>
      <c r="AK71" s="27">
        <v>0.05</v>
      </c>
      <c r="AL71" s="25"/>
      <c r="AM71" s="34"/>
      <c r="AN71" s="27">
        <v>0.1</v>
      </c>
      <c r="AO71" s="27">
        <v>0.1</v>
      </c>
      <c r="AP71" s="36">
        <v>0.1</v>
      </c>
      <c r="AQ71" s="82"/>
      <c r="AR71" s="32"/>
      <c r="AS71" s="25" t="s">
        <v>82</v>
      </c>
      <c r="AT71" s="27" t="s">
        <v>87</v>
      </c>
      <c r="AW71" s="25" t="s">
        <v>341</v>
      </c>
      <c r="AX71" s="27" t="s">
        <v>91</v>
      </c>
      <c r="AY71" s="27"/>
      <c r="AZ71" s="32"/>
      <c r="BA71" s="41">
        <v>1</v>
      </c>
    </row>
    <row r="72" spans="1:54" x14ac:dyDescent="0.2">
      <c r="A72" s="25">
        <v>56</v>
      </c>
      <c r="B72" s="26">
        <v>45533</v>
      </c>
      <c r="C72" s="27" t="s">
        <v>227</v>
      </c>
      <c r="D72" s="25"/>
      <c r="E72" s="28"/>
      <c r="F72" s="27"/>
      <c r="G72" s="28"/>
      <c r="H72" s="27"/>
      <c r="I72" s="28"/>
      <c r="J72" s="27">
        <v>8</v>
      </c>
      <c r="K72" s="29" t="s">
        <v>35</v>
      </c>
      <c r="L72" s="39"/>
      <c r="M72" s="31"/>
      <c r="N72" s="27" t="s">
        <v>622</v>
      </c>
      <c r="P72" s="32"/>
      <c r="Q72" s="25"/>
      <c r="R72" s="27"/>
      <c r="S72" s="27"/>
      <c r="T72" s="28"/>
      <c r="U72" s="27"/>
      <c r="V72" s="207"/>
      <c r="W72" s="28"/>
      <c r="X72" s="33"/>
      <c r="Y72" s="32"/>
      <c r="Z72" s="25"/>
      <c r="AA72" s="27"/>
      <c r="AB72" s="28"/>
      <c r="AC72" s="27"/>
      <c r="AD72" s="27"/>
      <c r="AE72" s="33"/>
      <c r="AG72" s="25"/>
      <c r="AH72" s="34"/>
      <c r="AI72" s="27">
        <v>0.05</v>
      </c>
      <c r="AJ72" s="27">
        <v>0.05</v>
      </c>
      <c r="AK72" s="27">
        <v>0.05</v>
      </c>
      <c r="AL72" s="25"/>
      <c r="AM72" s="34"/>
      <c r="AN72" s="27">
        <v>0.1</v>
      </c>
      <c r="AO72" s="27">
        <v>0.1</v>
      </c>
      <c r="AP72" s="36">
        <v>0.1</v>
      </c>
      <c r="AQ72" s="37"/>
      <c r="AR72" s="32"/>
      <c r="AS72" s="25" t="s">
        <v>82</v>
      </c>
      <c r="AT72" s="27" t="s">
        <v>87</v>
      </c>
      <c r="AU72" s="27"/>
      <c r="AW72" s="25" t="s">
        <v>341</v>
      </c>
      <c r="AX72" s="27" t="s">
        <v>91</v>
      </c>
      <c r="AY72" s="27"/>
      <c r="AZ72" s="32"/>
      <c r="BA72" s="41">
        <v>2</v>
      </c>
    </row>
    <row r="73" spans="1:54" ht="16" thickBot="1" x14ac:dyDescent="0.25">
      <c r="A73" s="25">
        <v>57</v>
      </c>
      <c r="B73" s="26">
        <v>45534</v>
      </c>
      <c r="C73" s="27" t="s">
        <v>232</v>
      </c>
      <c r="D73" s="25"/>
      <c r="E73" s="28"/>
      <c r="F73" s="27"/>
      <c r="G73" s="28"/>
      <c r="H73" s="27"/>
      <c r="I73" s="28"/>
      <c r="J73" s="27">
        <v>8</v>
      </c>
      <c r="K73" s="29" t="s">
        <v>35</v>
      </c>
      <c r="L73" s="39"/>
      <c r="M73" s="31"/>
      <c r="N73" s="27" t="s">
        <v>622</v>
      </c>
      <c r="P73" s="32"/>
      <c r="Q73" s="25"/>
      <c r="R73" s="27"/>
      <c r="S73" s="27"/>
      <c r="T73" s="28"/>
      <c r="U73" s="27"/>
      <c r="V73" s="207"/>
      <c r="W73" s="28"/>
      <c r="X73" s="33"/>
      <c r="Y73" s="32"/>
      <c r="Z73" s="25"/>
      <c r="AA73" s="27"/>
      <c r="AB73" s="28"/>
      <c r="AC73" s="27"/>
      <c r="AD73" s="27"/>
      <c r="AE73" s="33"/>
      <c r="AG73" s="25"/>
      <c r="AH73" s="34"/>
      <c r="AI73" s="27">
        <v>0.05</v>
      </c>
      <c r="AJ73" s="27">
        <v>0.05</v>
      </c>
      <c r="AK73" s="27">
        <v>0.05</v>
      </c>
      <c r="AL73" s="25"/>
      <c r="AM73" s="34"/>
      <c r="AN73" s="27">
        <v>0.1</v>
      </c>
      <c r="AO73" s="27">
        <v>0.1</v>
      </c>
      <c r="AP73" s="36">
        <v>0.1</v>
      </c>
      <c r="AQ73" s="37"/>
      <c r="AR73" s="32"/>
      <c r="AS73" s="25" t="s">
        <v>82</v>
      </c>
      <c r="AT73" s="27" t="s">
        <v>87</v>
      </c>
      <c r="AU73" s="27"/>
      <c r="AW73" s="25" t="s">
        <v>341</v>
      </c>
      <c r="AX73" s="27" t="s">
        <v>91</v>
      </c>
      <c r="AY73" s="27"/>
      <c r="AZ73" s="32"/>
      <c r="BA73" s="41">
        <v>1</v>
      </c>
      <c r="BB73" t="s">
        <v>496</v>
      </c>
    </row>
    <row r="74" spans="1:54" ht="16" thickBot="1" x14ac:dyDescent="0.25">
      <c r="A74" s="25">
        <v>58</v>
      </c>
      <c r="B74" s="26">
        <v>45535</v>
      </c>
      <c r="C74" s="27" t="s">
        <v>232</v>
      </c>
      <c r="D74" s="25"/>
      <c r="E74" s="28"/>
      <c r="F74" s="27"/>
      <c r="G74" s="28"/>
      <c r="H74" s="27"/>
      <c r="I74" s="28"/>
      <c r="J74" s="27">
        <v>8</v>
      </c>
      <c r="K74" s="29" t="s">
        <v>35</v>
      </c>
      <c r="L74" s="39"/>
      <c r="M74" s="31"/>
      <c r="N74" s="27" t="s">
        <v>622</v>
      </c>
      <c r="P74" s="32"/>
      <c r="Q74" s="25"/>
      <c r="R74" s="27"/>
      <c r="S74" s="27"/>
      <c r="T74" s="28"/>
      <c r="U74" s="27"/>
      <c r="V74" s="207"/>
      <c r="W74" s="28"/>
      <c r="X74" s="33"/>
      <c r="Y74" s="32"/>
      <c r="Z74" s="25"/>
      <c r="AA74" s="27"/>
      <c r="AB74" s="28"/>
      <c r="AC74" s="27"/>
      <c r="AD74" s="27"/>
      <c r="AE74" s="33"/>
      <c r="AG74" s="25"/>
      <c r="AH74" s="34"/>
      <c r="AI74" s="27">
        <v>0.05</v>
      </c>
      <c r="AJ74" s="27">
        <v>0.05</v>
      </c>
      <c r="AK74" s="27">
        <v>0.05</v>
      </c>
      <c r="AL74" s="25"/>
      <c r="AM74" s="34"/>
      <c r="AN74" s="27">
        <v>0.1</v>
      </c>
      <c r="AO74" s="27">
        <v>0.1</v>
      </c>
      <c r="AP74" s="36">
        <v>0.1</v>
      </c>
      <c r="AQ74" s="37"/>
      <c r="AR74" s="32"/>
      <c r="AS74" s="25" t="s">
        <v>82</v>
      </c>
      <c r="AT74" s="27" t="s">
        <v>87</v>
      </c>
      <c r="AU74" s="27"/>
      <c r="AW74" s="25" t="s">
        <v>473</v>
      </c>
      <c r="AX74" s="27" t="s">
        <v>91</v>
      </c>
      <c r="AY74" s="89" t="s">
        <v>94</v>
      </c>
      <c r="AZ74" s="32"/>
      <c r="BA74" s="41">
        <v>1</v>
      </c>
    </row>
    <row r="75" spans="1:54" ht="16" thickBot="1" x14ac:dyDescent="0.25">
      <c r="A75" s="25">
        <v>59</v>
      </c>
      <c r="B75" s="26">
        <v>45536</v>
      </c>
      <c r="C75" s="27" t="s">
        <v>232</v>
      </c>
      <c r="D75" s="25"/>
      <c r="E75" s="28"/>
      <c r="F75" s="27"/>
      <c r="G75" s="28"/>
      <c r="H75" s="27"/>
      <c r="I75" s="28"/>
      <c r="J75" s="27">
        <v>8</v>
      </c>
      <c r="K75" s="29" t="s">
        <v>35</v>
      </c>
      <c r="L75" s="39" t="s">
        <v>587</v>
      </c>
      <c r="M75" s="31" t="s">
        <v>624</v>
      </c>
      <c r="N75" s="27"/>
      <c r="P75" s="32" t="s">
        <v>625</v>
      </c>
      <c r="Q75" s="25"/>
      <c r="R75" s="27"/>
      <c r="S75" s="27"/>
      <c r="T75" s="28"/>
      <c r="U75" s="27"/>
      <c r="V75" s="207"/>
      <c r="W75" s="28"/>
      <c r="X75" s="33"/>
      <c r="Y75" s="32"/>
      <c r="Z75" s="25"/>
      <c r="AA75" s="27"/>
      <c r="AB75" s="28"/>
      <c r="AC75" s="27"/>
      <c r="AD75" s="27"/>
      <c r="AE75" s="33"/>
      <c r="AG75" s="25"/>
      <c r="AH75" s="34"/>
      <c r="AI75" s="27">
        <v>0.05</v>
      </c>
      <c r="AJ75" s="27">
        <v>0.05</v>
      </c>
      <c r="AK75" s="27">
        <v>0.05</v>
      </c>
      <c r="AL75" s="25"/>
      <c r="AM75" s="34"/>
      <c r="AN75" s="27">
        <v>0.1</v>
      </c>
      <c r="AO75" s="27">
        <v>0.1</v>
      </c>
      <c r="AP75" s="36">
        <v>0.1</v>
      </c>
      <c r="AQ75" s="37"/>
      <c r="AR75" s="32"/>
      <c r="AS75" s="25" t="s">
        <v>82</v>
      </c>
      <c r="AT75" s="27" t="s">
        <v>87</v>
      </c>
      <c r="AU75" s="27"/>
      <c r="AW75" s="25" t="s">
        <v>473</v>
      </c>
      <c r="AX75" s="27" t="s">
        <v>95</v>
      </c>
      <c r="AY75" s="27"/>
      <c r="AZ75" s="32"/>
      <c r="BA75" s="41">
        <v>90</v>
      </c>
      <c r="BB75" t="s">
        <v>626</v>
      </c>
    </row>
    <row r="76" spans="1:54" ht="16" thickBot="1" x14ac:dyDescent="0.25">
      <c r="A76" s="25">
        <v>60</v>
      </c>
      <c r="B76" s="26">
        <v>45537</v>
      </c>
      <c r="C76" s="27" t="s">
        <v>232</v>
      </c>
      <c r="D76" s="25"/>
      <c r="E76" s="28"/>
      <c r="F76" s="27"/>
      <c r="G76" s="28"/>
      <c r="H76" s="27"/>
      <c r="I76" s="28"/>
      <c r="J76" s="27">
        <v>8</v>
      </c>
      <c r="K76" s="29" t="s">
        <v>35</v>
      </c>
      <c r="L76" s="39"/>
      <c r="M76" s="31"/>
      <c r="N76" s="27"/>
      <c r="P76" s="32"/>
      <c r="Q76" s="25"/>
      <c r="R76" s="27"/>
      <c r="S76" s="27"/>
      <c r="T76" s="28"/>
      <c r="U76" s="27"/>
      <c r="V76" s="207"/>
      <c r="W76" s="28"/>
      <c r="X76" s="33"/>
      <c r="Y76" s="32"/>
      <c r="Z76" s="25"/>
      <c r="AA76" s="27"/>
      <c r="AB76" s="28"/>
      <c r="AC76" s="27"/>
      <c r="AD76" s="27"/>
      <c r="AE76" s="33"/>
      <c r="AG76" s="25"/>
      <c r="AH76" s="34"/>
      <c r="AI76" s="27">
        <v>0.05</v>
      </c>
      <c r="AJ76" s="27">
        <v>0.05</v>
      </c>
      <c r="AK76" s="27">
        <v>0.05</v>
      </c>
      <c r="AL76" s="25"/>
      <c r="AM76" s="34"/>
      <c r="AN76" s="27">
        <v>0.1</v>
      </c>
      <c r="AO76" s="27">
        <v>0.1</v>
      </c>
      <c r="AP76" s="36">
        <v>0.1</v>
      </c>
      <c r="AQ76" s="37"/>
      <c r="AR76" s="32"/>
      <c r="AS76" s="25" t="s">
        <v>82</v>
      </c>
      <c r="AT76" s="27" t="s">
        <v>87</v>
      </c>
      <c r="AU76" s="58" t="s">
        <v>97</v>
      </c>
      <c r="AV76" s="27" t="s">
        <v>598</v>
      </c>
      <c r="AW76" s="25" t="s">
        <v>473</v>
      </c>
      <c r="AX76" s="27" t="s">
        <v>95</v>
      </c>
      <c r="AY76" s="27"/>
      <c r="AZ76" s="32"/>
      <c r="BA76" s="41">
        <v>9</v>
      </c>
    </row>
    <row r="77" spans="1:54" x14ac:dyDescent="0.2">
      <c r="A77" s="25">
        <v>61</v>
      </c>
      <c r="B77" s="26">
        <v>45538</v>
      </c>
      <c r="C77" s="27" t="s">
        <v>232</v>
      </c>
      <c r="D77" s="25"/>
      <c r="E77" s="28"/>
      <c r="F77" s="27"/>
      <c r="G77" s="28"/>
      <c r="H77" s="27"/>
      <c r="I77" s="28"/>
      <c r="J77" s="27">
        <v>8</v>
      </c>
      <c r="K77" s="29" t="s">
        <v>35</v>
      </c>
      <c r="L77" s="39" t="s">
        <v>631</v>
      </c>
      <c r="M77" s="31"/>
      <c r="N77" s="27"/>
      <c r="P77" s="32"/>
      <c r="Q77" s="25"/>
      <c r="R77" s="27"/>
      <c r="S77" s="27"/>
      <c r="T77" s="28"/>
      <c r="U77" s="27"/>
      <c r="V77" s="207" t="s">
        <v>502</v>
      </c>
      <c r="W77" s="28"/>
      <c r="X77" s="33"/>
      <c r="Y77" s="32" t="s">
        <v>633</v>
      </c>
      <c r="Z77" s="25"/>
      <c r="AA77" s="27"/>
      <c r="AB77" s="28"/>
      <c r="AC77" s="27"/>
      <c r="AD77" s="27"/>
      <c r="AE77" s="33"/>
      <c r="AG77" s="25"/>
      <c r="AH77" s="34"/>
      <c r="AI77" s="27">
        <v>0.05</v>
      </c>
      <c r="AJ77" s="27">
        <v>0.05</v>
      </c>
      <c r="AK77" s="27">
        <v>0.05</v>
      </c>
      <c r="AL77" s="25"/>
      <c r="AM77" s="34"/>
      <c r="AN77" s="27">
        <v>0.1</v>
      </c>
      <c r="AO77" s="27">
        <v>0.1</v>
      </c>
      <c r="AP77" s="36">
        <v>0.1</v>
      </c>
      <c r="AQ77" s="37"/>
      <c r="AR77" s="32"/>
      <c r="AS77" s="25" t="s">
        <v>614</v>
      </c>
      <c r="AT77" s="27" t="s">
        <v>87</v>
      </c>
      <c r="AU77" s="27"/>
      <c r="AV77" t="s">
        <v>629</v>
      </c>
      <c r="AW77" s="25" t="s">
        <v>473</v>
      </c>
      <c r="AX77" s="27" t="s">
        <v>95</v>
      </c>
      <c r="AY77" s="27"/>
      <c r="AZ77" s="32"/>
      <c r="BA77" s="41">
        <v>3</v>
      </c>
      <c r="BB77" t="s">
        <v>630</v>
      </c>
    </row>
    <row r="78" spans="1:54" x14ac:dyDescent="0.2">
      <c r="A78" s="25">
        <v>62</v>
      </c>
      <c r="B78" s="26">
        <v>45539</v>
      </c>
      <c r="C78" s="27" t="s">
        <v>232</v>
      </c>
      <c r="D78" s="25"/>
      <c r="E78" s="28"/>
      <c r="F78" s="27"/>
      <c r="G78" s="28"/>
      <c r="H78" s="27"/>
      <c r="I78" s="28"/>
      <c r="J78" s="27">
        <v>8</v>
      </c>
      <c r="K78" s="29" t="s">
        <v>35</v>
      </c>
      <c r="L78" s="39" t="s">
        <v>595</v>
      </c>
      <c r="M78" s="31"/>
      <c r="N78" s="27"/>
      <c r="P78" s="32"/>
      <c r="Q78" s="25"/>
      <c r="R78" s="27"/>
      <c r="S78" s="27"/>
      <c r="T78" s="28"/>
      <c r="U78" s="27"/>
      <c r="V78" s="207" t="s">
        <v>154</v>
      </c>
      <c r="W78" s="28"/>
      <c r="X78" s="33"/>
      <c r="Y78" s="32"/>
      <c r="Z78" s="25"/>
      <c r="AA78" s="27"/>
      <c r="AB78" s="28"/>
      <c r="AC78" s="27"/>
      <c r="AD78" s="27"/>
      <c r="AE78" s="33"/>
      <c r="AG78" s="25"/>
      <c r="AH78" s="34"/>
      <c r="AI78" s="27">
        <v>0.05</v>
      </c>
      <c r="AJ78" s="27">
        <v>0.05</v>
      </c>
      <c r="AK78" s="27">
        <v>0.05</v>
      </c>
      <c r="AL78" s="25"/>
      <c r="AM78" s="34"/>
      <c r="AN78" s="27">
        <v>0.1</v>
      </c>
      <c r="AO78" s="27">
        <v>0.1</v>
      </c>
      <c r="AP78" s="36">
        <v>0.1</v>
      </c>
      <c r="AQ78" s="37"/>
      <c r="AR78" s="32"/>
      <c r="AS78" s="25" t="s">
        <v>614</v>
      </c>
      <c r="AT78" s="27" t="s">
        <v>87</v>
      </c>
      <c r="AU78" s="27"/>
      <c r="AW78" s="25" t="s">
        <v>473</v>
      </c>
      <c r="AX78" s="27" t="s">
        <v>95</v>
      </c>
      <c r="AY78" s="27"/>
      <c r="AZ78" s="32"/>
      <c r="BA78" s="41">
        <v>1</v>
      </c>
      <c r="BB78" t="s">
        <v>496</v>
      </c>
    </row>
    <row r="79" spans="1:54" x14ac:dyDescent="0.2">
      <c r="A79" s="25">
        <v>63</v>
      </c>
      <c r="B79" s="26">
        <v>45540</v>
      </c>
      <c r="C79" s="27" t="s">
        <v>227</v>
      </c>
      <c r="D79" s="25"/>
      <c r="E79" s="28"/>
      <c r="F79" s="27"/>
      <c r="G79" s="28"/>
      <c r="H79" s="27"/>
      <c r="I79" s="28"/>
      <c r="J79" s="27">
        <v>8</v>
      </c>
      <c r="K79" s="29" t="s">
        <v>35</v>
      </c>
      <c r="L79" s="39"/>
      <c r="M79" s="31"/>
      <c r="N79" s="27"/>
      <c r="P79" s="32"/>
      <c r="Q79" s="25"/>
      <c r="R79" s="27"/>
      <c r="S79" s="27"/>
      <c r="T79" s="28"/>
      <c r="U79" s="27"/>
      <c r="V79" s="207" t="s">
        <v>502</v>
      </c>
      <c r="W79" s="28"/>
      <c r="X79" s="33"/>
      <c r="Y79" s="32" t="s">
        <v>601</v>
      </c>
      <c r="Z79" s="25"/>
      <c r="AA79" s="27"/>
      <c r="AB79" s="28"/>
      <c r="AC79" s="27"/>
      <c r="AD79" s="27"/>
      <c r="AE79" s="33"/>
      <c r="AG79" s="25"/>
      <c r="AH79" s="34"/>
      <c r="AI79" s="27">
        <v>0.05</v>
      </c>
      <c r="AJ79" s="27">
        <v>0.05</v>
      </c>
      <c r="AK79" s="27">
        <v>0.05</v>
      </c>
      <c r="AL79" s="25"/>
      <c r="AM79" s="34"/>
      <c r="AN79" s="27">
        <v>0.1</v>
      </c>
      <c r="AO79" s="27">
        <v>0.1</v>
      </c>
      <c r="AP79" s="36">
        <v>0.1</v>
      </c>
      <c r="AQ79" s="37"/>
      <c r="AR79" s="32"/>
      <c r="AS79" s="25" t="s">
        <v>614</v>
      </c>
      <c r="AT79" s="27" t="s">
        <v>87</v>
      </c>
      <c r="AU79" s="27"/>
      <c r="AW79" s="25" t="s">
        <v>473</v>
      </c>
      <c r="AX79" s="27" t="s">
        <v>95</v>
      </c>
      <c r="AY79" s="27"/>
      <c r="AZ79" s="32"/>
      <c r="BA79" s="41">
        <v>0</v>
      </c>
    </row>
    <row r="80" spans="1:54" x14ac:dyDescent="0.2">
      <c r="A80" s="25">
        <v>64</v>
      </c>
      <c r="B80" s="26">
        <v>45541</v>
      </c>
      <c r="C80" s="27" t="s">
        <v>200</v>
      </c>
      <c r="D80" s="25"/>
      <c r="E80" s="28"/>
      <c r="F80" s="27"/>
      <c r="G80" s="28"/>
      <c r="H80" s="27"/>
      <c r="I80" s="28"/>
      <c r="J80" s="27">
        <v>8</v>
      </c>
      <c r="K80" s="29" t="s">
        <v>35</v>
      </c>
      <c r="L80" s="39" t="s">
        <v>634</v>
      </c>
      <c r="M80" s="31"/>
      <c r="N80" s="27"/>
      <c r="P80" s="32"/>
      <c r="Q80" s="25"/>
      <c r="R80" s="27"/>
      <c r="S80" s="27"/>
      <c r="T80" s="28"/>
      <c r="U80" s="27"/>
      <c r="V80" s="207"/>
      <c r="W80" s="28"/>
      <c r="X80" s="33"/>
      <c r="Y80" s="32"/>
      <c r="Z80" s="25"/>
      <c r="AA80" s="27"/>
      <c r="AB80" s="28"/>
      <c r="AC80" s="27"/>
      <c r="AD80" s="27"/>
      <c r="AE80" s="33"/>
      <c r="AG80" s="25"/>
      <c r="AH80" s="34"/>
      <c r="AI80" s="27">
        <v>0.05</v>
      </c>
      <c r="AJ80" s="27">
        <v>0.05</v>
      </c>
      <c r="AK80" s="27">
        <v>0.05</v>
      </c>
      <c r="AL80" s="25"/>
      <c r="AM80" s="34"/>
      <c r="AN80" s="27">
        <v>0.1</v>
      </c>
      <c r="AO80" s="27">
        <v>0.1</v>
      </c>
      <c r="AP80" s="36">
        <v>0.1</v>
      </c>
      <c r="AQ80" s="37"/>
      <c r="AR80" s="32"/>
      <c r="AS80" s="25" t="s">
        <v>79</v>
      </c>
      <c r="AT80" s="27" t="s">
        <v>87</v>
      </c>
      <c r="AU80" s="27"/>
      <c r="AW80" s="25" t="s">
        <v>473</v>
      </c>
      <c r="AX80" s="27" t="s">
        <v>95</v>
      </c>
      <c r="AY80" s="27"/>
      <c r="AZ80" s="32"/>
      <c r="BA80" s="41">
        <v>0</v>
      </c>
    </row>
    <row r="81" spans="1:54" x14ac:dyDescent="0.2">
      <c r="A81" s="25">
        <v>65</v>
      </c>
      <c r="B81" s="26">
        <v>45542</v>
      </c>
      <c r="C81" s="27" t="s">
        <v>200</v>
      </c>
      <c r="D81" s="25"/>
      <c r="E81" s="28"/>
      <c r="F81" s="27"/>
      <c r="G81" s="28"/>
      <c r="H81" s="27"/>
      <c r="I81" s="28"/>
      <c r="J81" s="27">
        <v>8</v>
      </c>
      <c r="K81" s="29" t="s">
        <v>35</v>
      </c>
      <c r="L81" s="39" t="s">
        <v>634</v>
      </c>
      <c r="M81" s="31"/>
      <c r="N81" s="27"/>
      <c r="P81" s="32"/>
      <c r="Q81" s="25"/>
      <c r="R81" s="27"/>
      <c r="S81" s="27"/>
      <c r="T81" s="28"/>
      <c r="U81" s="27"/>
      <c r="V81" s="207"/>
      <c r="W81" s="28"/>
      <c r="X81" s="33"/>
      <c r="Y81" s="32"/>
      <c r="Z81" s="25"/>
      <c r="AA81" s="27"/>
      <c r="AB81" s="28"/>
      <c r="AC81" s="27"/>
      <c r="AD81" s="27"/>
      <c r="AE81" s="33"/>
      <c r="AG81" s="25"/>
      <c r="AH81" s="34"/>
      <c r="AI81" s="27">
        <v>0.05</v>
      </c>
      <c r="AJ81" s="27">
        <v>0.05</v>
      </c>
      <c r="AK81" s="27">
        <v>0.05</v>
      </c>
      <c r="AL81" s="25"/>
      <c r="AM81" s="34"/>
      <c r="AN81" s="27">
        <v>0.1</v>
      </c>
      <c r="AO81" s="27">
        <v>0.1</v>
      </c>
      <c r="AP81" s="36">
        <v>0.1</v>
      </c>
      <c r="AQ81" s="37"/>
      <c r="AR81" s="32"/>
      <c r="AS81" s="25" t="s">
        <v>79</v>
      </c>
      <c r="AT81" s="27" t="s">
        <v>87</v>
      </c>
      <c r="AU81" s="27"/>
      <c r="AW81" s="25" t="s">
        <v>473</v>
      </c>
      <c r="AX81" s="27" t="s">
        <v>95</v>
      </c>
      <c r="AY81" s="27"/>
      <c r="AZ81" s="32"/>
      <c r="BA81" s="41">
        <v>0</v>
      </c>
    </row>
    <row r="82" spans="1:54" x14ac:dyDescent="0.2">
      <c r="A82" s="25">
        <v>66</v>
      </c>
      <c r="B82" s="26">
        <v>45543</v>
      </c>
      <c r="C82" s="27" t="s">
        <v>232</v>
      </c>
      <c r="D82" s="25"/>
      <c r="E82" s="28"/>
      <c r="F82" s="27"/>
      <c r="G82" s="28"/>
      <c r="H82" s="27"/>
      <c r="I82" s="28"/>
      <c r="J82" s="27">
        <v>8</v>
      </c>
      <c r="K82" s="29" t="s">
        <v>35</v>
      </c>
      <c r="L82" s="39"/>
      <c r="M82" s="31"/>
      <c r="N82" s="27"/>
      <c r="P82" s="32"/>
      <c r="Q82" s="25"/>
      <c r="R82" s="27"/>
      <c r="S82" s="27"/>
      <c r="T82" s="28"/>
      <c r="U82" s="27"/>
      <c r="V82" s="207"/>
      <c r="W82" s="28"/>
      <c r="X82" s="33"/>
      <c r="Y82" s="32"/>
      <c r="Z82" s="25"/>
      <c r="AA82" s="27"/>
      <c r="AB82" s="28"/>
      <c r="AC82" s="27"/>
      <c r="AD82" s="27"/>
      <c r="AE82" s="33"/>
      <c r="AG82" s="25"/>
      <c r="AH82" s="34"/>
      <c r="AI82" s="27">
        <v>0.05</v>
      </c>
      <c r="AJ82" s="27">
        <v>0.05</v>
      </c>
      <c r="AK82" s="27">
        <v>0.05</v>
      </c>
      <c r="AL82" s="25"/>
      <c r="AM82" s="34"/>
      <c r="AN82" s="27">
        <v>0.1</v>
      </c>
      <c r="AO82" s="27">
        <v>0.1</v>
      </c>
      <c r="AP82" s="36">
        <v>0.1</v>
      </c>
      <c r="AQ82" s="37"/>
      <c r="AR82" s="32"/>
      <c r="AS82" s="25" t="s">
        <v>614</v>
      </c>
      <c r="AT82" s="27" t="s">
        <v>87</v>
      </c>
      <c r="AU82" s="27"/>
      <c r="AW82" s="25" t="s">
        <v>473</v>
      </c>
      <c r="AX82" s="27" t="s">
        <v>95</v>
      </c>
      <c r="AY82" s="27"/>
      <c r="AZ82" s="32"/>
      <c r="BA82" s="41">
        <v>1</v>
      </c>
      <c r="BB82" t="s">
        <v>635</v>
      </c>
    </row>
    <row r="83" spans="1:54" x14ac:dyDescent="0.2">
      <c r="A83" s="25">
        <v>67</v>
      </c>
      <c r="B83" s="26">
        <v>45544</v>
      </c>
      <c r="C83" s="27" t="s">
        <v>232</v>
      </c>
      <c r="D83" s="25"/>
      <c r="E83" s="28"/>
      <c r="F83" s="27"/>
      <c r="G83" s="28"/>
      <c r="H83" s="27"/>
      <c r="I83" s="28"/>
      <c r="J83" s="27">
        <v>8</v>
      </c>
      <c r="K83" s="29" t="s">
        <v>35</v>
      </c>
      <c r="L83" s="39"/>
      <c r="M83" s="31"/>
      <c r="N83" s="27"/>
      <c r="P83" s="32"/>
      <c r="Q83" s="25"/>
      <c r="R83" s="27"/>
      <c r="S83" s="27"/>
      <c r="T83" s="28"/>
      <c r="U83" s="27"/>
      <c r="V83" s="207"/>
      <c r="W83" s="28"/>
      <c r="X83" s="33"/>
      <c r="Y83" s="32"/>
      <c r="Z83" s="25"/>
      <c r="AA83" s="27"/>
      <c r="AB83" s="28"/>
      <c r="AC83" s="27"/>
      <c r="AD83" s="27"/>
      <c r="AE83" s="33"/>
      <c r="AG83" s="25"/>
      <c r="AH83" s="34"/>
      <c r="AI83" s="27">
        <v>0.05</v>
      </c>
      <c r="AJ83" s="27">
        <v>0.05</v>
      </c>
      <c r="AK83" s="27">
        <v>0.05</v>
      </c>
      <c r="AL83" s="25"/>
      <c r="AM83" s="34"/>
      <c r="AN83" s="27">
        <v>0.1</v>
      </c>
      <c r="AO83" s="27">
        <v>0.1</v>
      </c>
      <c r="AP83" s="36">
        <v>0.1</v>
      </c>
      <c r="AQ83" s="37"/>
      <c r="AR83" s="32"/>
      <c r="AS83" s="25" t="s">
        <v>614</v>
      </c>
      <c r="AT83" s="27" t="s">
        <v>87</v>
      </c>
      <c r="AU83" s="27"/>
      <c r="AW83" s="25" t="s">
        <v>473</v>
      </c>
      <c r="AX83" s="27" t="s">
        <v>95</v>
      </c>
      <c r="AY83" s="27"/>
      <c r="AZ83" s="32"/>
      <c r="BA83" s="41">
        <v>0</v>
      </c>
    </row>
    <row r="84" spans="1:54" x14ac:dyDescent="0.2">
      <c r="A84" s="25">
        <v>68</v>
      </c>
      <c r="B84" s="26">
        <v>45545</v>
      </c>
      <c r="C84" s="27" t="s">
        <v>227</v>
      </c>
      <c r="D84" s="25"/>
      <c r="E84" s="28"/>
      <c r="F84" s="27"/>
      <c r="G84" s="28"/>
      <c r="H84" s="27"/>
      <c r="I84" s="28"/>
      <c r="J84" s="27">
        <v>8</v>
      </c>
      <c r="K84" s="29" t="s">
        <v>35</v>
      </c>
      <c r="L84" s="39"/>
      <c r="M84" s="31"/>
      <c r="N84" s="27"/>
      <c r="P84" s="32"/>
      <c r="Q84" s="25"/>
      <c r="R84" s="27"/>
      <c r="S84" s="27"/>
      <c r="T84" s="28"/>
      <c r="U84" s="27"/>
      <c r="V84" s="207"/>
      <c r="W84" s="28"/>
      <c r="X84" s="33"/>
      <c r="Y84" s="32"/>
      <c r="Z84" s="25"/>
      <c r="AA84" s="27"/>
      <c r="AB84" s="28"/>
      <c r="AC84" s="27"/>
      <c r="AD84" s="27"/>
      <c r="AE84" s="33"/>
      <c r="AG84" s="25"/>
      <c r="AH84" s="34"/>
      <c r="AI84" s="27">
        <v>0.05</v>
      </c>
      <c r="AJ84" s="27">
        <v>0.05</v>
      </c>
      <c r="AK84" s="27">
        <v>0.05</v>
      </c>
      <c r="AL84" s="25"/>
      <c r="AM84" s="34"/>
      <c r="AN84" s="27">
        <v>0.1</v>
      </c>
      <c r="AO84" s="27">
        <v>0.1</v>
      </c>
      <c r="AP84" s="36">
        <v>0.1</v>
      </c>
      <c r="AQ84" s="37"/>
      <c r="AR84" s="32"/>
      <c r="AS84" s="25" t="s">
        <v>614</v>
      </c>
      <c r="AT84" s="27" t="s">
        <v>87</v>
      </c>
      <c r="AU84" s="27"/>
      <c r="AW84" s="25" t="s">
        <v>473</v>
      </c>
      <c r="AX84" s="27" t="s">
        <v>95</v>
      </c>
      <c r="AY84" s="27"/>
      <c r="AZ84" s="32"/>
      <c r="BA84" s="41">
        <v>0</v>
      </c>
    </row>
    <row r="85" spans="1:54" x14ac:dyDescent="0.2">
      <c r="A85" s="25">
        <v>69</v>
      </c>
      <c r="B85" s="26">
        <v>45546</v>
      </c>
      <c r="C85" s="27" t="s">
        <v>314</v>
      </c>
      <c r="D85" s="25"/>
      <c r="E85" s="28"/>
      <c r="F85" s="27"/>
      <c r="G85" s="28"/>
      <c r="H85" s="27"/>
      <c r="I85" s="28"/>
      <c r="J85" s="27">
        <v>8</v>
      </c>
      <c r="K85" s="29" t="s">
        <v>35</v>
      </c>
      <c r="L85" s="39"/>
      <c r="M85" s="31"/>
      <c r="N85" s="27"/>
      <c r="P85" s="32"/>
      <c r="Q85" s="25"/>
      <c r="R85" s="27"/>
      <c r="S85" s="27"/>
      <c r="T85" s="28"/>
      <c r="U85" s="27"/>
      <c r="V85" s="27"/>
      <c r="W85" s="28"/>
      <c r="X85" s="33"/>
      <c r="Y85" s="32"/>
      <c r="Z85" s="25"/>
      <c r="AA85" s="27"/>
      <c r="AB85" s="28"/>
      <c r="AC85" s="27"/>
      <c r="AD85" s="27"/>
      <c r="AE85" s="33"/>
      <c r="AG85" s="25"/>
      <c r="AH85" s="34"/>
      <c r="AI85" s="27">
        <v>0.05</v>
      </c>
      <c r="AJ85" s="27">
        <v>0.05</v>
      </c>
      <c r="AK85" s="27">
        <v>0.05</v>
      </c>
      <c r="AL85" s="25"/>
      <c r="AM85" s="34"/>
      <c r="AN85" s="27">
        <v>0.1</v>
      </c>
      <c r="AO85" s="27">
        <v>0.1</v>
      </c>
      <c r="AP85" s="36">
        <v>0.1</v>
      </c>
      <c r="AQ85" s="37"/>
      <c r="AR85" s="32"/>
      <c r="AS85" s="25" t="s">
        <v>79</v>
      </c>
      <c r="AT85" s="27" t="s">
        <v>87</v>
      </c>
      <c r="AU85" s="27"/>
      <c r="AW85" s="25" t="s">
        <v>473</v>
      </c>
      <c r="AX85" s="27" t="s">
        <v>95</v>
      </c>
      <c r="AY85" s="27"/>
      <c r="AZ85" s="32"/>
      <c r="BA85" s="41">
        <v>0</v>
      </c>
    </row>
    <row r="86" spans="1:54" x14ac:dyDescent="0.2">
      <c r="A86" s="25">
        <v>70</v>
      </c>
      <c r="B86" s="26">
        <v>45547</v>
      </c>
      <c r="C86" s="27" t="s">
        <v>227</v>
      </c>
      <c r="D86" s="25"/>
      <c r="E86" s="28"/>
      <c r="F86" s="27"/>
      <c r="G86" s="28"/>
      <c r="H86" s="27"/>
      <c r="I86" s="28"/>
      <c r="J86" s="27">
        <v>8</v>
      </c>
      <c r="K86" s="29" t="s">
        <v>35</v>
      </c>
      <c r="L86" s="39"/>
      <c r="M86" s="31"/>
      <c r="N86" s="27"/>
      <c r="P86" s="32"/>
      <c r="Q86" s="25"/>
      <c r="R86" s="27"/>
      <c r="S86" s="27"/>
      <c r="T86" s="28"/>
      <c r="U86" s="27"/>
      <c r="V86" s="27"/>
      <c r="W86" s="28"/>
      <c r="X86" s="33"/>
      <c r="Y86" s="32"/>
      <c r="Z86" s="25"/>
      <c r="AA86" s="27"/>
      <c r="AB86" s="28"/>
      <c r="AC86" s="27"/>
      <c r="AD86" s="27"/>
      <c r="AE86" s="33"/>
      <c r="AG86" s="25"/>
      <c r="AH86" s="34"/>
      <c r="AI86" s="27">
        <v>0.05</v>
      </c>
      <c r="AJ86" s="27">
        <v>0.05</v>
      </c>
      <c r="AK86" s="27">
        <v>0.05</v>
      </c>
      <c r="AL86" s="25"/>
      <c r="AM86" s="34"/>
      <c r="AN86" s="27">
        <v>0.1</v>
      </c>
      <c r="AO86" s="27">
        <v>0.1</v>
      </c>
      <c r="AP86" s="36">
        <v>0.1</v>
      </c>
      <c r="AQ86" s="37"/>
      <c r="AR86" s="32"/>
      <c r="AS86" s="25" t="s">
        <v>614</v>
      </c>
      <c r="AT86" s="27" t="s">
        <v>87</v>
      </c>
      <c r="AU86" s="27"/>
      <c r="AW86" s="25" t="s">
        <v>473</v>
      </c>
      <c r="AX86" s="27" t="s">
        <v>95</v>
      </c>
      <c r="AY86" s="27"/>
      <c r="AZ86" s="32"/>
      <c r="BA86" s="41">
        <v>0</v>
      </c>
    </row>
    <row r="87" spans="1:54" x14ac:dyDescent="0.2">
      <c r="A87" s="25">
        <v>71</v>
      </c>
      <c r="B87" s="26">
        <v>45548</v>
      </c>
      <c r="C87" s="27" t="s">
        <v>200</v>
      </c>
      <c r="D87" s="25"/>
      <c r="E87" s="28"/>
      <c r="F87" s="27"/>
      <c r="G87" s="28"/>
      <c r="H87" s="27"/>
      <c r="I87" s="28"/>
      <c r="J87" s="27">
        <v>8</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v>0.05</v>
      </c>
      <c r="AJ87" s="27">
        <v>0.05</v>
      </c>
      <c r="AK87" s="28">
        <v>0.05</v>
      </c>
      <c r="AL87" s="27"/>
      <c r="AM87" s="27"/>
      <c r="AN87" s="27">
        <v>0.1</v>
      </c>
      <c r="AO87" s="27">
        <v>0.1</v>
      </c>
      <c r="AP87" s="36">
        <v>0.1</v>
      </c>
      <c r="AQ87" s="37"/>
      <c r="AS87" s="25" t="s">
        <v>614</v>
      </c>
      <c r="AT87" s="27" t="s">
        <v>87</v>
      </c>
      <c r="AU87" s="27"/>
      <c r="AW87" s="25" t="s">
        <v>473</v>
      </c>
      <c r="AX87" s="27" t="s">
        <v>95</v>
      </c>
      <c r="AY87" s="27"/>
      <c r="AZ87" s="32"/>
      <c r="BA87" s="41">
        <v>0</v>
      </c>
    </row>
    <row r="88" spans="1:54" x14ac:dyDescent="0.2">
      <c r="A88" s="25">
        <v>72</v>
      </c>
      <c r="B88" s="26">
        <v>45549</v>
      </c>
      <c r="C88" s="27" t="s">
        <v>200</v>
      </c>
      <c r="D88" s="25"/>
      <c r="E88" s="28"/>
      <c r="F88" s="27"/>
      <c r="G88" s="28"/>
      <c r="H88" s="27"/>
      <c r="I88" s="28"/>
      <c r="J88" s="27">
        <v>8</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v>0.05</v>
      </c>
      <c r="AJ88" s="27">
        <v>0.05</v>
      </c>
      <c r="AK88" s="28">
        <v>0.05</v>
      </c>
      <c r="AL88" s="27"/>
      <c r="AM88" s="27"/>
      <c r="AN88" s="27">
        <v>0.1</v>
      </c>
      <c r="AO88" s="27">
        <v>0.1</v>
      </c>
      <c r="AP88" s="36">
        <v>0.1</v>
      </c>
      <c r="AQ88" s="37" t="s">
        <v>639</v>
      </c>
      <c r="AS88" s="25" t="s">
        <v>79</v>
      </c>
      <c r="AT88" s="27" t="s">
        <v>87</v>
      </c>
      <c r="AU88" s="27"/>
      <c r="AW88" s="25" t="s">
        <v>473</v>
      </c>
      <c r="AX88" s="27" t="s">
        <v>95</v>
      </c>
      <c r="AY88" s="27"/>
      <c r="AZ88" s="32"/>
      <c r="BA88" s="41">
        <v>0</v>
      </c>
    </row>
    <row r="89" spans="1:54" x14ac:dyDescent="0.2">
      <c r="A89" s="25">
        <v>73</v>
      </c>
      <c r="B89" s="26">
        <v>45550</v>
      </c>
      <c r="C89" s="27" t="s">
        <v>232</v>
      </c>
      <c r="D89" s="25"/>
      <c r="E89" s="28"/>
      <c r="F89" s="27"/>
      <c r="G89" s="28"/>
      <c r="H89" s="27"/>
      <c r="I89" s="28"/>
      <c r="J89" s="27">
        <v>8</v>
      </c>
      <c r="K89" s="29" t="s">
        <v>35</v>
      </c>
      <c r="L89" s="173"/>
      <c r="M89" s="31"/>
      <c r="N89" s="27"/>
      <c r="P89" s="32"/>
      <c r="Q89" s="25"/>
      <c r="R89" s="27"/>
      <c r="S89" s="27"/>
      <c r="T89" s="28"/>
      <c r="U89" s="27"/>
      <c r="V89" s="27"/>
      <c r="W89" s="28"/>
      <c r="X89" s="33"/>
      <c r="Y89" s="32"/>
      <c r="Z89" s="25"/>
      <c r="AA89" s="27"/>
      <c r="AB89" s="28"/>
      <c r="AC89" s="27"/>
      <c r="AD89" s="27"/>
      <c r="AE89" s="33"/>
      <c r="AF89" s="32"/>
      <c r="AG89" s="90"/>
      <c r="AH89" s="91"/>
      <c r="AI89" s="27">
        <v>0.05</v>
      </c>
      <c r="AJ89" s="27">
        <v>0.05</v>
      </c>
      <c r="AK89" s="28">
        <v>0.05</v>
      </c>
      <c r="AL89" s="27"/>
      <c r="AM89" s="27"/>
      <c r="AN89" s="27">
        <v>0.1</v>
      </c>
      <c r="AO89" s="27">
        <v>0.1</v>
      </c>
      <c r="AP89" s="36">
        <v>0.1</v>
      </c>
      <c r="AQ89" s="37"/>
      <c r="AS89" s="25" t="s">
        <v>79</v>
      </c>
      <c r="AT89" s="27" t="s">
        <v>87</v>
      </c>
      <c r="AU89" s="27"/>
      <c r="AW89" s="25" t="s">
        <v>473</v>
      </c>
      <c r="AX89" s="27" t="s">
        <v>95</v>
      </c>
      <c r="AY89" s="27"/>
      <c r="AZ89" s="32"/>
      <c r="BA89" s="41">
        <v>0</v>
      </c>
    </row>
    <row r="90" spans="1:54" x14ac:dyDescent="0.2">
      <c r="A90" s="25">
        <v>74</v>
      </c>
      <c r="B90" s="26">
        <v>45551</v>
      </c>
      <c r="C90" s="27" t="s">
        <v>227</v>
      </c>
      <c r="D90" s="25"/>
      <c r="E90" s="28"/>
      <c r="F90" s="27"/>
      <c r="G90" s="28"/>
      <c r="H90" s="27"/>
      <c r="I90" s="28"/>
      <c r="J90" s="27">
        <v>8</v>
      </c>
      <c r="K90" s="29" t="s">
        <v>35</v>
      </c>
      <c r="L90" s="173" t="s">
        <v>640</v>
      </c>
      <c r="M90" s="31"/>
      <c r="N90" s="27"/>
      <c r="P90" s="32"/>
      <c r="Q90" s="25"/>
      <c r="R90" s="27"/>
      <c r="S90" s="27"/>
      <c r="T90" s="28"/>
      <c r="U90" s="27"/>
      <c r="V90" s="27"/>
      <c r="W90" s="28"/>
      <c r="X90" s="33"/>
      <c r="Y90" s="32"/>
      <c r="Z90" s="25"/>
      <c r="AA90" s="27"/>
      <c r="AB90" s="28"/>
      <c r="AC90" s="27"/>
      <c r="AD90" s="27"/>
      <c r="AE90" s="33"/>
      <c r="AF90" s="32"/>
      <c r="AG90" s="90"/>
      <c r="AH90" s="91"/>
      <c r="AI90" s="27">
        <v>0.05</v>
      </c>
      <c r="AJ90" s="27">
        <v>0.05</v>
      </c>
      <c r="AK90" s="28">
        <v>0.05</v>
      </c>
      <c r="AL90" s="27"/>
      <c r="AM90" s="27"/>
      <c r="AN90" s="27">
        <v>0.1</v>
      </c>
      <c r="AO90" s="27">
        <v>0.1</v>
      </c>
      <c r="AP90" s="36">
        <v>0.1</v>
      </c>
      <c r="AQ90" s="37"/>
      <c r="AS90" s="25" t="s">
        <v>79</v>
      </c>
      <c r="AT90" s="27" t="s">
        <v>87</v>
      </c>
      <c r="AU90" s="27"/>
      <c r="AW90" s="25" t="s">
        <v>473</v>
      </c>
      <c r="AX90" s="27" t="s">
        <v>95</v>
      </c>
      <c r="AY90" s="27"/>
      <c r="AZ90" s="32"/>
      <c r="BA90" s="41">
        <v>0</v>
      </c>
    </row>
    <row r="91" spans="1:54" x14ac:dyDescent="0.2">
      <c r="A91" s="25">
        <v>75</v>
      </c>
      <c r="B91" s="26">
        <v>45552</v>
      </c>
      <c r="C91" s="27" t="s">
        <v>232</v>
      </c>
      <c r="D91" s="25"/>
      <c r="E91" s="28"/>
      <c r="F91" s="27"/>
      <c r="G91" s="28"/>
      <c r="H91" s="27"/>
      <c r="I91" s="28"/>
      <c r="J91" s="27">
        <v>8</v>
      </c>
      <c r="K91" s="29" t="s">
        <v>35</v>
      </c>
      <c r="L91" s="173"/>
      <c r="M91" s="31"/>
      <c r="N91" s="27"/>
      <c r="P91" s="32"/>
      <c r="Q91" s="25"/>
      <c r="R91" s="27"/>
      <c r="S91" s="27"/>
      <c r="T91" s="28"/>
      <c r="U91" s="27"/>
      <c r="V91" s="27"/>
      <c r="W91" s="28"/>
      <c r="X91" s="33"/>
      <c r="Y91" s="32"/>
      <c r="Z91" s="25"/>
      <c r="AA91" s="27"/>
      <c r="AB91" s="28"/>
      <c r="AC91" s="27"/>
      <c r="AD91" s="27"/>
      <c r="AE91" s="33"/>
      <c r="AF91" s="32"/>
      <c r="AG91" s="90"/>
      <c r="AH91" s="91"/>
      <c r="AI91" s="27">
        <v>0.05</v>
      </c>
      <c r="AJ91" s="27">
        <v>0.05</v>
      </c>
      <c r="AK91" s="28">
        <v>0.05</v>
      </c>
      <c r="AL91" s="27"/>
      <c r="AM91" s="27"/>
      <c r="AN91" s="27">
        <v>0.1</v>
      </c>
      <c r="AO91" s="27">
        <v>0.1</v>
      </c>
      <c r="AP91" s="36">
        <v>0.1</v>
      </c>
      <c r="AQ91" s="37"/>
      <c r="AR91" s="32"/>
      <c r="AS91" s="25" t="s">
        <v>614</v>
      </c>
      <c r="AT91" s="27" t="s">
        <v>87</v>
      </c>
      <c r="AU91" s="27"/>
      <c r="AW91" s="25" t="s">
        <v>473</v>
      </c>
      <c r="AX91" s="27" t="s">
        <v>95</v>
      </c>
      <c r="AY91" s="27"/>
      <c r="AZ91" s="32"/>
      <c r="BA91" s="41">
        <v>1</v>
      </c>
    </row>
    <row r="92" spans="1:54" x14ac:dyDescent="0.2">
      <c r="A92" s="25">
        <v>76</v>
      </c>
      <c r="B92" s="26">
        <v>45553</v>
      </c>
      <c r="C92" s="27" t="s">
        <v>227</v>
      </c>
      <c r="D92" s="25"/>
      <c r="E92" s="28"/>
      <c r="F92" s="27"/>
      <c r="G92" s="28"/>
      <c r="H92" s="27"/>
      <c r="I92" s="28"/>
      <c r="J92" s="27">
        <v>8</v>
      </c>
      <c r="K92" s="29" t="s">
        <v>35</v>
      </c>
      <c r="L92" s="173"/>
      <c r="M92" s="31"/>
      <c r="N92" s="27"/>
      <c r="P92" s="32"/>
      <c r="Q92" s="25"/>
      <c r="R92" s="27"/>
      <c r="S92" s="27"/>
      <c r="T92" s="28"/>
      <c r="U92" s="27"/>
      <c r="V92" s="27"/>
      <c r="W92" s="28"/>
      <c r="X92" s="33"/>
      <c r="Y92" s="32"/>
      <c r="Z92" s="25"/>
      <c r="AA92" s="27"/>
      <c r="AB92" s="28"/>
      <c r="AC92" s="27"/>
      <c r="AD92" s="27"/>
      <c r="AE92" s="33"/>
      <c r="AF92" s="32"/>
      <c r="AG92" s="90"/>
      <c r="AH92" s="91"/>
      <c r="AI92" s="27">
        <v>0.05</v>
      </c>
      <c r="AJ92" s="27">
        <v>0.05</v>
      </c>
      <c r="AK92" s="28">
        <v>0.05</v>
      </c>
      <c r="AL92" s="27"/>
      <c r="AM92" s="27"/>
      <c r="AN92" s="27">
        <v>0.1</v>
      </c>
      <c r="AO92" s="27">
        <v>0.1</v>
      </c>
      <c r="AP92" s="36">
        <v>0.1</v>
      </c>
      <c r="AQ92" s="37"/>
      <c r="AR92" s="32"/>
      <c r="AS92" s="25" t="s">
        <v>614</v>
      </c>
      <c r="AT92" s="27" t="s">
        <v>87</v>
      </c>
      <c r="AU92" s="27"/>
      <c r="AW92" s="25" t="s">
        <v>473</v>
      </c>
      <c r="AX92" s="27" t="s">
        <v>95</v>
      </c>
      <c r="AY92" s="27"/>
      <c r="AZ92" s="32"/>
      <c r="BA92" s="41">
        <v>0</v>
      </c>
    </row>
    <row r="93" spans="1:54" x14ac:dyDescent="0.2">
      <c r="A93" s="25">
        <v>77</v>
      </c>
      <c r="B93" s="26">
        <v>45554</v>
      </c>
      <c r="C93" s="27" t="s">
        <v>227</v>
      </c>
      <c r="D93" s="25"/>
      <c r="E93" s="28"/>
      <c r="F93" s="27"/>
      <c r="G93" s="28"/>
      <c r="H93" s="27"/>
      <c r="I93" s="28"/>
      <c r="J93" s="27">
        <v>8</v>
      </c>
      <c r="K93" s="29" t="s">
        <v>35</v>
      </c>
      <c r="L93" s="173"/>
      <c r="M93" s="31"/>
      <c r="N93" s="27"/>
      <c r="P93" s="32"/>
      <c r="Q93" s="25"/>
      <c r="R93" s="27"/>
      <c r="S93" s="27"/>
      <c r="T93" s="28"/>
      <c r="U93" s="27"/>
      <c r="V93" s="27"/>
      <c r="W93" s="28"/>
      <c r="X93" s="33"/>
      <c r="Y93" s="32"/>
      <c r="Z93" s="25"/>
      <c r="AA93" s="27"/>
      <c r="AB93" s="28"/>
      <c r="AC93" s="27"/>
      <c r="AD93" s="27"/>
      <c r="AE93" s="33"/>
      <c r="AF93" s="32"/>
      <c r="AG93" s="90"/>
      <c r="AH93" s="91"/>
      <c r="AI93" s="27">
        <v>0.05</v>
      </c>
      <c r="AJ93" s="27">
        <v>0.05</v>
      </c>
      <c r="AK93" s="28">
        <v>0.05</v>
      </c>
      <c r="AL93" s="27"/>
      <c r="AM93" s="27"/>
      <c r="AN93" s="27">
        <v>0.1</v>
      </c>
      <c r="AO93" s="27">
        <v>0.1</v>
      </c>
      <c r="AP93" s="36">
        <v>0.1</v>
      </c>
      <c r="AQ93" s="37"/>
      <c r="AR93" s="32"/>
      <c r="AS93" s="25" t="s">
        <v>614</v>
      </c>
      <c r="AT93" s="27" t="s">
        <v>87</v>
      </c>
      <c r="AU93" s="27"/>
      <c r="AW93" s="25" t="s">
        <v>473</v>
      </c>
      <c r="AX93" s="27" t="s">
        <v>95</v>
      </c>
      <c r="AY93" s="27"/>
      <c r="AZ93" s="32"/>
      <c r="BA93" s="41">
        <v>0</v>
      </c>
    </row>
    <row r="94" spans="1:54" x14ac:dyDescent="0.2">
      <c r="A94" s="25">
        <v>78</v>
      </c>
      <c r="B94" s="26">
        <v>45555</v>
      </c>
      <c r="C94" s="27" t="s">
        <v>200</v>
      </c>
      <c r="D94" s="25"/>
      <c r="E94" s="28"/>
      <c r="F94" s="27"/>
      <c r="G94" s="28"/>
      <c r="H94" s="27"/>
      <c r="I94" s="28"/>
      <c r="J94" s="27">
        <v>8</v>
      </c>
      <c r="K94" s="29" t="s">
        <v>35</v>
      </c>
      <c r="L94" s="173"/>
      <c r="M94" s="31"/>
      <c r="N94" s="27"/>
      <c r="P94" s="32"/>
      <c r="Q94" s="25"/>
      <c r="R94" s="27"/>
      <c r="S94" s="27"/>
      <c r="T94" s="28"/>
      <c r="U94" s="27"/>
      <c r="V94" s="27"/>
      <c r="W94" s="28"/>
      <c r="X94" s="33"/>
      <c r="Y94" s="32"/>
      <c r="Z94" s="25"/>
      <c r="AA94" s="27"/>
      <c r="AB94" s="28"/>
      <c r="AC94" s="27"/>
      <c r="AD94" s="27"/>
      <c r="AE94" s="33"/>
      <c r="AF94" s="32"/>
      <c r="AG94" s="90"/>
      <c r="AH94" s="91"/>
      <c r="AI94" s="27">
        <v>0.05</v>
      </c>
      <c r="AJ94" s="27">
        <v>0.05</v>
      </c>
      <c r="AK94" s="28">
        <v>0.05</v>
      </c>
      <c r="AL94" s="27"/>
      <c r="AM94" s="27"/>
      <c r="AN94" s="27">
        <v>0.1</v>
      </c>
      <c r="AO94" s="27">
        <v>0.1</v>
      </c>
      <c r="AP94" s="36">
        <v>0.1</v>
      </c>
      <c r="AQ94" s="37"/>
      <c r="AR94" s="32"/>
      <c r="AS94" s="25" t="s">
        <v>79</v>
      </c>
      <c r="AT94" s="27" t="s">
        <v>87</v>
      </c>
      <c r="AU94" s="27"/>
      <c r="AW94" s="25" t="s">
        <v>473</v>
      </c>
      <c r="AX94" s="27" t="s">
        <v>95</v>
      </c>
      <c r="AY94" s="27"/>
      <c r="AZ94" s="32"/>
      <c r="BA94" s="41">
        <v>0</v>
      </c>
    </row>
    <row r="95" spans="1:54" x14ac:dyDescent="0.2">
      <c r="A95" s="25">
        <v>79</v>
      </c>
      <c r="B95" s="26">
        <v>45556</v>
      </c>
      <c r="C95" s="27" t="s">
        <v>200</v>
      </c>
      <c r="D95" s="25"/>
      <c r="E95" s="28"/>
      <c r="F95" s="27"/>
      <c r="G95" s="28"/>
      <c r="H95" s="27"/>
      <c r="I95" s="28"/>
      <c r="J95" s="27">
        <v>8</v>
      </c>
      <c r="K95" s="29" t="s">
        <v>35</v>
      </c>
      <c r="L95" s="173"/>
      <c r="M95" s="31"/>
      <c r="N95" s="27"/>
      <c r="P95" s="32"/>
      <c r="Q95" s="25"/>
      <c r="R95" s="27"/>
      <c r="S95" s="27"/>
      <c r="T95" s="28"/>
      <c r="U95" s="27"/>
      <c r="V95" s="27"/>
      <c r="W95" s="28"/>
      <c r="X95" s="33"/>
      <c r="Y95" s="32"/>
      <c r="Z95" s="25"/>
      <c r="AA95" s="27"/>
      <c r="AB95" s="28"/>
      <c r="AC95" s="27"/>
      <c r="AD95" s="27"/>
      <c r="AE95" s="33"/>
      <c r="AF95" s="32"/>
      <c r="AG95" s="90"/>
      <c r="AH95" s="91"/>
      <c r="AI95" s="27">
        <v>0.05</v>
      </c>
      <c r="AJ95" s="27">
        <v>0.05</v>
      </c>
      <c r="AK95" s="28">
        <v>0.05</v>
      </c>
      <c r="AL95" s="27"/>
      <c r="AM95" s="27"/>
      <c r="AN95" s="27">
        <v>0.1</v>
      </c>
      <c r="AO95" s="27">
        <v>0.1</v>
      </c>
      <c r="AP95" s="36">
        <v>0.1</v>
      </c>
      <c r="AQ95" s="37"/>
      <c r="AR95" s="32"/>
      <c r="AS95" s="25" t="s">
        <v>79</v>
      </c>
      <c r="AT95" s="27" t="s">
        <v>87</v>
      </c>
      <c r="AU95" s="27"/>
      <c r="AW95" s="25" t="s">
        <v>473</v>
      </c>
      <c r="AX95" s="27" t="s">
        <v>95</v>
      </c>
      <c r="AY95" s="27"/>
      <c r="AZ95" s="32"/>
      <c r="BA95" s="41">
        <v>0</v>
      </c>
    </row>
    <row r="96" spans="1:54" x14ac:dyDescent="0.2">
      <c r="A96" s="25">
        <v>80</v>
      </c>
      <c r="B96" s="26">
        <v>45557</v>
      </c>
      <c r="C96" s="27" t="s">
        <v>232</v>
      </c>
      <c r="D96" s="25"/>
      <c r="E96" s="28"/>
      <c r="F96" s="27"/>
      <c r="G96" s="28"/>
      <c r="H96" s="27"/>
      <c r="I96" s="28"/>
      <c r="J96" s="27">
        <v>8</v>
      </c>
      <c r="K96" s="29" t="s">
        <v>35</v>
      </c>
      <c r="L96" s="173"/>
      <c r="M96" s="31"/>
      <c r="N96" s="27"/>
      <c r="P96" s="32"/>
      <c r="Q96" s="25"/>
      <c r="R96" s="27"/>
      <c r="S96" s="27"/>
      <c r="T96" s="28"/>
      <c r="U96" s="27"/>
      <c r="V96" s="27"/>
      <c r="W96" s="28"/>
      <c r="X96" s="33"/>
      <c r="Y96" s="32"/>
      <c r="Z96" s="25"/>
      <c r="AA96" s="27"/>
      <c r="AB96" s="28"/>
      <c r="AC96" s="27"/>
      <c r="AD96" s="27"/>
      <c r="AE96" s="33"/>
      <c r="AF96" s="32"/>
      <c r="AG96" s="90"/>
      <c r="AH96" s="91"/>
      <c r="AI96" s="27" t="s">
        <v>642</v>
      </c>
      <c r="AJ96" s="27" t="s">
        <v>642</v>
      </c>
      <c r="AK96" s="28" t="s">
        <v>642</v>
      </c>
      <c r="AL96" s="27"/>
      <c r="AM96" s="27"/>
      <c r="AN96" s="27">
        <v>0.1</v>
      </c>
      <c r="AO96" s="27">
        <v>0.1</v>
      </c>
      <c r="AP96" s="36">
        <v>0.1</v>
      </c>
      <c r="AQ96" s="37"/>
      <c r="AR96" s="32"/>
      <c r="AS96" s="25" t="s">
        <v>82</v>
      </c>
      <c r="AT96" s="27" t="s">
        <v>87</v>
      </c>
      <c r="AU96" s="27"/>
      <c r="AW96" s="25" t="s">
        <v>473</v>
      </c>
      <c r="AX96" s="27" t="s">
        <v>95</v>
      </c>
      <c r="AY96" s="27"/>
      <c r="AZ96" s="32"/>
      <c r="BA96" s="41">
        <v>0</v>
      </c>
    </row>
    <row r="97" spans="1:54" x14ac:dyDescent="0.2">
      <c r="A97" s="25">
        <v>81</v>
      </c>
      <c r="B97" s="26">
        <v>45558</v>
      </c>
      <c r="C97" s="27" t="s">
        <v>232</v>
      </c>
      <c r="D97" s="25"/>
      <c r="E97" s="28"/>
      <c r="F97" s="27"/>
      <c r="G97" s="28"/>
      <c r="H97" s="27"/>
      <c r="I97" s="28"/>
      <c r="J97" s="27">
        <v>8</v>
      </c>
      <c r="K97" s="29" t="s">
        <v>35</v>
      </c>
      <c r="L97" s="173"/>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v>0.1</v>
      </c>
      <c r="AO97" s="27">
        <v>0.1</v>
      </c>
      <c r="AP97" s="36">
        <v>0.1</v>
      </c>
      <c r="AQ97" s="37"/>
      <c r="AR97" s="32"/>
      <c r="AS97" s="25" t="s">
        <v>82</v>
      </c>
      <c r="AT97" s="27" t="s">
        <v>87</v>
      </c>
      <c r="AU97" s="27"/>
      <c r="AW97" s="25" t="s">
        <v>473</v>
      </c>
      <c r="AX97" s="27" t="s">
        <v>95</v>
      </c>
      <c r="AY97" s="27"/>
      <c r="AZ97" s="32"/>
      <c r="BA97" s="41">
        <v>0</v>
      </c>
    </row>
    <row r="98" spans="1:54" x14ac:dyDescent="0.2">
      <c r="A98" s="25">
        <v>82</v>
      </c>
      <c r="B98" s="26">
        <v>45559</v>
      </c>
      <c r="C98" s="27" t="s">
        <v>227</v>
      </c>
      <c r="D98" s="25"/>
      <c r="E98" s="28"/>
      <c r="F98" s="27"/>
      <c r="G98" s="28"/>
      <c r="H98" s="27"/>
      <c r="I98" s="28"/>
      <c r="J98" s="27">
        <v>8</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v>0.1</v>
      </c>
      <c r="AO98" s="27">
        <v>0.1</v>
      </c>
      <c r="AP98" s="36">
        <v>0.1</v>
      </c>
      <c r="AQ98" s="37"/>
      <c r="AR98" s="32"/>
      <c r="AS98" s="25" t="s">
        <v>82</v>
      </c>
      <c r="AT98" s="27" t="s">
        <v>87</v>
      </c>
      <c r="AU98" s="27"/>
      <c r="AW98" s="25" t="s">
        <v>473</v>
      </c>
      <c r="AX98" s="27" t="s">
        <v>95</v>
      </c>
      <c r="AY98" s="27"/>
      <c r="AZ98" s="32"/>
      <c r="BA98" s="41">
        <v>0</v>
      </c>
    </row>
    <row r="99" spans="1:54" x14ac:dyDescent="0.2">
      <c r="A99" s="25">
        <v>83</v>
      </c>
      <c r="B99" s="26">
        <v>45560</v>
      </c>
      <c r="C99" s="27" t="s">
        <v>227</v>
      </c>
      <c r="D99" s="25"/>
      <c r="E99" s="28"/>
      <c r="F99" s="27"/>
      <c r="G99" s="28"/>
      <c r="H99" s="27"/>
      <c r="I99" s="28"/>
      <c r="J99" s="27">
        <v>8</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v>0.1</v>
      </c>
      <c r="AO99" s="27">
        <v>0.1</v>
      </c>
      <c r="AP99" s="36">
        <v>0.1</v>
      </c>
      <c r="AQ99" s="37"/>
      <c r="AR99" s="32"/>
      <c r="AS99" s="25" t="s">
        <v>82</v>
      </c>
      <c r="AT99" s="27" t="s">
        <v>87</v>
      </c>
      <c r="AU99" s="27"/>
      <c r="AW99" s="25" t="s">
        <v>473</v>
      </c>
      <c r="AX99" s="27" t="s">
        <v>95</v>
      </c>
      <c r="AY99" s="27"/>
      <c r="AZ99" s="32"/>
      <c r="BA99" s="41">
        <v>0</v>
      </c>
    </row>
    <row r="100" spans="1:54" x14ac:dyDescent="0.2">
      <c r="A100" s="25">
        <v>84</v>
      </c>
      <c r="B100" s="26">
        <v>45561</v>
      </c>
      <c r="C100" s="27" t="s">
        <v>227</v>
      </c>
      <c r="D100" s="25"/>
      <c r="E100" s="28"/>
      <c r="F100" s="27"/>
      <c r="G100" s="28"/>
      <c r="H100" s="27"/>
      <c r="I100" s="28"/>
      <c r="J100" s="27">
        <v>8</v>
      </c>
      <c r="K100" s="29" t="s">
        <v>35</v>
      </c>
      <c r="L100" s="39"/>
      <c r="M100" s="31"/>
      <c r="N100" s="27"/>
      <c r="P100" s="32"/>
      <c r="Q100" s="25"/>
      <c r="R100" s="27"/>
      <c r="S100" s="27"/>
      <c r="T100" s="28"/>
      <c r="U100" s="27"/>
      <c r="V100" s="27"/>
      <c r="W100" s="28"/>
      <c r="X100" s="33"/>
      <c r="Y100" s="32"/>
      <c r="Z100" s="25"/>
      <c r="AA100" s="27"/>
      <c r="AB100" s="28"/>
      <c r="AC100" s="27"/>
      <c r="AD100" s="27"/>
      <c r="AE100" s="33"/>
      <c r="AF100" s="32"/>
      <c r="AG100" s="90"/>
      <c r="AH100" s="91"/>
      <c r="AI100" s="27"/>
      <c r="AJ100" s="27"/>
      <c r="AK100" s="28"/>
      <c r="AL100" s="27"/>
      <c r="AM100" s="27"/>
      <c r="AN100" s="27">
        <v>0.1</v>
      </c>
      <c r="AO100" s="27">
        <v>0.1</v>
      </c>
      <c r="AP100" s="36">
        <v>0.1</v>
      </c>
      <c r="AQ100" s="37"/>
      <c r="AR100" s="32"/>
      <c r="AS100" s="25" t="s">
        <v>82</v>
      </c>
      <c r="AT100" s="27" t="s">
        <v>87</v>
      </c>
      <c r="AU100" s="27"/>
      <c r="AW100" s="25" t="s">
        <v>90</v>
      </c>
      <c r="AX100" s="27" t="s">
        <v>95</v>
      </c>
      <c r="AY100" s="27"/>
      <c r="AZ100" s="32"/>
      <c r="BA100" s="41">
        <v>0</v>
      </c>
    </row>
    <row r="101" spans="1:54" x14ac:dyDescent="0.2">
      <c r="A101" s="25">
        <v>85</v>
      </c>
      <c r="B101" s="26">
        <v>45562</v>
      </c>
      <c r="C101" s="27" t="s">
        <v>200</v>
      </c>
      <c r="D101" s="25"/>
      <c r="E101" s="28"/>
      <c r="F101" s="27"/>
      <c r="G101" s="28"/>
      <c r="H101" s="27"/>
      <c r="I101" s="28"/>
      <c r="J101" s="27">
        <v>8</v>
      </c>
      <c r="K101" s="29" t="s">
        <v>35</v>
      </c>
      <c r="L101" s="39"/>
      <c r="M101" s="31"/>
      <c r="N101" s="27"/>
      <c r="P101" s="32"/>
      <c r="Q101" s="25"/>
      <c r="R101" s="27"/>
      <c r="S101" s="27"/>
      <c r="T101" s="28"/>
      <c r="U101" s="27"/>
      <c r="V101" s="27"/>
      <c r="W101" s="28"/>
      <c r="X101" s="33"/>
      <c r="Y101" s="32"/>
      <c r="Z101" s="25"/>
      <c r="AA101" s="27"/>
      <c r="AB101" s="28"/>
      <c r="AC101" s="27"/>
      <c r="AD101" s="27"/>
      <c r="AE101" s="33"/>
      <c r="AF101" s="32"/>
      <c r="AG101" s="90"/>
      <c r="AH101" s="91"/>
      <c r="AI101" s="27"/>
      <c r="AJ101" s="27"/>
      <c r="AK101" s="28"/>
      <c r="AL101" s="27"/>
      <c r="AM101" s="27"/>
      <c r="AN101" s="27">
        <v>0.1</v>
      </c>
      <c r="AO101" s="27">
        <v>0.1</v>
      </c>
      <c r="AP101" s="36">
        <v>0.1</v>
      </c>
      <c r="AQ101" s="37"/>
      <c r="AR101" s="32"/>
      <c r="AS101" s="25" t="s">
        <v>82</v>
      </c>
      <c r="AT101" s="27" t="s">
        <v>87</v>
      </c>
      <c r="AU101" s="27"/>
      <c r="AW101" s="25" t="s">
        <v>643</v>
      </c>
      <c r="AX101" s="27" t="s">
        <v>95</v>
      </c>
      <c r="AY101" s="27"/>
      <c r="AZ101" s="32"/>
      <c r="BA101" s="41">
        <v>0</v>
      </c>
    </row>
    <row r="102" spans="1:54" x14ac:dyDescent="0.2">
      <c r="A102" s="25">
        <v>86</v>
      </c>
      <c r="B102" s="26">
        <v>45563</v>
      </c>
      <c r="C102" s="27" t="s">
        <v>200</v>
      </c>
      <c r="D102" s="25"/>
      <c r="E102" s="28"/>
      <c r="F102" s="27"/>
      <c r="G102" s="28"/>
      <c r="H102" s="27"/>
      <c r="I102" s="28"/>
      <c r="J102" s="27">
        <v>8</v>
      </c>
      <c r="K102" s="29" t="s">
        <v>35</v>
      </c>
      <c r="L102" s="39"/>
      <c r="M102" s="31"/>
      <c r="N102" s="27"/>
      <c r="P102" s="32"/>
      <c r="Q102" s="25"/>
      <c r="R102" s="27"/>
      <c r="S102" s="27"/>
      <c r="T102" s="28"/>
      <c r="U102" s="27"/>
      <c r="V102" s="27"/>
      <c r="W102" s="28"/>
      <c r="X102" s="33"/>
      <c r="Y102" s="32"/>
      <c r="Z102" s="25"/>
      <c r="AA102" s="27"/>
      <c r="AB102" s="28"/>
      <c r="AC102" s="27"/>
      <c r="AD102" s="27"/>
      <c r="AE102" s="33"/>
      <c r="AF102" s="32"/>
      <c r="AG102" s="90"/>
      <c r="AH102" s="91"/>
      <c r="AI102" s="27"/>
      <c r="AJ102" s="27"/>
      <c r="AK102" s="28"/>
      <c r="AL102" s="27"/>
      <c r="AM102" s="27"/>
      <c r="AN102" s="27">
        <v>0.1</v>
      </c>
      <c r="AO102" s="27">
        <v>0.1</v>
      </c>
      <c r="AP102" s="36">
        <v>0.1</v>
      </c>
      <c r="AQ102" s="37"/>
      <c r="AR102" s="32"/>
      <c r="AS102" s="25" t="s">
        <v>82</v>
      </c>
      <c r="AT102" s="27" t="s">
        <v>87</v>
      </c>
      <c r="AU102" s="27"/>
      <c r="AW102" s="25" t="s">
        <v>473</v>
      </c>
      <c r="AX102" s="27" t="s">
        <v>95</v>
      </c>
      <c r="AY102" s="27"/>
      <c r="AZ102" s="32"/>
      <c r="BA102" s="41">
        <v>0</v>
      </c>
    </row>
    <row r="103" spans="1:54" x14ac:dyDescent="0.2">
      <c r="A103" s="25">
        <v>87</v>
      </c>
      <c r="B103" s="26">
        <v>45564</v>
      </c>
      <c r="C103" s="27" t="s">
        <v>200</v>
      </c>
      <c r="D103" s="25"/>
      <c r="E103" s="28"/>
      <c r="F103" s="27"/>
      <c r="G103" s="28"/>
      <c r="H103" s="27"/>
      <c r="I103" s="28"/>
      <c r="J103" s="27">
        <v>8</v>
      </c>
      <c r="K103" s="29" t="s">
        <v>35</v>
      </c>
      <c r="L103" s="39"/>
      <c r="M103" s="31"/>
      <c r="N103" s="27"/>
      <c r="P103" s="32"/>
      <c r="Q103" s="25"/>
      <c r="R103" s="27"/>
      <c r="S103" s="27"/>
      <c r="T103" s="28"/>
      <c r="U103" s="27"/>
      <c r="V103" s="27"/>
      <c r="W103" s="28"/>
      <c r="X103" s="33"/>
      <c r="Y103" s="32"/>
      <c r="Z103" s="25"/>
      <c r="AA103" s="27"/>
      <c r="AB103" s="28"/>
      <c r="AC103" s="27"/>
      <c r="AD103" s="27"/>
      <c r="AE103" s="33"/>
      <c r="AF103" s="32"/>
      <c r="AG103" s="90"/>
      <c r="AH103" s="91"/>
      <c r="AI103" s="27"/>
      <c r="AJ103" s="27"/>
      <c r="AK103" s="28"/>
      <c r="AL103" s="27"/>
      <c r="AM103" s="27"/>
      <c r="AN103" s="27">
        <v>0.1</v>
      </c>
      <c r="AO103" s="27">
        <v>0.1</v>
      </c>
      <c r="AP103" s="36">
        <v>0.1</v>
      </c>
      <c r="AQ103" s="37"/>
      <c r="AR103" s="32"/>
      <c r="AS103" s="25" t="s">
        <v>82</v>
      </c>
      <c r="AT103" s="27" t="s">
        <v>87</v>
      </c>
      <c r="AU103" s="27"/>
      <c r="AW103" s="25" t="s">
        <v>645</v>
      </c>
      <c r="AX103" s="27" t="s">
        <v>95</v>
      </c>
      <c r="AY103" s="27"/>
      <c r="AZ103" s="32"/>
      <c r="BA103" s="41">
        <v>0</v>
      </c>
    </row>
    <row r="104" spans="1:54" x14ac:dyDescent="0.2">
      <c r="A104" s="25">
        <v>88</v>
      </c>
      <c r="B104" s="26">
        <v>45565</v>
      </c>
      <c r="C104" s="27" t="s">
        <v>232</v>
      </c>
      <c r="D104" s="25"/>
      <c r="E104" s="28"/>
      <c r="F104" s="27"/>
      <c r="G104" s="28"/>
      <c r="H104" s="27"/>
      <c r="I104" s="28"/>
      <c r="J104" s="27">
        <v>8</v>
      </c>
      <c r="K104" s="29" t="s">
        <v>35</v>
      </c>
      <c r="L104" s="39"/>
      <c r="M104" s="31"/>
      <c r="N104" s="27"/>
      <c r="P104" s="32"/>
      <c r="Q104" s="25"/>
      <c r="R104" s="27"/>
      <c r="S104" s="27"/>
      <c r="T104" s="28"/>
      <c r="U104" s="27"/>
      <c r="V104" s="27"/>
      <c r="W104" s="28"/>
      <c r="X104" s="33"/>
      <c r="Y104" s="32"/>
      <c r="Z104" s="25"/>
      <c r="AA104" s="27"/>
      <c r="AB104" s="28"/>
      <c r="AC104" s="27"/>
      <c r="AD104" s="27"/>
      <c r="AE104" s="33"/>
      <c r="AF104" s="32"/>
      <c r="AG104" s="90"/>
      <c r="AH104" s="91"/>
      <c r="AI104" s="27"/>
      <c r="AJ104" s="27"/>
      <c r="AK104" s="28"/>
      <c r="AL104" s="27"/>
      <c r="AM104" s="27"/>
      <c r="AN104" s="27">
        <v>0.1</v>
      </c>
      <c r="AO104" s="27">
        <v>0.1</v>
      </c>
      <c r="AP104" s="36">
        <v>0.1</v>
      </c>
      <c r="AQ104" s="37"/>
      <c r="AR104" s="32"/>
      <c r="AS104" s="25" t="s">
        <v>82</v>
      </c>
      <c r="AT104" s="27" t="s">
        <v>87</v>
      </c>
      <c r="AU104" s="27"/>
      <c r="AW104" s="25" t="s">
        <v>473</v>
      </c>
      <c r="AX104" s="27" t="s">
        <v>95</v>
      </c>
      <c r="AY104" s="27"/>
      <c r="AZ104" s="32"/>
      <c r="BA104" s="41">
        <v>0</v>
      </c>
    </row>
    <row r="105" spans="1:54" x14ac:dyDescent="0.2">
      <c r="A105" s="25">
        <v>89</v>
      </c>
      <c r="B105" s="26">
        <v>45566</v>
      </c>
      <c r="C105" s="27" t="s">
        <v>232</v>
      </c>
      <c r="D105" s="25"/>
      <c r="E105" s="28"/>
      <c r="F105" s="27"/>
      <c r="G105" s="28"/>
      <c r="H105" s="27"/>
      <c r="I105" s="28"/>
      <c r="J105" s="27">
        <v>8</v>
      </c>
      <c r="K105" s="29" t="s">
        <v>35</v>
      </c>
      <c r="L105" s="39"/>
      <c r="M105" s="31"/>
      <c r="N105" s="27"/>
      <c r="P105" s="32"/>
      <c r="Q105" s="25"/>
      <c r="R105" s="27"/>
      <c r="S105" s="27"/>
      <c r="T105" s="28"/>
      <c r="U105" s="27"/>
      <c r="V105" s="27"/>
      <c r="W105" s="28"/>
      <c r="X105" s="33"/>
      <c r="Y105" s="32"/>
      <c r="Z105" s="25"/>
      <c r="AA105" s="27"/>
      <c r="AB105" s="28"/>
      <c r="AC105" s="27"/>
      <c r="AD105" s="27"/>
      <c r="AE105" s="33"/>
      <c r="AF105" s="32"/>
      <c r="AG105" s="90"/>
      <c r="AH105" s="91"/>
      <c r="AI105" s="27"/>
      <c r="AJ105" s="27"/>
      <c r="AK105" s="28"/>
      <c r="AL105" s="27"/>
      <c r="AM105" s="27"/>
      <c r="AN105" s="27">
        <v>0.1</v>
      </c>
      <c r="AO105" s="27">
        <v>0.1</v>
      </c>
      <c r="AP105" s="36">
        <v>0.1</v>
      </c>
      <c r="AQ105" s="37"/>
      <c r="AR105" s="32"/>
      <c r="AS105" s="25" t="s">
        <v>82</v>
      </c>
      <c r="AT105" s="27" t="s">
        <v>87</v>
      </c>
      <c r="AU105" s="27"/>
      <c r="AW105" s="25" t="s">
        <v>473</v>
      </c>
      <c r="AX105" s="27" t="s">
        <v>95</v>
      </c>
      <c r="AY105" s="27"/>
      <c r="AZ105" s="32"/>
      <c r="BA105" s="41">
        <v>0</v>
      </c>
    </row>
    <row r="106" spans="1:54" x14ac:dyDescent="0.2">
      <c r="A106" s="25">
        <v>90</v>
      </c>
      <c r="B106" s="26">
        <v>45567</v>
      </c>
      <c r="C106" s="27" t="s">
        <v>232</v>
      </c>
      <c r="D106" s="25"/>
      <c r="E106" s="28"/>
      <c r="F106" s="27"/>
      <c r="G106" s="28"/>
      <c r="H106" s="27"/>
      <c r="I106" s="28"/>
      <c r="J106" s="27">
        <v>8</v>
      </c>
      <c r="K106" s="29" t="s">
        <v>35</v>
      </c>
      <c r="L106" s="39"/>
      <c r="M106" s="31"/>
      <c r="N106" s="27"/>
      <c r="P106" s="32"/>
      <c r="Q106" s="25"/>
      <c r="R106" s="27"/>
      <c r="S106" s="27"/>
      <c r="T106" s="28"/>
      <c r="U106" s="27"/>
      <c r="V106" s="27"/>
      <c r="W106" s="28"/>
      <c r="X106" s="33"/>
      <c r="Y106" s="32"/>
      <c r="Z106" s="25"/>
      <c r="AA106" s="27"/>
      <c r="AB106" s="28"/>
      <c r="AC106" s="27"/>
      <c r="AD106" s="27"/>
      <c r="AE106" s="33"/>
      <c r="AF106" s="32"/>
      <c r="AG106" s="90"/>
      <c r="AH106" s="91"/>
      <c r="AI106" s="27"/>
      <c r="AJ106" s="27"/>
      <c r="AK106" s="28"/>
      <c r="AL106" s="27"/>
      <c r="AM106" s="27"/>
      <c r="AN106" s="27">
        <v>0.1</v>
      </c>
      <c r="AO106" s="27">
        <v>0.1</v>
      </c>
      <c r="AP106" s="36">
        <v>0.1</v>
      </c>
      <c r="AQ106" s="37"/>
      <c r="AR106" s="32"/>
      <c r="AS106" s="25" t="s">
        <v>82</v>
      </c>
      <c r="AT106" s="27" t="s">
        <v>87</v>
      </c>
      <c r="AU106" s="27"/>
      <c r="AW106" s="25" t="s">
        <v>473</v>
      </c>
      <c r="AX106" s="27" t="s">
        <v>95</v>
      </c>
      <c r="AY106" s="27"/>
      <c r="AZ106" s="32"/>
      <c r="BA106" s="41">
        <v>0</v>
      </c>
    </row>
    <row r="107" spans="1:54" x14ac:dyDescent="0.2">
      <c r="A107" s="25">
        <v>91</v>
      </c>
      <c r="B107" s="26">
        <v>45568</v>
      </c>
      <c r="C107" s="27" t="s">
        <v>232</v>
      </c>
      <c r="J107" s="27">
        <v>8</v>
      </c>
      <c r="K107" s="29" t="s">
        <v>35</v>
      </c>
      <c r="AN107" s="27">
        <v>0.1</v>
      </c>
      <c r="AO107">
        <v>0.1</v>
      </c>
      <c r="AP107" s="36">
        <v>0.1</v>
      </c>
      <c r="AS107" s="25" t="s">
        <v>82</v>
      </c>
      <c r="AT107" s="27" t="s">
        <v>87</v>
      </c>
      <c r="AU107" s="27"/>
      <c r="AW107" s="25" t="s">
        <v>473</v>
      </c>
      <c r="AX107" s="27" t="s">
        <v>95</v>
      </c>
      <c r="BA107" s="41">
        <v>1</v>
      </c>
      <c r="BB107" t="s">
        <v>648</v>
      </c>
    </row>
    <row r="108" spans="1:54" x14ac:dyDescent="0.2">
      <c r="A108" s="25">
        <v>92</v>
      </c>
      <c r="B108" s="26">
        <v>45569</v>
      </c>
      <c r="C108" s="27" t="s">
        <v>650</v>
      </c>
      <c r="J108" s="27">
        <v>8</v>
      </c>
      <c r="K108" s="29" t="s">
        <v>35</v>
      </c>
      <c r="AN108" s="27">
        <v>0.1</v>
      </c>
      <c r="AO108" s="27">
        <v>0.1</v>
      </c>
      <c r="AP108" s="36">
        <v>0.1</v>
      </c>
      <c r="AS108" s="25" t="s">
        <v>82</v>
      </c>
      <c r="AT108" s="27" t="s">
        <v>87</v>
      </c>
      <c r="AU108" s="27"/>
      <c r="AW108" s="25" t="s">
        <v>473</v>
      </c>
      <c r="AX108" s="27" t="s">
        <v>95</v>
      </c>
      <c r="BA108" s="41">
        <v>0</v>
      </c>
    </row>
    <row r="109" spans="1:54" x14ac:dyDescent="0.2">
      <c r="A109" s="25">
        <v>93</v>
      </c>
      <c r="B109" s="26">
        <v>45570</v>
      </c>
      <c r="C109" s="27" t="s">
        <v>112</v>
      </c>
      <c r="J109" s="27">
        <v>8</v>
      </c>
      <c r="K109" s="29" t="s">
        <v>35</v>
      </c>
      <c r="AN109" s="27">
        <v>0.1</v>
      </c>
      <c r="AO109" s="27">
        <v>0.1</v>
      </c>
      <c r="AP109" s="36">
        <v>0.1</v>
      </c>
      <c r="AQ109" t="s">
        <v>651</v>
      </c>
      <c r="AS109" s="25" t="s">
        <v>82</v>
      </c>
      <c r="AT109" s="27" t="s">
        <v>87</v>
      </c>
      <c r="AU109" s="27"/>
      <c r="AW109" s="25" t="s">
        <v>473</v>
      </c>
      <c r="AX109" s="27" t="s">
        <v>95</v>
      </c>
      <c r="BA109" s="41">
        <v>0</v>
      </c>
    </row>
    <row r="110" spans="1:54" x14ac:dyDescent="0.2">
      <c r="A110" s="25">
        <v>94</v>
      </c>
      <c r="B110" s="26">
        <v>45571</v>
      </c>
      <c r="C110" s="27" t="s">
        <v>232</v>
      </c>
      <c r="AN110" s="27">
        <v>0.1</v>
      </c>
      <c r="AO110" s="27">
        <v>0.1</v>
      </c>
      <c r="AP110" s="36">
        <v>0.1</v>
      </c>
      <c r="AS110" s="25" t="s">
        <v>82</v>
      </c>
      <c r="AT110" s="27" t="s">
        <v>87</v>
      </c>
      <c r="AU110" s="27"/>
      <c r="AW110" s="25" t="s">
        <v>473</v>
      </c>
      <c r="AX110" s="27" t="s">
        <v>95</v>
      </c>
      <c r="BA110" s="41">
        <v>0</v>
      </c>
    </row>
    <row r="111" spans="1:54" x14ac:dyDescent="0.2">
      <c r="A111" s="25">
        <v>95</v>
      </c>
      <c r="B111" s="26">
        <v>45572</v>
      </c>
      <c r="C111" s="27" t="s">
        <v>232</v>
      </c>
      <c r="AN111" s="27">
        <v>0.1</v>
      </c>
      <c r="AO111" s="27">
        <v>0.1</v>
      </c>
      <c r="AP111" s="36">
        <v>0.1</v>
      </c>
      <c r="AS111" s="25" t="s">
        <v>82</v>
      </c>
      <c r="AT111" s="27" t="s">
        <v>87</v>
      </c>
      <c r="AU111" s="27"/>
      <c r="AW111" s="25" t="s">
        <v>473</v>
      </c>
      <c r="AX111" s="27" t="s">
        <v>95</v>
      </c>
      <c r="BA111" s="41">
        <v>0</v>
      </c>
    </row>
    <row r="112" spans="1:54" x14ac:dyDescent="0.2">
      <c r="A112" s="25">
        <v>96</v>
      </c>
      <c r="B112" s="26">
        <v>45573</v>
      </c>
      <c r="C112" s="27" t="s">
        <v>232</v>
      </c>
      <c r="AN112" s="27">
        <v>0.1</v>
      </c>
      <c r="AO112" s="27">
        <v>0.1</v>
      </c>
      <c r="AP112" s="36">
        <v>0.1</v>
      </c>
      <c r="AS112" s="25" t="s">
        <v>82</v>
      </c>
      <c r="AT112" s="27" t="s">
        <v>87</v>
      </c>
      <c r="AU112" s="27"/>
      <c r="AW112" s="25" t="s">
        <v>473</v>
      </c>
      <c r="AX112" s="27" t="s">
        <v>95</v>
      </c>
      <c r="BA112">
        <v>0</v>
      </c>
    </row>
    <row r="113" spans="1:53" x14ac:dyDescent="0.2">
      <c r="A113" s="25">
        <v>97</v>
      </c>
      <c r="B113" s="26">
        <v>45574</v>
      </c>
      <c r="C113" s="27" t="s">
        <v>232</v>
      </c>
      <c r="L113" t="s">
        <v>653</v>
      </c>
      <c r="AN113" s="27">
        <v>0.1</v>
      </c>
      <c r="AO113" s="27">
        <v>0.1</v>
      </c>
      <c r="AP113" s="36">
        <v>0.1</v>
      </c>
      <c r="AS113" s="25" t="s">
        <v>82</v>
      </c>
      <c r="AT113" s="27" t="s">
        <v>87</v>
      </c>
      <c r="AU113" s="27"/>
      <c r="AW113" s="25" t="s">
        <v>473</v>
      </c>
      <c r="AX113" s="27" t="s">
        <v>95</v>
      </c>
      <c r="BA113" s="27">
        <v>0</v>
      </c>
    </row>
    <row r="114" spans="1:53" x14ac:dyDescent="0.2">
      <c r="A114" s="25">
        <v>98</v>
      </c>
      <c r="B114" s="26">
        <v>45575</v>
      </c>
      <c r="C114" s="27" t="s">
        <v>232</v>
      </c>
      <c r="K114" s="172"/>
      <c r="AN114" s="27">
        <v>0.1</v>
      </c>
      <c r="AO114" s="27">
        <v>0.1</v>
      </c>
      <c r="AP114" s="36">
        <v>0.1</v>
      </c>
      <c r="AS114" s="25" t="s">
        <v>82</v>
      </c>
      <c r="AT114" s="27" t="s">
        <v>87</v>
      </c>
      <c r="AU114" s="27"/>
      <c r="AW114" s="25" t="s">
        <v>473</v>
      </c>
      <c r="AX114" s="27" t="s">
        <v>95</v>
      </c>
      <c r="BA114">
        <v>0</v>
      </c>
    </row>
    <row r="115" spans="1:53" x14ac:dyDescent="0.2">
      <c r="A115" s="25">
        <v>99</v>
      </c>
      <c r="B115" s="26">
        <v>45576</v>
      </c>
      <c r="C115" s="27" t="s">
        <v>112</v>
      </c>
      <c r="AN115" s="27">
        <v>0.1</v>
      </c>
      <c r="AO115" s="27">
        <v>0.1</v>
      </c>
      <c r="AP115" s="36">
        <v>0.1</v>
      </c>
      <c r="AS115" s="25" t="s">
        <v>82</v>
      </c>
      <c r="AT115" s="27" t="s">
        <v>87</v>
      </c>
      <c r="AU115" s="27"/>
      <c r="AW115" s="25" t="s">
        <v>473</v>
      </c>
      <c r="AX115" s="27" t="s">
        <v>95</v>
      </c>
      <c r="BA115" s="27">
        <v>0</v>
      </c>
    </row>
    <row r="116" spans="1:53" x14ac:dyDescent="0.2">
      <c r="A116" s="25">
        <v>100</v>
      </c>
      <c r="B116" s="26">
        <v>45577</v>
      </c>
      <c r="C116" s="27"/>
      <c r="AN116" s="27">
        <v>0.1</v>
      </c>
      <c r="AO116" s="27">
        <v>0.1</v>
      </c>
      <c r="AP116" s="36">
        <v>0.1</v>
      </c>
      <c r="AS116" s="25" t="s">
        <v>82</v>
      </c>
      <c r="AT116" s="27" t="s">
        <v>87</v>
      </c>
      <c r="AU116" s="27"/>
      <c r="AW116" s="25" t="s">
        <v>473</v>
      </c>
      <c r="AX116" s="27" t="s">
        <v>95</v>
      </c>
    </row>
    <row r="117" spans="1:53" x14ac:dyDescent="0.2">
      <c r="A117" s="25">
        <v>101</v>
      </c>
      <c r="B117" s="26">
        <v>45578</v>
      </c>
      <c r="C117" s="27" t="s">
        <v>232</v>
      </c>
      <c r="AN117" s="27">
        <v>0.1</v>
      </c>
      <c r="AO117" s="27">
        <v>0.1</v>
      </c>
      <c r="AP117" s="27">
        <v>0.1</v>
      </c>
      <c r="AS117" s="25" t="s">
        <v>82</v>
      </c>
      <c r="AT117" s="27" t="s">
        <v>87</v>
      </c>
      <c r="AU117" s="27"/>
      <c r="AW117" s="25" t="s">
        <v>473</v>
      </c>
      <c r="AX117" s="27" t="s">
        <v>95</v>
      </c>
      <c r="BA117" s="27">
        <v>0</v>
      </c>
    </row>
    <row r="118" spans="1:53" x14ac:dyDescent="0.2">
      <c r="A118" s="25">
        <v>102</v>
      </c>
      <c r="B118" s="26">
        <v>45579</v>
      </c>
      <c r="C118" s="27"/>
      <c r="L118" t="s">
        <v>654</v>
      </c>
      <c r="AS118" s="25" t="s">
        <v>96</v>
      </c>
      <c r="AT118" s="27" t="s">
        <v>87</v>
      </c>
      <c r="AU118" s="27"/>
      <c r="AW118" s="25" t="s">
        <v>90</v>
      </c>
      <c r="AX118" s="27" t="s">
        <v>95</v>
      </c>
    </row>
    <row r="119" spans="1:53" x14ac:dyDescent="0.2">
      <c r="A119" s="25">
        <v>103</v>
      </c>
      <c r="B119" s="26">
        <v>45580</v>
      </c>
      <c r="C119" s="27"/>
      <c r="AS119" s="25" t="s">
        <v>96</v>
      </c>
      <c r="AT119" s="27" t="s">
        <v>87</v>
      </c>
      <c r="AU119" s="27"/>
      <c r="AW119" s="25" t="s">
        <v>90</v>
      </c>
      <c r="AX119" s="27" t="s">
        <v>95</v>
      </c>
    </row>
    <row r="120" spans="1:53" x14ac:dyDescent="0.2">
      <c r="A120" s="25">
        <v>104</v>
      </c>
      <c r="B120" s="26">
        <v>45581</v>
      </c>
      <c r="C120" s="27"/>
      <c r="AS120" s="25" t="s">
        <v>96</v>
      </c>
      <c r="AT120" s="27" t="s">
        <v>87</v>
      </c>
      <c r="AU120" s="27"/>
      <c r="AW120" s="25" t="s">
        <v>90</v>
      </c>
      <c r="AX120" s="27" t="s">
        <v>95</v>
      </c>
    </row>
    <row r="121" spans="1:53" x14ac:dyDescent="0.2">
      <c r="A121" s="25">
        <v>105</v>
      </c>
      <c r="B121" s="26">
        <v>45582</v>
      </c>
      <c r="C121" s="27"/>
      <c r="AS121" s="25" t="s">
        <v>96</v>
      </c>
      <c r="AT121" s="27" t="s">
        <v>87</v>
      </c>
      <c r="AU121" s="27"/>
      <c r="AW121" s="25" t="s">
        <v>90</v>
      </c>
      <c r="AX121" s="27" t="s">
        <v>95</v>
      </c>
    </row>
    <row r="122" spans="1:53" x14ac:dyDescent="0.2">
      <c r="A122" s="25">
        <v>106</v>
      </c>
      <c r="B122" s="26">
        <v>45583</v>
      </c>
    </row>
    <row r="123" spans="1:53" x14ac:dyDescent="0.2">
      <c r="A123" s="25">
        <v>107</v>
      </c>
      <c r="B123" s="26">
        <v>45584</v>
      </c>
      <c r="C123" s="27"/>
    </row>
    <row r="124" spans="1:53" x14ac:dyDescent="0.2">
      <c r="A124" s="25">
        <v>108</v>
      </c>
      <c r="B124" s="26">
        <v>45585</v>
      </c>
      <c r="C124" s="27"/>
    </row>
    <row r="125" spans="1:53" x14ac:dyDescent="0.2">
      <c r="A125" s="25">
        <v>109</v>
      </c>
      <c r="B125" s="26">
        <v>45586</v>
      </c>
      <c r="C125" s="27"/>
    </row>
    <row r="126" spans="1:53" x14ac:dyDescent="0.2">
      <c r="A126" s="25">
        <v>110</v>
      </c>
      <c r="B126" s="26">
        <v>45587</v>
      </c>
      <c r="C126" s="27"/>
    </row>
    <row r="127" spans="1:53" x14ac:dyDescent="0.2">
      <c r="A127" s="25">
        <v>111</v>
      </c>
      <c r="B127" s="26">
        <v>45588</v>
      </c>
      <c r="C127" s="27"/>
    </row>
    <row r="128" spans="1:53" s="173" customFormat="1" x14ac:dyDescent="0.2">
      <c r="A128" s="173">
        <v>112</v>
      </c>
      <c r="B128" s="26">
        <v>45589</v>
      </c>
    </row>
    <row r="129" spans="1:3" x14ac:dyDescent="0.2">
      <c r="A129" s="25">
        <v>113</v>
      </c>
      <c r="B129" s="26">
        <v>45590</v>
      </c>
      <c r="C129" s="27"/>
    </row>
    <row r="130" spans="1:3" x14ac:dyDescent="0.2">
      <c r="A130" s="25">
        <v>114</v>
      </c>
      <c r="B130" s="26">
        <v>45591</v>
      </c>
      <c r="C130" s="27"/>
    </row>
    <row r="131" spans="1:3" x14ac:dyDescent="0.2">
      <c r="A131" s="25">
        <v>115</v>
      </c>
      <c r="B131" s="26">
        <v>45592</v>
      </c>
      <c r="C131" s="27"/>
    </row>
  </sheetData>
  <mergeCells count="52">
    <mergeCell ref="X20:X27"/>
    <mergeCell ref="AV13:AV15"/>
    <mergeCell ref="AW13:AW15"/>
    <mergeCell ref="AG13:AG14"/>
    <mergeCell ref="X13:X15"/>
    <mergeCell ref="O36:O56"/>
    <mergeCell ref="AR13:AR15"/>
    <mergeCell ref="AS13:AS15"/>
    <mergeCell ref="AT13:AT15"/>
    <mergeCell ref="AU13:AU15"/>
    <mergeCell ref="AH13:AH15"/>
    <mergeCell ref="AI13:AK14"/>
    <mergeCell ref="AL13:AL15"/>
    <mergeCell ref="AM13:AM14"/>
    <mergeCell ref="AN13:AP14"/>
    <mergeCell ref="AQ13:AQ15"/>
    <mergeCell ref="Y13:Y15"/>
    <mergeCell ref="Z13:AB14"/>
    <mergeCell ref="AC13:AD14"/>
    <mergeCell ref="AE13:AE15"/>
    <mergeCell ref="AF13:AF15"/>
    <mergeCell ref="H13:I14"/>
    <mergeCell ref="J13:J15"/>
    <mergeCell ref="K13:K15"/>
    <mergeCell ref="L13:L15"/>
    <mergeCell ref="M13:M15"/>
    <mergeCell ref="N13:N15"/>
    <mergeCell ref="AS10:AV12"/>
    <mergeCell ref="AW10:AZ12"/>
    <mergeCell ref="BA10:BA12"/>
    <mergeCell ref="AG12:AK12"/>
    <mergeCell ref="AM12:AP12"/>
    <mergeCell ref="AG10:AP11"/>
    <mergeCell ref="O13:O15"/>
    <mergeCell ref="P13:P15"/>
    <mergeCell ref="Q13:Q15"/>
    <mergeCell ref="R13:T14"/>
    <mergeCell ref="U13:W14"/>
    <mergeCell ref="AX13:AX15"/>
    <mergeCell ref="AY13:AY15"/>
    <mergeCell ref="AZ13:AZ15"/>
    <mergeCell ref="BA13:BA15"/>
    <mergeCell ref="A13:A15"/>
    <mergeCell ref="B13:B15"/>
    <mergeCell ref="C13:C15"/>
    <mergeCell ref="D13:E14"/>
    <mergeCell ref="F13:G14"/>
    <mergeCell ref="A10:C12"/>
    <mergeCell ref="D10:M12"/>
    <mergeCell ref="N10:P12"/>
    <mergeCell ref="Q10:Y12"/>
    <mergeCell ref="Z10:AF1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7BD81-BB7E-434E-A4F1-DFEEC4491543}">
  <dimension ref="A1:BB131"/>
  <sheetViews>
    <sheetView zoomScale="85" zoomScaleNormal="85" workbookViewId="0">
      <pane xSplit="1" topLeftCell="B1" activePane="topRight" state="frozen"/>
      <selection pane="topRight" activeCell="L59" sqref="L59"/>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0.33203125"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22.33203125"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13.83203125" customWidth="1"/>
    <col min="50" max="50" width="26.5" bestFit="1" customWidth="1"/>
    <col min="51" max="51" width="24.1640625" bestFit="1" customWidth="1"/>
    <col min="52" max="52" width="41.1640625" bestFit="1" customWidth="1"/>
    <col min="53" max="53" width="18.83203125" bestFit="1" customWidth="1"/>
  </cols>
  <sheetData>
    <row r="1" spans="1:53" x14ac:dyDescent="0.2">
      <c r="A1" s="94" t="s">
        <v>99</v>
      </c>
      <c r="B1" t="s">
        <v>560</v>
      </c>
    </row>
    <row r="2" spans="1:53" x14ac:dyDescent="0.2">
      <c r="A2" s="94" t="s">
        <v>100</v>
      </c>
    </row>
    <row r="3" spans="1:53" x14ac:dyDescent="0.2">
      <c r="A3" s="94" t="s">
        <v>101</v>
      </c>
      <c r="B3">
        <f>2500+3000+1900+1500</f>
        <v>8900</v>
      </c>
      <c r="C3" t="s">
        <v>581</v>
      </c>
    </row>
    <row r="4" spans="1:53" x14ac:dyDescent="0.2">
      <c r="A4" s="94" t="s">
        <v>102</v>
      </c>
      <c r="B4">
        <v>15</v>
      </c>
    </row>
    <row r="5" spans="1:53" x14ac:dyDescent="0.2">
      <c r="A5" s="94" t="s">
        <v>103</v>
      </c>
      <c r="B5">
        <f>B4/B3*100</f>
        <v>0.16853932584269662</v>
      </c>
    </row>
    <row r="6" spans="1:53" x14ac:dyDescent="0.2">
      <c r="A6" s="94" t="s">
        <v>104</v>
      </c>
      <c r="B6" t="s">
        <v>418</v>
      </c>
    </row>
    <row r="7" spans="1:53" x14ac:dyDescent="0.2">
      <c r="A7" s="94" t="s">
        <v>106</v>
      </c>
      <c r="B7" t="s">
        <v>562</v>
      </c>
    </row>
    <row r="8" spans="1:53" x14ac:dyDescent="0.2">
      <c r="A8" s="94" t="s">
        <v>416</v>
      </c>
      <c r="B8">
        <v>9</v>
      </c>
    </row>
    <row r="9" spans="1:53" ht="16" thickBot="1" x14ac:dyDescent="0.25">
      <c r="A9" s="94" t="s">
        <v>417</v>
      </c>
      <c r="B9">
        <v>1000</v>
      </c>
    </row>
    <row r="10" spans="1:53" ht="23" x14ac:dyDescent="0.2">
      <c r="A10" s="209" t="s">
        <v>0</v>
      </c>
      <c r="B10" s="210"/>
      <c r="C10" s="210"/>
      <c r="D10" s="215" t="s">
        <v>1</v>
      </c>
      <c r="E10" s="215"/>
      <c r="F10" s="215"/>
      <c r="G10" s="215"/>
      <c r="H10" s="215"/>
      <c r="I10" s="215"/>
      <c r="J10" s="215"/>
      <c r="K10" s="215"/>
      <c r="L10" s="215"/>
      <c r="M10" s="215"/>
      <c r="N10" s="218" t="s">
        <v>2</v>
      </c>
      <c r="O10" s="218"/>
      <c r="P10" s="219"/>
      <c r="Q10" s="224" t="s">
        <v>3</v>
      </c>
      <c r="R10" s="225"/>
      <c r="S10" s="225"/>
      <c r="T10" s="225"/>
      <c r="U10" s="225"/>
      <c r="V10" s="225"/>
      <c r="W10" s="225"/>
      <c r="X10" s="225"/>
      <c r="Y10" s="226"/>
      <c r="Z10" s="230" t="s">
        <v>4</v>
      </c>
      <c r="AA10" s="231"/>
      <c r="AB10" s="231"/>
      <c r="AC10" s="231"/>
      <c r="AD10" s="231"/>
      <c r="AE10" s="231"/>
      <c r="AF10" s="232"/>
      <c r="AG10" s="271" t="s">
        <v>5</v>
      </c>
      <c r="AH10" s="271"/>
      <c r="AI10" s="271"/>
      <c r="AJ10" s="271"/>
      <c r="AK10" s="271"/>
      <c r="AL10" s="271"/>
      <c r="AM10" s="271"/>
      <c r="AN10" s="271"/>
      <c r="AO10" s="271"/>
      <c r="AP10" s="271"/>
      <c r="AQ10" s="1"/>
      <c r="AR10" s="2"/>
      <c r="AS10" s="251" t="s">
        <v>6</v>
      </c>
      <c r="AT10" s="252"/>
      <c r="AU10" s="252"/>
      <c r="AV10" s="252"/>
      <c r="AW10" s="257" t="s">
        <v>7</v>
      </c>
      <c r="AX10" s="258"/>
      <c r="AY10" s="258"/>
      <c r="AZ10" s="259"/>
      <c r="BA10" s="266" t="s">
        <v>8</v>
      </c>
    </row>
    <row r="11" spans="1:53" ht="23" x14ac:dyDescent="0.2">
      <c r="A11" s="211"/>
      <c r="B11" s="212"/>
      <c r="C11" s="212"/>
      <c r="D11" s="216"/>
      <c r="E11" s="216"/>
      <c r="F11" s="216"/>
      <c r="G11" s="216"/>
      <c r="H11" s="216"/>
      <c r="I11" s="216"/>
      <c r="J11" s="216"/>
      <c r="K11" s="216"/>
      <c r="L11" s="216"/>
      <c r="M11" s="216"/>
      <c r="N11" s="220"/>
      <c r="O11" s="220"/>
      <c r="P11" s="221"/>
      <c r="Q11" s="227"/>
      <c r="R11" s="228"/>
      <c r="S11" s="228"/>
      <c r="T11" s="228"/>
      <c r="U11" s="228"/>
      <c r="V11" s="228"/>
      <c r="W11" s="228"/>
      <c r="X11" s="228"/>
      <c r="Y11" s="229"/>
      <c r="Z11" s="233"/>
      <c r="AA11" s="234"/>
      <c r="AB11" s="234"/>
      <c r="AC11" s="234"/>
      <c r="AD11" s="234"/>
      <c r="AE11" s="234"/>
      <c r="AF11" s="235"/>
      <c r="AG11" s="272"/>
      <c r="AH11" s="272"/>
      <c r="AI11" s="272"/>
      <c r="AJ11" s="272"/>
      <c r="AK11" s="272"/>
      <c r="AL11" s="272"/>
      <c r="AM11" s="272"/>
      <c r="AN11" s="272"/>
      <c r="AO11" s="272"/>
      <c r="AP11" s="272"/>
      <c r="AQ11" s="3"/>
      <c r="AR11" s="4"/>
      <c r="AS11" s="253"/>
      <c r="AT11" s="254"/>
      <c r="AU11" s="254"/>
      <c r="AV11" s="254"/>
      <c r="AW11" s="260"/>
      <c r="AX11" s="261"/>
      <c r="AY11" s="261"/>
      <c r="AZ11" s="262"/>
      <c r="BA11" s="267"/>
    </row>
    <row r="12" spans="1:53" ht="21" thickBot="1" x14ac:dyDescent="0.25">
      <c r="A12" s="213"/>
      <c r="B12" s="214"/>
      <c r="C12" s="214"/>
      <c r="D12" s="217"/>
      <c r="E12" s="217"/>
      <c r="F12" s="217"/>
      <c r="G12" s="217"/>
      <c r="H12" s="217"/>
      <c r="I12" s="217"/>
      <c r="J12" s="217"/>
      <c r="K12" s="217"/>
      <c r="L12" s="217"/>
      <c r="M12" s="217"/>
      <c r="N12" s="222"/>
      <c r="O12" s="222"/>
      <c r="P12" s="223"/>
      <c r="Q12" s="227"/>
      <c r="R12" s="228"/>
      <c r="S12" s="228"/>
      <c r="T12" s="228"/>
      <c r="U12" s="228"/>
      <c r="V12" s="228"/>
      <c r="W12" s="228"/>
      <c r="X12" s="228"/>
      <c r="Y12" s="229"/>
      <c r="Z12" s="233"/>
      <c r="AA12" s="234"/>
      <c r="AB12" s="234"/>
      <c r="AC12" s="234"/>
      <c r="AD12" s="234"/>
      <c r="AE12" s="234"/>
      <c r="AF12" s="235"/>
      <c r="AG12" s="269" t="s">
        <v>9</v>
      </c>
      <c r="AH12" s="269"/>
      <c r="AI12" s="269"/>
      <c r="AJ12" s="269"/>
      <c r="AK12" s="270"/>
      <c r="AL12" s="5"/>
      <c r="AM12" s="269" t="s">
        <v>10</v>
      </c>
      <c r="AN12" s="269"/>
      <c r="AO12" s="269"/>
      <c r="AP12" s="270"/>
      <c r="AQ12" s="6"/>
      <c r="AR12" s="7"/>
      <c r="AS12" s="255"/>
      <c r="AT12" s="256"/>
      <c r="AU12" s="256"/>
      <c r="AV12" s="256"/>
      <c r="AW12" s="263"/>
      <c r="AX12" s="264"/>
      <c r="AY12" s="264"/>
      <c r="AZ12" s="265"/>
      <c r="BA12" s="268"/>
    </row>
    <row r="13" spans="1:53" x14ac:dyDescent="0.2">
      <c r="A13" s="236" t="s">
        <v>11</v>
      </c>
      <c r="B13" s="239" t="s">
        <v>12</v>
      </c>
      <c r="C13" s="239" t="s">
        <v>13</v>
      </c>
      <c r="D13" s="242" t="s">
        <v>14</v>
      </c>
      <c r="E13" s="243"/>
      <c r="F13" s="246" t="s">
        <v>15</v>
      </c>
      <c r="G13" s="243"/>
      <c r="H13" s="292" t="s">
        <v>16</v>
      </c>
      <c r="I13" s="293"/>
      <c r="J13" s="296" t="s">
        <v>17</v>
      </c>
      <c r="K13" s="299" t="s">
        <v>18</v>
      </c>
      <c r="L13" s="292" t="s">
        <v>19</v>
      </c>
      <c r="M13" s="303" t="s">
        <v>20</v>
      </c>
      <c r="N13" s="248" t="s">
        <v>21</v>
      </c>
      <c r="O13" s="248" t="s">
        <v>19</v>
      </c>
      <c r="P13" s="248" t="s">
        <v>20</v>
      </c>
      <c r="Q13" s="273" t="s">
        <v>22</v>
      </c>
      <c r="R13" s="276" t="s">
        <v>23</v>
      </c>
      <c r="S13" s="276"/>
      <c r="T13" s="277"/>
      <c r="U13" s="280" t="s">
        <v>24</v>
      </c>
      <c r="V13" s="280"/>
      <c r="W13" s="281"/>
      <c r="X13" s="353" t="s">
        <v>19</v>
      </c>
      <c r="Y13" s="330" t="s">
        <v>20</v>
      </c>
      <c r="Z13" s="333" t="s">
        <v>23</v>
      </c>
      <c r="AA13" s="334"/>
      <c r="AB13" s="335"/>
      <c r="AC13" s="339" t="s">
        <v>24</v>
      </c>
      <c r="AD13" s="339"/>
      <c r="AE13" s="339" t="s">
        <v>19</v>
      </c>
      <c r="AF13" s="342" t="s">
        <v>20</v>
      </c>
      <c r="AG13" s="351" t="s">
        <v>25</v>
      </c>
      <c r="AH13" s="318" t="s">
        <v>26</v>
      </c>
      <c r="AI13" s="321" t="s">
        <v>24</v>
      </c>
      <c r="AJ13" s="321"/>
      <c r="AK13" s="321"/>
      <c r="AL13" s="323" t="s">
        <v>27</v>
      </c>
      <c r="AM13" s="325" t="s">
        <v>25</v>
      </c>
      <c r="AN13" s="321" t="s">
        <v>24</v>
      </c>
      <c r="AO13" s="321"/>
      <c r="AP13" s="309"/>
      <c r="AQ13" s="327" t="s">
        <v>19</v>
      </c>
      <c r="AR13" s="309" t="s">
        <v>20</v>
      </c>
      <c r="AS13" s="312" t="s">
        <v>28</v>
      </c>
      <c r="AT13" s="315" t="s">
        <v>29</v>
      </c>
      <c r="AU13" s="315" t="s">
        <v>19</v>
      </c>
      <c r="AV13" s="315" t="s">
        <v>20</v>
      </c>
      <c r="AW13" s="348" t="s">
        <v>30</v>
      </c>
      <c r="AX13" s="284" t="s">
        <v>29</v>
      </c>
      <c r="AY13" s="284" t="s">
        <v>19</v>
      </c>
      <c r="AZ13" s="287" t="s">
        <v>20</v>
      </c>
      <c r="BA13" s="290" t="s">
        <v>31</v>
      </c>
    </row>
    <row r="14" spans="1:53" x14ac:dyDescent="0.2">
      <c r="A14" s="237"/>
      <c r="B14" s="240"/>
      <c r="C14" s="240"/>
      <c r="D14" s="244"/>
      <c r="E14" s="245"/>
      <c r="F14" s="247"/>
      <c r="G14" s="245"/>
      <c r="H14" s="294"/>
      <c r="I14" s="295"/>
      <c r="J14" s="297"/>
      <c r="K14" s="300"/>
      <c r="L14" s="294"/>
      <c r="M14" s="304"/>
      <c r="N14" s="249"/>
      <c r="O14" s="249"/>
      <c r="P14" s="249"/>
      <c r="Q14" s="274"/>
      <c r="R14" s="278"/>
      <c r="S14" s="278"/>
      <c r="T14" s="279"/>
      <c r="U14" s="282"/>
      <c r="V14" s="282"/>
      <c r="W14" s="283"/>
      <c r="X14" s="354"/>
      <c r="Y14" s="331"/>
      <c r="Z14" s="336"/>
      <c r="AA14" s="337"/>
      <c r="AB14" s="338"/>
      <c r="AC14" s="340"/>
      <c r="AD14" s="340"/>
      <c r="AE14" s="340"/>
      <c r="AF14" s="343"/>
      <c r="AG14" s="352"/>
      <c r="AH14" s="319"/>
      <c r="AI14" s="322"/>
      <c r="AJ14" s="322"/>
      <c r="AK14" s="322"/>
      <c r="AL14" s="324"/>
      <c r="AM14" s="326"/>
      <c r="AN14" s="322"/>
      <c r="AO14" s="322"/>
      <c r="AP14" s="310"/>
      <c r="AQ14" s="328"/>
      <c r="AR14" s="310"/>
      <c r="AS14" s="313"/>
      <c r="AT14" s="316"/>
      <c r="AU14" s="316"/>
      <c r="AV14" s="316"/>
      <c r="AW14" s="349"/>
      <c r="AX14" s="285"/>
      <c r="AY14" s="285"/>
      <c r="AZ14" s="288"/>
      <c r="BA14" s="290"/>
    </row>
    <row r="15" spans="1:53" ht="57" thickBot="1" x14ac:dyDescent="0.25">
      <c r="A15" s="238"/>
      <c r="B15" s="241"/>
      <c r="C15" s="241"/>
      <c r="D15" s="8" t="s">
        <v>32</v>
      </c>
      <c r="E15" s="9" t="s">
        <v>33</v>
      </c>
      <c r="F15" s="10" t="s">
        <v>32</v>
      </c>
      <c r="G15" s="9" t="s">
        <v>33</v>
      </c>
      <c r="H15" s="11" t="s">
        <v>32</v>
      </c>
      <c r="I15" s="12" t="s">
        <v>33</v>
      </c>
      <c r="J15" s="298"/>
      <c r="K15" s="301"/>
      <c r="L15" s="302"/>
      <c r="M15" s="305"/>
      <c r="N15" s="250"/>
      <c r="O15" s="250"/>
      <c r="P15" s="250"/>
      <c r="Q15" s="275"/>
      <c r="R15" s="13" t="s">
        <v>32</v>
      </c>
      <c r="S15" s="13" t="s">
        <v>34</v>
      </c>
      <c r="T15" s="14" t="s">
        <v>33</v>
      </c>
      <c r="U15" s="15" t="s">
        <v>32</v>
      </c>
      <c r="V15" s="15" t="s">
        <v>34</v>
      </c>
      <c r="W15" s="16" t="s">
        <v>33</v>
      </c>
      <c r="X15" s="355"/>
      <c r="Y15" s="332"/>
      <c r="Z15" s="17" t="s">
        <v>32</v>
      </c>
      <c r="AA15" s="18" t="s">
        <v>34</v>
      </c>
      <c r="AB15" s="19" t="s">
        <v>33</v>
      </c>
      <c r="AC15" s="20" t="s">
        <v>32</v>
      </c>
      <c r="AD15" s="20" t="s">
        <v>34</v>
      </c>
      <c r="AE15" s="341"/>
      <c r="AF15" s="344"/>
      <c r="AG15" s="21" t="s">
        <v>34</v>
      </c>
      <c r="AH15" s="320"/>
      <c r="AI15" s="22" t="s">
        <v>32</v>
      </c>
      <c r="AJ15" s="22" t="s">
        <v>34</v>
      </c>
      <c r="AK15" s="22" t="s">
        <v>33</v>
      </c>
      <c r="AL15" s="324"/>
      <c r="AM15" s="23" t="s">
        <v>33</v>
      </c>
      <c r="AN15" s="22" t="s">
        <v>32</v>
      </c>
      <c r="AO15" s="22" t="s">
        <v>34</v>
      </c>
      <c r="AP15" s="24" t="s">
        <v>33</v>
      </c>
      <c r="AQ15" s="329"/>
      <c r="AR15" s="311"/>
      <c r="AS15" s="314"/>
      <c r="AT15" s="317"/>
      <c r="AU15" s="317"/>
      <c r="AV15" s="317"/>
      <c r="AW15" s="350"/>
      <c r="AX15" s="286"/>
      <c r="AY15" s="286"/>
      <c r="AZ15" s="289"/>
      <c r="BA15" s="291"/>
    </row>
    <row r="16" spans="1:53" ht="16" thickBot="1" x14ac:dyDescent="0.25">
      <c r="A16" s="25">
        <v>0</v>
      </c>
      <c r="B16" s="26">
        <v>45495</v>
      </c>
      <c r="C16" s="27" t="s">
        <v>232</v>
      </c>
      <c r="D16" s="25"/>
      <c r="E16" s="28"/>
      <c r="F16" s="27"/>
      <c r="G16" s="28"/>
      <c r="H16" s="27"/>
      <c r="I16" s="28"/>
      <c r="J16" s="27">
        <v>4</v>
      </c>
      <c r="K16" s="29" t="s">
        <v>35</v>
      </c>
      <c r="L16" s="30" t="s">
        <v>564</v>
      </c>
      <c r="M16" s="31" t="s">
        <v>563</v>
      </c>
      <c r="N16" s="27"/>
      <c r="P16" s="32"/>
      <c r="Q16" s="25"/>
      <c r="R16" s="27"/>
      <c r="S16" s="27"/>
      <c r="T16" s="28"/>
      <c r="U16" s="27"/>
      <c r="V16" s="27"/>
      <c r="W16" s="28"/>
      <c r="X16" s="33"/>
      <c r="Y16" s="32"/>
      <c r="Z16" s="25"/>
      <c r="AA16" s="27"/>
      <c r="AB16" s="28"/>
      <c r="AC16" s="27"/>
      <c r="AD16" s="27"/>
      <c r="AE16" s="33"/>
      <c r="AG16" s="25"/>
      <c r="AH16" s="34"/>
      <c r="AI16" s="27"/>
      <c r="AJ16" s="27"/>
      <c r="AK16" s="27"/>
      <c r="AL16" s="25"/>
      <c r="AM16" s="35"/>
      <c r="AN16" s="27"/>
      <c r="AO16" s="27"/>
      <c r="AP16" s="36"/>
      <c r="AQ16" s="37"/>
      <c r="AR16" s="32"/>
      <c r="AS16" s="25"/>
      <c r="AT16" s="27"/>
      <c r="AU16" s="27"/>
      <c r="AW16" s="25"/>
      <c r="AX16" s="27"/>
      <c r="AY16" s="27"/>
      <c r="AZ16" s="32"/>
      <c r="BA16" s="38"/>
    </row>
    <row r="17" spans="1:53" ht="16" thickBot="1" x14ac:dyDescent="0.25">
      <c r="A17" s="25">
        <v>1</v>
      </c>
      <c r="B17" s="26">
        <v>45496</v>
      </c>
      <c r="C17" s="27" t="s">
        <v>232</v>
      </c>
      <c r="D17" s="25"/>
      <c r="E17" s="28"/>
      <c r="F17" s="27"/>
      <c r="G17" s="28"/>
      <c r="H17" s="27"/>
      <c r="I17" s="28"/>
      <c r="J17" s="27">
        <v>4</v>
      </c>
      <c r="K17" s="29" t="s">
        <v>35</v>
      </c>
      <c r="L17" s="39"/>
      <c r="M17" s="31" t="s">
        <v>565</v>
      </c>
      <c r="N17" s="27"/>
      <c r="P17" s="32"/>
      <c r="Q17" s="40"/>
      <c r="R17" s="27"/>
      <c r="S17" s="27"/>
      <c r="T17" s="28"/>
      <c r="U17" s="27"/>
      <c r="V17" s="27"/>
      <c r="W17" s="28"/>
      <c r="X17" s="33"/>
      <c r="Y17" s="32"/>
      <c r="Z17" s="25"/>
      <c r="AA17" s="27"/>
      <c r="AB17" s="28"/>
      <c r="AC17" s="27"/>
      <c r="AD17" s="27"/>
      <c r="AE17" s="33"/>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2</v>
      </c>
      <c r="B18" s="26">
        <v>45497</v>
      </c>
      <c r="C18" s="27" t="s">
        <v>227</v>
      </c>
      <c r="D18" s="25"/>
      <c r="E18" s="28"/>
      <c r="F18" s="27"/>
      <c r="G18" s="28"/>
      <c r="H18" s="27"/>
      <c r="I18" s="28"/>
      <c r="J18" s="27">
        <v>4</v>
      </c>
      <c r="K18" s="29" t="s">
        <v>35</v>
      </c>
      <c r="L18" s="39"/>
      <c r="M18" s="31" t="s">
        <v>567</v>
      </c>
      <c r="N18" s="27"/>
      <c r="O18" s="42"/>
      <c r="Q18" s="43" t="s">
        <v>37</v>
      </c>
      <c r="R18" s="27"/>
      <c r="S18" s="27"/>
      <c r="T18" s="28"/>
      <c r="U18" s="27"/>
      <c r="V18" s="27"/>
      <c r="W18" s="28"/>
      <c r="X18" s="33"/>
      <c r="Y18" s="32"/>
      <c r="Z18" s="25"/>
      <c r="AA18" s="27"/>
      <c r="AB18" s="28"/>
      <c r="AC18" s="27"/>
      <c r="AD18" s="27"/>
      <c r="AE18" s="33"/>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3</v>
      </c>
      <c r="B19" s="26">
        <v>45498</v>
      </c>
      <c r="C19" s="27" t="s">
        <v>227</v>
      </c>
      <c r="D19" s="25"/>
      <c r="E19" s="28"/>
      <c r="F19" s="27"/>
      <c r="G19" s="28"/>
      <c r="H19" s="27"/>
      <c r="I19" s="28"/>
      <c r="J19" s="27">
        <v>6</v>
      </c>
      <c r="K19" s="29" t="s">
        <v>35</v>
      </c>
      <c r="L19" s="44" t="s">
        <v>287</v>
      </c>
      <c r="M19" s="31" t="s">
        <v>582</v>
      </c>
      <c r="N19" s="27" t="s">
        <v>533</v>
      </c>
      <c r="O19" s="45" t="s">
        <v>41</v>
      </c>
      <c r="P19" s="46"/>
      <c r="Q19" s="25"/>
      <c r="R19" s="27"/>
      <c r="S19" s="27"/>
      <c r="T19" s="28"/>
      <c r="U19" s="27">
        <v>5</v>
      </c>
      <c r="V19" s="27"/>
      <c r="W19" s="28">
        <v>5</v>
      </c>
      <c r="X19" s="47" t="s">
        <v>43</v>
      </c>
      <c r="Y19" s="32"/>
      <c r="Z19" s="25"/>
      <c r="AA19" s="27"/>
      <c r="AB19" s="28"/>
      <c r="AC19" s="27">
        <v>3</v>
      </c>
      <c r="AD19" s="27">
        <v>2</v>
      </c>
      <c r="AE19" s="48" t="s">
        <v>342</v>
      </c>
      <c r="AG19" s="25"/>
      <c r="AH19" s="34"/>
      <c r="AI19" s="27"/>
      <c r="AJ19" s="27"/>
      <c r="AK19" s="27"/>
      <c r="AL19" s="25"/>
      <c r="AM19" s="34"/>
      <c r="AN19" s="27"/>
      <c r="AO19" s="27"/>
      <c r="AP19" s="36"/>
      <c r="AQ19" s="37"/>
      <c r="AR19" s="32"/>
      <c r="AS19" s="25"/>
      <c r="AT19" s="27"/>
      <c r="AU19" s="27"/>
      <c r="AW19" s="25"/>
      <c r="AX19" s="27"/>
      <c r="AY19" s="27"/>
      <c r="AZ19" s="32"/>
      <c r="BA19" s="41"/>
    </row>
    <row r="20" spans="1:53" x14ac:dyDescent="0.2">
      <c r="A20" s="25">
        <v>4</v>
      </c>
      <c r="B20" s="26">
        <v>45499</v>
      </c>
      <c r="C20" s="27" t="s">
        <v>200</v>
      </c>
      <c r="D20" s="25"/>
      <c r="E20" s="28"/>
      <c r="F20" s="27"/>
      <c r="G20" s="28"/>
      <c r="H20" s="27"/>
      <c r="I20" s="28"/>
      <c r="J20" s="27">
        <v>6</v>
      </c>
      <c r="K20" s="29" t="s">
        <v>35</v>
      </c>
      <c r="L20" s="39"/>
      <c r="M20" s="31"/>
      <c r="N20" s="27" t="s">
        <v>533</v>
      </c>
      <c r="O20" t="s">
        <v>46</v>
      </c>
      <c r="P20" s="32"/>
      <c r="Q20" s="25"/>
      <c r="R20" s="27"/>
      <c r="S20" s="27"/>
      <c r="T20" s="28"/>
      <c r="U20" s="27">
        <v>5</v>
      </c>
      <c r="V20" s="27"/>
      <c r="W20" s="28">
        <v>5</v>
      </c>
      <c r="X20" s="345" t="s">
        <v>47</v>
      </c>
      <c r="Y20" s="32"/>
      <c r="Z20" s="25"/>
      <c r="AA20" s="27"/>
      <c r="AB20" s="28"/>
      <c r="AC20" s="27">
        <v>3</v>
      </c>
      <c r="AD20" s="27">
        <v>2</v>
      </c>
      <c r="AE20" s="33"/>
      <c r="AG20" s="25"/>
      <c r="AH20" s="34"/>
      <c r="AI20" s="27"/>
      <c r="AJ20" s="27"/>
      <c r="AK20" s="27"/>
      <c r="AL20" s="25"/>
      <c r="AM20" s="34"/>
      <c r="AN20" s="27"/>
      <c r="AO20" s="27"/>
      <c r="AP20" s="36"/>
      <c r="AQ20" s="37"/>
      <c r="AR20" s="32"/>
      <c r="AS20" s="25"/>
      <c r="AT20" s="27"/>
      <c r="AU20" s="27"/>
      <c r="AW20" s="25"/>
      <c r="AX20" s="27"/>
      <c r="AY20" s="27"/>
      <c r="AZ20" s="32"/>
      <c r="BA20" s="41"/>
    </row>
    <row r="21" spans="1:53" x14ac:dyDescent="0.2">
      <c r="A21" s="25">
        <v>5</v>
      </c>
      <c r="B21" s="26">
        <v>45500</v>
      </c>
      <c r="C21" s="27" t="s">
        <v>200</v>
      </c>
      <c r="D21" s="25"/>
      <c r="E21" s="28"/>
      <c r="F21" s="27"/>
      <c r="G21" s="28"/>
      <c r="H21" s="27"/>
      <c r="I21" s="28"/>
      <c r="J21" s="27">
        <v>6</v>
      </c>
      <c r="K21" s="29" t="s">
        <v>35</v>
      </c>
      <c r="L21" s="39"/>
      <c r="M21" s="31"/>
      <c r="N21" s="27" t="s">
        <v>533</v>
      </c>
      <c r="P21" s="32"/>
      <c r="Q21" s="25"/>
      <c r="R21" s="27"/>
      <c r="S21" s="27"/>
      <c r="T21" s="28"/>
      <c r="U21" s="27">
        <v>5</v>
      </c>
      <c r="V21" s="27"/>
      <c r="W21" s="28">
        <v>5</v>
      </c>
      <c r="X21" s="346"/>
      <c r="Y21" s="32"/>
      <c r="Z21" s="25"/>
      <c r="AA21" s="27"/>
      <c r="AB21" s="28"/>
      <c r="AC21" s="27">
        <v>3</v>
      </c>
      <c r="AD21" s="27">
        <v>2</v>
      </c>
      <c r="AE21" s="33"/>
      <c r="AG21" s="25"/>
      <c r="AH21" s="34"/>
      <c r="AI21" s="27"/>
      <c r="AJ21" s="27"/>
      <c r="AK21" s="27"/>
      <c r="AL21" s="25"/>
      <c r="AM21" s="34"/>
      <c r="AN21" s="27"/>
      <c r="AO21" s="27"/>
      <c r="AP21" s="36"/>
      <c r="AQ21" s="37"/>
      <c r="AR21" s="32"/>
      <c r="AS21" s="25"/>
      <c r="AT21" s="27"/>
      <c r="AU21" s="27"/>
      <c r="AW21" s="25"/>
      <c r="AX21" s="27"/>
      <c r="AY21" s="27"/>
      <c r="AZ21" s="32"/>
      <c r="BA21" s="41"/>
    </row>
    <row r="22" spans="1:53" x14ac:dyDescent="0.2">
      <c r="A22" s="25">
        <v>6</v>
      </c>
      <c r="B22" s="26">
        <v>45501</v>
      </c>
      <c r="C22" s="27"/>
      <c r="D22" s="25"/>
      <c r="E22" s="28"/>
      <c r="F22" s="27"/>
      <c r="G22" s="28"/>
      <c r="H22" s="27"/>
      <c r="I22" s="28"/>
      <c r="J22" s="27">
        <v>6</v>
      </c>
      <c r="K22" s="29" t="s">
        <v>35</v>
      </c>
      <c r="L22" s="39"/>
      <c r="M22" s="31"/>
      <c r="N22" s="27" t="s">
        <v>533</v>
      </c>
      <c r="P22" s="32"/>
      <c r="Q22" s="25"/>
      <c r="R22" s="27"/>
      <c r="S22" s="27"/>
      <c r="T22" s="28"/>
      <c r="U22" s="27">
        <v>5</v>
      </c>
      <c r="V22" s="27"/>
      <c r="W22" s="28">
        <v>5</v>
      </c>
      <c r="X22" s="346"/>
      <c r="Y22" s="32"/>
      <c r="Z22" s="25"/>
      <c r="AA22" s="27"/>
      <c r="AB22" s="28"/>
      <c r="AC22" s="27">
        <v>3</v>
      </c>
      <c r="AD22" s="27">
        <v>2</v>
      </c>
      <c r="AE22" s="33"/>
      <c r="AG22" s="25"/>
      <c r="AH22" s="34"/>
      <c r="AI22" s="27"/>
      <c r="AJ22" s="27"/>
      <c r="AK22" s="27"/>
      <c r="AL22" s="25"/>
      <c r="AM22" s="34"/>
      <c r="AN22" s="27"/>
      <c r="AO22" s="27"/>
      <c r="AP22" s="36"/>
      <c r="AQ22" s="37"/>
      <c r="AR22" s="32"/>
      <c r="AS22" s="25"/>
      <c r="AT22" s="27"/>
      <c r="AU22" s="27"/>
      <c r="AW22" s="25"/>
      <c r="AX22" s="27"/>
      <c r="AY22" s="27"/>
      <c r="AZ22" s="32"/>
      <c r="BA22" s="41"/>
    </row>
    <row r="23" spans="1:53" x14ac:dyDescent="0.2">
      <c r="A23" s="25">
        <v>7</v>
      </c>
      <c r="B23" s="26">
        <v>45502</v>
      </c>
      <c r="C23" s="27" t="s">
        <v>232</v>
      </c>
      <c r="D23" s="25"/>
      <c r="E23" s="28"/>
      <c r="F23" s="27"/>
      <c r="G23" s="28"/>
      <c r="H23" s="27"/>
      <c r="I23" s="28"/>
      <c r="J23" s="27">
        <v>6</v>
      </c>
      <c r="K23" s="29" t="s">
        <v>35</v>
      </c>
      <c r="L23" s="39"/>
      <c r="M23" s="31"/>
      <c r="N23" s="27" t="s">
        <v>533</v>
      </c>
      <c r="P23" s="32"/>
      <c r="Q23" s="25"/>
      <c r="R23" s="27"/>
      <c r="S23" s="27"/>
      <c r="T23" s="28"/>
      <c r="U23" s="27">
        <v>5</v>
      </c>
      <c r="V23" s="27"/>
      <c r="W23" s="28">
        <v>5</v>
      </c>
      <c r="X23" s="346"/>
      <c r="Y23" s="32"/>
      <c r="Z23" s="25"/>
      <c r="AA23" s="27"/>
      <c r="AB23" s="28"/>
      <c r="AC23" s="27">
        <v>3</v>
      </c>
      <c r="AD23" s="27">
        <v>2</v>
      </c>
      <c r="AE23" s="33"/>
      <c r="AG23" s="25"/>
      <c r="AH23" s="34"/>
      <c r="AI23" s="27"/>
      <c r="AJ23" s="27"/>
      <c r="AK23" s="27"/>
      <c r="AL23" s="25"/>
      <c r="AM23" s="34"/>
      <c r="AN23" s="27"/>
      <c r="AO23" s="27"/>
      <c r="AP23" s="36"/>
      <c r="AQ23" s="37"/>
      <c r="AR23" s="32"/>
      <c r="AS23" s="25"/>
      <c r="AT23" s="27"/>
      <c r="AU23" s="27"/>
      <c r="AW23" s="25"/>
      <c r="AX23" s="27"/>
      <c r="AY23" s="27"/>
      <c r="AZ23" s="32"/>
      <c r="BA23" s="41"/>
    </row>
    <row r="24" spans="1:53" x14ac:dyDescent="0.2">
      <c r="A24" s="25">
        <v>8</v>
      </c>
      <c r="B24" s="26">
        <v>45503</v>
      </c>
      <c r="C24" s="27" t="s">
        <v>227</v>
      </c>
      <c r="D24" s="25"/>
      <c r="E24" s="28"/>
      <c r="F24" s="27"/>
      <c r="G24" s="28"/>
      <c r="H24" s="27"/>
      <c r="I24" s="28"/>
      <c r="J24" s="27">
        <v>6</v>
      </c>
      <c r="K24" s="29" t="s">
        <v>35</v>
      </c>
      <c r="L24" s="39" t="s">
        <v>587</v>
      </c>
      <c r="M24" s="31" t="s">
        <v>594</v>
      </c>
      <c r="N24" s="27" t="s">
        <v>533</v>
      </c>
      <c r="P24" s="32"/>
      <c r="Q24" s="25"/>
      <c r="R24" s="27"/>
      <c r="S24" s="27"/>
      <c r="T24" s="28"/>
      <c r="U24" s="27">
        <v>5</v>
      </c>
      <c r="V24" s="27"/>
      <c r="W24" s="28">
        <v>5</v>
      </c>
      <c r="X24" s="346"/>
      <c r="Y24" s="32"/>
      <c r="Z24" s="25"/>
      <c r="AA24" s="27"/>
      <c r="AB24" s="28"/>
      <c r="AC24" s="27">
        <v>3</v>
      </c>
      <c r="AD24" s="27">
        <v>2</v>
      </c>
      <c r="AE24" s="33"/>
      <c r="AG24" s="25"/>
      <c r="AH24" s="34"/>
      <c r="AI24" s="27"/>
      <c r="AJ24" s="27"/>
      <c r="AK24" s="27"/>
      <c r="AL24" s="25"/>
      <c r="AM24" s="34"/>
      <c r="AN24" s="27"/>
      <c r="AO24" s="27"/>
      <c r="AP24" s="36"/>
      <c r="AQ24" s="37"/>
      <c r="AR24" s="32"/>
      <c r="AS24" s="25"/>
      <c r="AT24" s="27"/>
      <c r="AU24" s="27"/>
      <c r="AW24" s="25"/>
      <c r="AX24" s="27"/>
      <c r="AY24" s="27"/>
      <c r="AZ24" s="32"/>
      <c r="BA24" s="41"/>
    </row>
    <row r="25" spans="1:53" ht="16" thickBot="1" x14ac:dyDescent="0.25">
      <c r="A25" s="25">
        <v>9</v>
      </c>
      <c r="B25" s="26">
        <v>45504</v>
      </c>
      <c r="C25" s="27" t="s">
        <v>227</v>
      </c>
      <c r="D25" s="25"/>
      <c r="E25" s="28"/>
      <c r="F25" s="27"/>
      <c r="G25" s="28"/>
      <c r="H25" s="27"/>
      <c r="I25" s="28"/>
      <c r="J25" s="27">
        <v>6</v>
      </c>
      <c r="K25" s="29" t="s">
        <v>35</v>
      </c>
      <c r="L25" s="39" t="s">
        <v>595</v>
      </c>
      <c r="M25" s="31"/>
      <c r="N25" s="27" t="s">
        <v>533</v>
      </c>
      <c r="P25" s="32"/>
      <c r="Q25" s="25"/>
      <c r="R25" s="27"/>
      <c r="S25" s="27"/>
      <c r="T25" s="28"/>
      <c r="U25" s="27">
        <v>5</v>
      </c>
      <c r="V25" s="27"/>
      <c r="W25" s="28">
        <v>5</v>
      </c>
      <c r="X25" s="346"/>
      <c r="Y25" s="32"/>
      <c r="Z25" s="25"/>
      <c r="AA25" s="27"/>
      <c r="AB25" s="28"/>
      <c r="AC25" s="27">
        <v>5</v>
      </c>
      <c r="AD25" s="27">
        <v>5</v>
      </c>
      <c r="AE25" s="33"/>
      <c r="AG25" s="25"/>
      <c r="AH25" s="34"/>
      <c r="AI25" s="27"/>
      <c r="AJ25" s="27"/>
      <c r="AK25" s="27"/>
      <c r="AL25" s="25"/>
      <c r="AM25" s="34"/>
      <c r="AN25" s="27"/>
      <c r="AO25" s="27"/>
      <c r="AP25" s="36"/>
      <c r="AQ25" s="37"/>
      <c r="AR25" s="32"/>
      <c r="AS25" s="25"/>
      <c r="AT25" s="27"/>
      <c r="AU25" s="27"/>
      <c r="AW25" s="25"/>
      <c r="AX25" s="27"/>
      <c r="AY25" s="27"/>
      <c r="AZ25" s="32"/>
      <c r="BA25" s="41"/>
    </row>
    <row r="26" spans="1:53" ht="16" thickBot="1" x14ac:dyDescent="0.25">
      <c r="A26" s="25">
        <v>10</v>
      </c>
      <c r="B26" s="26">
        <v>45505</v>
      </c>
      <c r="C26" s="27" t="s">
        <v>227</v>
      </c>
      <c r="D26" s="25"/>
      <c r="E26" s="28"/>
      <c r="F26" s="27"/>
      <c r="G26" s="28"/>
      <c r="H26" s="27"/>
      <c r="I26" s="28"/>
      <c r="J26" s="27">
        <v>6</v>
      </c>
      <c r="K26" s="29" t="s">
        <v>35</v>
      </c>
      <c r="L26" s="39"/>
      <c r="M26" s="31"/>
      <c r="N26" s="27" t="s">
        <v>533</v>
      </c>
      <c r="O26" s="49"/>
      <c r="P26" s="32"/>
      <c r="Q26" s="25"/>
      <c r="R26" s="27"/>
      <c r="S26" s="27"/>
      <c r="T26" s="28"/>
      <c r="U26" s="27">
        <v>5</v>
      </c>
      <c r="V26" s="27"/>
      <c r="W26" s="28">
        <v>5</v>
      </c>
      <c r="X26" s="346"/>
      <c r="Y26" s="32"/>
      <c r="Z26" s="25"/>
      <c r="AA26" s="27"/>
      <c r="AB26" s="28"/>
      <c r="AC26" s="27">
        <v>5</v>
      </c>
      <c r="AD26" s="27">
        <v>5</v>
      </c>
      <c r="AE26" s="50" t="s">
        <v>343</v>
      </c>
      <c r="AG26" s="25"/>
      <c r="AH26" s="34"/>
      <c r="AI26" s="27"/>
      <c r="AJ26" s="27"/>
      <c r="AK26" s="27"/>
      <c r="AL26" s="25"/>
      <c r="AM26" s="34"/>
      <c r="AN26" s="27"/>
      <c r="AO26" s="27"/>
      <c r="AP26" s="36"/>
      <c r="AQ26" s="37"/>
      <c r="AR26" s="32"/>
      <c r="AS26" s="25"/>
      <c r="AT26" s="27"/>
      <c r="AU26" s="27"/>
      <c r="AW26" s="25"/>
      <c r="AX26" s="27"/>
      <c r="AY26" s="27"/>
      <c r="AZ26" s="32"/>
      <c r="BA26" s="41"/>
    </row>
    <row r="27" spans="1:53" ht="16" thickBot="1" x14ac:dyDescent="0.25">
      <c r="A27" s="25">
        <v>11</v>
      </c>
      <c r="B27" s="26">
        <v>45506</v>
      </c>
      <c r="C27" s="27" t="s">
        <v>200</v>
      </c>
      <c r="D27" s="25"/>
      <c r="E27" s="28"/>
      <c r="F27" s="27"/>
      <c r="G27" s="28"/>
      <c r="H27" s="27"/>
      <c r="I27" s="28"/>
      <c r="J27" s="27">
        <v>6</v>
      </c>
      <c r="K27" s="29" t="s">
        <v>35</v>
      </c>
      <c r="L27" s="52"/>
      <c r="M27" s="31"/>
      <c r="N27" s="27" t="s">
        <v>533</v>
      </c>
      <c r="P27" s="32"/>
      <c r="Q27" s="25"/>
      <c r="R27" s="27"/>
      <c r="S27" s="27"/>
      <c r="T27" s="28"/>
      <c r="U27" s="27">
        <v>5</v>
      </c>
      <c r="V27" s="27"/>
      <c r="W27" s="28">
        <v>5</v>
      </c>
      <c r="X27" s="347"/>
      <c r="Y27" s="32"/>
      <c r="Z27" s="25"/>
      <c r="AA27" s="27"/>
      <c r="AB27" s="28"/>
      <c r="AC27" s="27">
        <v>5</v>
      </c>
      <c r="AD27" s="27">
        <v>5</v>
      </c>
      <c r="AE27" s="33"/>
      <c r="AF27" s="32"/>
      <c r="AG27" s="25"/>
      <c r="AH27" s="34"/>
      <c r="AI27" s="27"/>
      <c r="AJ27" s="27"/>
      <c r="AK27" s="27"/>
      <c r="AL27" s="25"/>
      <c r="AM27" s="34"/>
      <c r="AN27" s="27"/>
      <c r="AO27" s="27"/>
      <c r="AP27" s="36"/>
      <c r="AQ27" s="37"/>
      <c r="AR27" s="32"/>
      <c r="AS27" s="25"/>
      <c r="AT27" s="27"/>
      <c r="AU27" s="27"/>
      <c r="AW27" s="25"/>
      <c r="AX27" s="27"/>
      <c r="AY27" s="27"/>
      <c r="AZ27" s="32"/>
      <c r="BA27" s="41"/>
    </row>
    <row r="28" spans="1:53" ht="16" thickBot="1" x14ac:dyDescent="0.25">
      <c r="A28" s="25">
        <v>12</v>
      </c>
      <c r="B28" s="26">
        <v>45507</v>
      </c>
      <c r="C28" s="27" t="s">
        <v>200</v>
      </c>
      <c r="D28" s="25"/>
      <c r="E28" s="28"/>
      <c r="F28" s="27"/>
      <c r="G28" s="28"/>
      <c r="H28" s="27"/>
      <c r="I28" s="28"/>
      <c r="J28" s="27">
        <v>6</v>
      </c>
      <c r="K28" s="29" t="s">
        <v>35</v>
      </c>
      <c r="L28" s="53"/>
      <c r="M28" s="31"/>
      <c r="N28" s="27" t="s">
        <v>533</v>
      </c>
      <c r="P28" s="32"/>
      <c r="Q28" s="25"/>
      <c r="R28" s="27"/>
      <c r="S28" s="27"/>
      <c r="T28" s="28"/>
      <c r="U28" s="27">
        <v>1</v>
      </c>
      <c r="V28" s="27"/>
      <c r="W28" s="28">
        <v>1</v>
      </c>
      <c r="X28" s="54" t="s">
        <v>49</v>
      </c>
      <c r="Y28" s="32"/>
      <c r="Z28" s="25"/>
      <c r="AA28" s="27"/>
      <c r="AB28" s="28"/>
      <c r="AC28" s="27">
        <v>10</v>
      </c>
      <c r="AD28" s="27">
        <v>5</v>
      </c>
      <c r="AE28" s="50" t="s">
        <v>344</v>
      </c>
      <c r="AG28" s="25"/>
      <c r="AH28" s="34"/>
      <c r="AI28" s="27"/>
      <c r="AJ28" s="27"/>
      <c r="AK28" s="27"/>
      <c r="AL28" s="25"/>
      <c r="AM28" s="34"/>
      <c r="AN28" s="27"/>
      <c r="AO28" s="27"/>
      <c r="AP28" s="36"/>
      <c r="AQ28" s="37"/>
      <c r="AR28" s="32"/>
      <c r="AS28" s="25"/>
      <c r="AT28" s="27"/>
      <c r="AU28" s="27"/>
      <c r="AW28" s="25"/>
      <c r="AX28" s="27"/>
      <c r="AY28" s="27"/>
      <c r="AZ28" s="32"/>
      <c r="BA28" s="41"/>
    </row>
    <row r="29" spans="1:53" ht="16" thickBot="1" x14ac:dyDescent="0.25">
      <c r="A29" s="25">
        <v>13</v>
      </c>
      <c r="B29" s="26">
        <v>45508</v>
      </c>
      <c r="C29" s="27" t="s">
        <v>232</v>
      </c>
      <c r="D29" s="25"/>
      <c r="E29" s="28"/>
      <c r="F29" s="27"/>
      <c r="G29" s="28"/>
      <c r="H29" s="27"/>
      <c r="I29" s="28"/>
      <c r="J29" s="27">
        <v>6</v>
      </c>
      <c r="K29" s="29" t="s">
        <v>35</v>
      </c>
      <c r="L29" s="39"/>
      <c r="M29" s="31"/>
      <c r="N29" s="27" t="s">
        <v>533</v>
      </c>
      <c r="P29" s="32"/>
      <c r="Q29" s="25"/>
      <c r="R29" s="27"/>
      <c r="S29" s="27"/>
      <c r="T29" s="28"/>
      <c r="U29" s="27">
        <v>1</v>
      </c>
      <c r="V29" s="27"/>
      <c r="W29" s="28">
        <v>1</v>
      </c>
      <c r="X29" s="33"/>
      <c r="Y29" s="32"/>
      <c r="Z29" s="55"/>
      <c r="AA29" s="56"/>
      <c r="AB29" s="57"/>
      <c r="AC29" s="27">
        <v>10</v>
      </c>
      <c r="AD29" s="27">
        <v>5</v>
      </c>
      <c r="AE29" s="33"/>
      <c r="AG29" s="25"/>
      <c r="AH29" s="34"/>
      <c r="AI29" s="27"/>
      <c r="AJ29" s="27"/>
      <c r="AK29" s="27"/>
      <c r="AL29" s="25"/>
      <c r="AM29" s="34"/>
      <c r="AN29" s="27"/>
      <c r="AO29" s="27"/>
      <c r="AP29" s="36"/>
      <c r="AQ29" s="37"/>
      <c r="AR29" s="32"/>
      <c r="AS29" s="25"/>
      <c r="AT29" s="27"/>
      <c r="AU29" s="201"/>
      <c r="AW29" s="25"/>
      <c r="AX29" s="27"/>
      <c r="AY29" s="27"/>
      <c r="AZ29" s="32"/>
      <c r="BA29" s="41"/>
    </row>
    <row r="30" spans="1:53" ht="16" thickBot="1" x14ac:dyDescent="0.25">
      <c r="A30" s="25">
        <v>14</v>
      </c>
      <c r="B30" s="26">
        <v>45509</v>
      </c>
      <c r="C30" s="27" t="s">
        <v>200</v>
      </c>
      <c r="D30" s="25"/>
      <c r="E30" s="28"/>
      <c r="F30" s="27"/>
      <c r="G30" s="28"/>
      <c r="H30" s="27"/>
      <c r="I30" s="28"/>
      <c r="J30" s="27">
        <v>6</v>
      </c>
      <c r="K30" s="29" t="s">
        <v>35</v>
      </c>
      <c r="L30" s="39"/>
      <c r="M30" s="31"/>
      <c r="N30" s="27" t="s">
        <v>533</v>
      </c>
      <c r="P30" s="32"/>
      <c r="Q30" s="25"/>
      <c r="R30" s="27"/>
      <c r="S30" s="27"/>
      <c r="T30" s="28"/>
      <c r="U30" s="27">
        <v>1</v>
      </c>
      <c r="V30" s="27"/>
      <c r="W30" s="28">
        <v>1</v>
      </c>
      <c r="X30" s="33"/>
      <c r="Y30" s="32"/>
      <c r="Z30" s="59"/>
      <c r="AA30" s="60"/>
      <c r="AB30" s="61"/>
      <c r="AC30" s="27">
        <v>10</v>
      </c>
      <c r="AD30" s="27">
        <v>5</v>
      </c>
      <c r="AE30" s="33"/>
      <c r="AG30" s="25"/>
      <c r="AH30" s="34"/>
      <c r="AI30" s="27"/>
      <c r="AJ30" s="27"/>
      <c r="AK30" s="27"/>
      <c r="AL30" s="25"/>
      <c r="AM30" s="34"/>
      <c r="AN30" s="27"/>
      <c r="AO30" s="27"/>
      <c r="AP30" s="36"/>
      <c r="AQ30" s="37"/>
      <c r="AR30" s="32"/>
      <c r="AS30" s="25"/>
      <c r="AT30" s="27"/>
      <c r="AW30" s="25"/>
      <c r="AX30" s="27"/>
      <c r="AY30" s="27"/>
      <c r="AZ30" s="32"/>
      <c r="BA30" s="62"/>
    </row>
    <row r="31" spans="1:53" ht="16" thickBot="1" x14ac:dyDescent="0.25">
      <c r="A31" s="25">
        <v>15</v>
      </c>
      <c r="B31" s="26">
        <v>45510</v>
      </c>
      <c r="C31" s="27" t="s">
        <v>227</v>
      </c>
      <c r="D31" s="25"/>
      <c r="E31" s="28"/>
      <c r="F31" s="27"/>
      <c r="G31" s="28"/>
      <c r="H31" s="27"/>
      <c r="I31" s="28"/>
      <c r="J31" s="27">
        <v>6</v>
      </c>
      <c r="K31" s="29" t="s">
        <v>35</v>
      </c>
      <c r="L31" s="39"/>
      <c r="M31" s="31"/>
      <c r="N31" s="27" t="s">
        <v>533</v>
      </c>
      <c r="P31" s="32"/>
      <c r="Q31" s="25"/>
      <c r="R31" s="27"/>
      <c r="S31" s="27"/>
      <c r="T31" s="28"/>
      <c r="U31" s="27">
        <v>1</v>
      </c>
      <c r="V31" s="27"/>
      <c r="W31" s="28">
        <v>0.75</v>
      </c>
      <c r="X31" s="33"/>
      <c r="Y31" s="32" t="s">
        <v>600</v>
      </c>
      <c r="Z31" s="25"/>
      <c r="AA31" s="27"/>
      <c r="AB31" s="28"/>
      <c r="AC31" s="27">
        <v>10</v>
      </c>
      <c r="AD31" s="27">
        <v>5</v>
      </c>
      <c r="AE31" s="33"/>
      <c r="AG31" s="25"/>
      <c r="AH31" s="34"/>
      <c r="AI31" s="27"/>
      <c r="AJ31" s="27"/>
      <c r="AK31" s="27"/>
      <c r="AL31" s="25"/>
      <c r="AM31" s="34"/>
      <c r="AN31" s="27"/>
      <c r="AO31" s="27"/>
      <c r="AP31" s="36"/>
      <c r="AQ31" s="37"/>
      <c r="AR31" s="32"/>
      <c r="AS31" s="25"/>
      <c r="AT31" s="27"/>
      <c r="AU31" s="201"/>
      <c r="AW31" s="25"/>
      <c r="AX31" s="27"/>
      <c r="AY31" s="27"/>
      <c r="AZ31" s="32"/>
      <c r="BA31" s="41"/>
    </row>
    <row r="32" spans="1:53" ht="16" thickBot="1" x14ac:dyDescent="0.25">
      <c r="A32" s="25">
        <v>16</v>
      </c>
      <c r="B32" s="26">
        <v>45511</v>
      </c>
      <c r="C32" s="27" t="s">
        <v>232</v>
      </c>
      <c r="D32" s="25"/>
      <c r="E32" s="28"/>
      <c r="F32" s="27"/>
      <c r="G32" s="28"/>
      <c r="H32" s="27"/>
      <c r="I32" s="28"/>
      <c r="J32" s="27">
        <v>6</v>
      </c>
      <c r="K32" s="29" t="s">
        <v>35</v>
      </c>
      <c r="L32" s="44" t="s">
        <v>288</v>
      </c>
      <c r="M32" s="31"/>
      <c r="N32" s="27" t="s">
        <v>533</v>
      </c>
      <c r="P32" s="32"/>
      <c r="Q32" s="25"/>
      <c r="R32" s="27"/>
      <c r="S32" s="27"/>
      <c r="T32" s="28"/>
      <c r="U32" s="27">
        <v>1</v>
      </c>
      <c r="V32" s="27"/>
      <c r="W32" s="28">
        <v>0</v>
      </c>
      <c r="X32" s="63" t="s">
        <v>60</v>
      </c>
      <c r="Y32" s="46" t="s">
        <v>600</v>
      </c>
      <c r="AB32" s="28"/>
      <c r="AC32" s="27">
        <v>10</v>
      </c>
      <c r="AD32" s="27">
        <v>5</v>
      </c>
      <c r="AE32" s="33"/>
      <c r="AG32" s="25"/>
      <c r="AH32" s="34"/>
      <c r="AI32" s="27"/>
      <c r="AJ32" s="27"/>
      <c r="AK32" s="27"/>
      <c r="AL32" s="25"/>
      <c r="AM32" s="34"/>
      <c r="AN32" s="27"/>
      <c r="AO32" s="27"/>
      <c r="AP32" s="36"/>
      <c r="AQ32" s="64"/>
      <c r="AR32" s="65"/>
      <c r="AS32" s="25"/>
      <c r="AT32" s="27"/>
      <c r="AU32" s="27"/>
      <c r="AW32" s="25"/>
      <c r="AX32" s="27"/>
      <c r="AY32" s="27"/>
      <c r="AZ32" s="32"/>
      <c r="BA32" s="41"/>
    </row>
    <row r="33" spans="1:53" x14ac:dyDescent="0.2">
      <c r="A33" s="25">
        <v>17</v>
      </c>
      <c r="B33" s="26">
        <v>45512</v>
      </c>
      <c r="C33" s="27" t="s">
        <v>232</v>
      </c>
      <c r="D33" s="25"/>
      <c r="E33" s="28"/>
      <c r="F33" s="27"/>
      <c r="G33" s="28"/>
      <c r="H33" s="27"/>
      <c r="I33" s="28"/>
      <c r="J33" s="27">
        <v>6</v>
      </c>
      <c r="K33" s="29" t="s">
        <v>35</v>
      </c>
      <c r="L33" s="39"/>
      <c r="M33" s="31"/>
      <c r="N33" s="27" t="s">
        <v>533</v>
      </c>
      <c r="P33" s="32"/>
      <c r="Q33" s="25"/>
      <c r="R33" s="27"/>
      <c r="S33" s="27"/>
      <c r="T33" s="28"/>
      <c r="U33" s="27"/>
      <c r="V33" s="27" t="s">
        <v>154</v>
      </c>
      <c r="W33" s="28"/>
      <c r="X33" s="33" t="s">
        <v>155</v>
      </c>
      <c r="Y33" s="32"/>
      <c r="Z33" s="25"/>
      <c r="AA33" s="27"/>
      <c r="AB33" s="28"/>
      <c r="AC33" s="27">
        <v>10</v>
      </c>
      <c r="AD33" s="27">
        <v>5</v>
      </c>
      <c r="AE33" s="33"/>
      <c r="AG33" s="25"/>
      <c r="AH33" s="34"/>
      <c r="AI33" s="27"/>
      <c r="AJ33" s="27"/>
      <c r="AK33" s="27"/>
      <c r="AL33" s="25"/>
      <c r="AM33" s="34"/>
      <c r="AN33" s="27"/>
      <c r="AO33" s="27"/>
      <c r="AP33" s="36"/>
      <c r="AQ33" s="37"/>
      <c r="AR33" s="32"/>
      <c r="AS33" s="25"/>
      <c r="AT33" s="27"/>
      <c r="AU33" s="27"/>
      <c r="AW33" s="25"/>
      <c r="AX33" s="27"/>
      <c r="AY33" s="27"/>
      <c r="AZ33" s="32"/>
      <c r="BA33" s="41"/>
    </row>
    <row r="34" spans="1:53" ht="16" thickBot="1" x14ac:dyDescent="0.25">
      <c r="A34" s="25">
        <v>18</v>
      </c>
      <c r="B34" s="26">
        <v>45513</v>
      </c>
      <c r="C34" s="27" t="s">
        <v>200</v>
      </c>
      <c r="D34" s="25"/>
      <c r="E34" s="28"/>
      <c r="F34" s="27"/>
      <c r="G34" s="28"/>
      <c r="H34" s="27"/>
      <c r="I34" s="28"/>
      <c r="J34" s="27">
        <v>6</v>
      </c>
      <c r="K34" s="29" t="s">
        <v>35</v>
      </c>
      <c r="L34" s="39"/>
      <c r="M34" s="31"/>
      <c r="N34" s="27" t="s">
        <v>533</v>
      </c>
      <c r="P34" s="66"/>
      <c r="Q34" s="25"/>
      <c r="R34" s="27"/>
      <c r="S34" s="27"/>
      <c r="T34" s="28"/>
      <c r="U34" s="27"/>
      <c r="V34" s="27" t="s">
        <v>154</v>
      </c>
      <c r="W34" s="28"/>
      <c r="X34" s="33"/>
      <c r="Y34" s="32"/>
      <c r="Z34" s="25"/>
      <c r="AA34" s="27"/>
      <c r="AB34" s="28"/>
      <c r="AC34" s="27">
        <v>10</v>
      </c>
      <c r="AD34" s="27">
        <v>5</v>
      </c>
      <c r="AE34" s="33"/>
      <c r="AG34" s="25"/>
      <c r="AH34" s="34"/>
      <c r="AI34" s="27">
        <v>2.5000000000000001E-2</v>
      </c>
      <c r="AJ34" s="27"/>
      <c r="AK34" s="27">
        <v>2.5000000000000001E-2</v>
      </c>
      <c r="AL34" s="25"/>
      <c r="AM34" s="34"/>
      <c r="AN34" s="27"/>
      <c r="AO34" s="27"/>
      <c r="AP34" s="36"/>
      <c r="AQ34" s="67" t="s">
        <v>65</v>
      </c>
      <c r="AR34" s="46" t="s">
        <v>350</v>
      </c>
      <c r="AS34" s="25"/>
      <c r="AT34" s="27"/>
      <c r="AW34" s="25"/>
      <c r="AX34" s="27"/>
      <c r="AY34" s="27"/>
      <c r="AZ34" s="32"/>
      <c r="BA34" s="41"/>
    </row>
    <row r="35" spans="1:53" ht="16" thickBot="1" x14ac:dyDescent="0.25">
      <c r="A35" s="25">
        <v>19</v>
      </c>
      <c r="B35" s="26">
        <v>45514</v>
      </c>
      <c r="C35" s="27" t="s">
        <v>227</v>
      </c>
      <c r="D35" s="25"/>
      <c r="E35" s="28"/>
      <c r="F35" s="27"/>
      <c r="G35" s="28"/>
      <c r="H35" s="27"/>
      <c r="I35" s="28"/>
      <c r="J35" s="27">
        <v>6</v>
      </c>
      <c r="K35" s="29" t="s">
        <v>35</v>
      </c>
      <c r="L35" s="39"/>
      <c r="M35" s="31"/>
      <c r="N35" s="27" t="s">
        <v>533</v>
      </c>
      <c r="P35" s="32"/>
      <c r="Q35" s="25"/>
      <c r="R35" s="27"/>
      <c r="S35" s="27"/>
      <c r="T35" s="28"/>
      <c r="U35" s="27"/>
      <c r="V35" s="27" t="s">
        <v>502</v>
      </c>
      <c r="W35" s="28"/>
      <c r="X35" s="33"/>
      <c r="Y35" s="32" t="s">
        <v>603</v>
      </c>
      <c r="Z35" s="25"/>
      <c r="AA35" s="27"/>
      <c r="AB35" s="28"/>
      <c r="AC35" s="27">
        <v>10</v>
      </c>
      <c r="AD35" s="27">
        <v>5</v>
      </c>
      <c r="AE35" s="33"/>
      <c r="AG35" s="25"/>
      <c r="AH35" s="34"/>
      <c r="AI35" s="27"/>
      <c r="AJ35" s="27"/>
      <c r="AK35" s="27"/>
      <c r="AL35" s="25"/>
      <c r="AM35" s="34"/>
      <c r="AN35" s="27"/>
      <c r="AO35" s="27"/>
      <c r="AP35" s="36"/>
      <c r="AQ35" s="203" t="s">
        <v>602</v>
      </c>
      <c r="AR35" s="32" t="s">
        <v>64</v>
      </c>
      <c r="AS35" s="25"/>
      <c r="AT35" s="27"/>
      <c r="AU35" s="27"/>
      <c r="AW35" s="25"/>
      <c r="AX35" s="27"/>
      <c r="AY35" s="27"/>
      <c r="AZ35" s="32"/>
      <c r="BA35" s="62"/>
    </row>
    <row r="36" spans="1:53" x14ac:dyDescent="0.2">
      <c r="A36" s="25">
        <v>20</v>
      </c>
      <c r="B36" s="26">
        <v>45515</v>
      </c>
      <c r="C36" s="27" t="s">
        <v>232</v>
      </c>
      <c r="D36" s="25"/>
      <c r="E36" s="28"/>
      <c r="F36" s="27"/>
      <c r="G36" s="28"/>
      <c r="H36" s="27"/>
      <c r="I36" s="28"/>
      <c r="J36" s="27">
        <v>6</v>
      </c>
      <c r="K36" s="29" t="s">
        <v>35</v>
      </c>
      <c r="L36" s="39"/>
      <c r="M36" s="197"/>
      <c r="N36" s="27" t="s">
        <v>533</v>
      </c>
      <c r="O36" s="306" t="s">
        <v>66</v>
      </c>
      <c r="P36" s="32"/>
      <c r="Q36" s="25"/>
      <c r="R36" s="27"/>
      <c r="S36" s="27"/>
      <c r="T36" s="28"/>
      <c r="U36" s="27"/>
      <c r="V36" s="27" t="s">
        <v>502</v>
      </c>
      <c r="W36" s="28"/>
      <c r="X36" s="33"/>
      <c r="Y36" s="32" t="s">
        <v>603</v>
      </c>
      <c r="Z36" s="25"/>
      <c r="AA36" s="27"/>
      <c r="AB36" s="28"/>
      <c r="AC36" s="27">
        <v>4</v>
      </c>
      <c r="AD36" s="27">
        <v>4</v>
      </c>
      <c r="AE36" s="33"/>
      <c r="AF36" t="s">
        <v>606</v>
      </c>
      <c r="AG36" s="25"/>
      <c r="AH36" s="34"/>
      <c r="AI36" s="27">
        <v>2.5000000000000001E-2</v>
      </c>
      <c r="AJ36" s="27"/>
      <c r="AK36" s="27">
        <v>2.5000000000000001E-2</v>
      </c>
      <c r="AL36" s="25"/>
      <c r="AM36" s="34"/>
      <c r="AN36" s="27"/>
      <c r="AO36" s="27"/>
      <c r="AP36" s="36"/>
      <c r="AQ36" s="37"/>
      <c r="AR36" s="32" t="s">
        <v>64</v>
      </c>
      <c r="AS36" s="25"/>
      <c r="AT36" s="27"/>
      <c r="AU36" s="27"/>
      <c r="AW36" s="25"/>
      <c r="AX36" s="27"/>
      <c r="AY36" s="27"/>
      <c r="AZ36" s="32"/>
      <c r="BA36" s="41"/>
    </row>
    <row r="37" spans="1:53" ht="16" thickBot="1" x14ac:dyDescent="0.25">
      <c r="A37" s="70">
        <v>21</v>
      </c>
      <c r="B37" s="26">
        <v>45516</v>
      </c>
      <c r="C37" s="71"/>
      <c r="D37" s="70"/>
      <c r="E37" s="72"/>
      <c r="F37" s="71"/>
      <c r="G37" s="72"/>
      <c r="H37" s="71"/>
      <c r="I37" s="72"/>
      <c r="J37" s="27">
        <v>6</v>
      </c>
      <c r="K37" s="29" t="s">
        <v>35</v>
      </c>
      <c r="L37" s="39" t="s">
        <v>608</v>
      </c>
      <c r="M37" s="198"/>
      <c r="N37" s="27" t="s">
        <v>533</v>
      </c>
      <c r="O37" s="307"/>
      <c r="P37" s="74"/>
      <c r="Q37" s="70"/>
      <c r="R37" s="71"/>
      <c r="S37" s="71"/>
      <c r="T37" s="72"/>
      <c r="U37" s="71"/>
      <c r="V37" s="71" t="s">
        <v>154</v>
      </c>
      <c r="W37" s="72"/>
      <c r="X37" s="33"/>
      <c r="Y37" s="75"/>
      <c r="Z37" s="70"/>
      <c r="AA37" s="71"/>
      <c r="AB37" s="72"/>
      <c r="AC37" s="27">
        <v>5</v>
      </c>
      <c r="AD37" s="71">
        <v>2.5</v>
      </c>
      <c r="AE37" s="33"/>
      <c r="AF37" s="76" t="s">
        <v>606</v>
      </c>
      <c r="AG37" s="70"/>
      <c r="AH37" s="77"/>
      <c r="AI37" s="27"/>
      <c r="AJ37" s="27"/>
      <c r="AK37" s="27"/>
      <c r="AL37" s="70"/>
      <c r="AM37" s="77"/>
      <c r="AN37" s="27"/>
      <c r="AO37" s="71"/>
      <c r="AP37" s="78"/>
      <c r="AQ37" s="37"/>
      <c r="AR37" s="32" t="s">
        <v>64</v>
      </c>
      <c r="AS37" s="70"/>
      <c r="AT37" s="27"/>
      <c r="AU37" s="71"/>
      <c r="AV37" s="76"/>
      <c r="AW37" s="70"/>
      <c r="AX37" s="71"/>
      <c r="AY37" s="71"/>
      <c r="AZ37" s="75"/>
      <c r="BA37" s="79"/>
    </row>
    <row r="38" spans="1:53" ht="16" thickBot="1" x14ac:dyDescent="0.25">
      <c r="A38" s="25">
        <v>22</v>
      </c>
      <c r="B38" s="26">
        <v>45517</v>
      </c>
      <c r="C38" s="27" t="s">
        <v>227</v>
      </c>
      <c r="D38" s="25"/>
      <c r="E38" s="28"/>
      <c r="F38" s="27"/>
      <c r="G38" s="28"/>
      <c r="H38" s="27"/>
      <c r="I38" s="28"/>
      <c r="J38" s="27">
        <v>6</v>
      </c>
      <c r="K38" s="29" t="s">
        <v>35</v>
      </c>
      <c r="L38" s="39"/>
      <c r="M38" s="197" t="s">
        <v>492</v>
      </c>
      <c r="N38" s="27" t="s">
        <v>533</v>
      </c>
      <c r="O38" s="307"/>
      <c r="P38" s="46"/>
      <c r="Q38" s="43"/>
      <c r="R38" s="27"/>
      <c r="S38" s="27"/>
      <c r="T38" s="28"/>
      <c r="U38" s="27"/>
      <c r="V38" s="27" t="s">
        <v>154</v>
      </c>
      <c r="W38" s="28"/>
      <c r="X38" s="33"/>
      <c r="Y38" s="32"/>
      <c r="Z38" s="60"/>
      <c r="AA38" s="60"/>
      <c r="AB38" s="61"/>
      <c r="AC38" s="27">
        <v>10</v>
      </c>
      <c r="AD38" s="27">
        <v>5</v>
      </c>
      <c r="AE38" s="33"/>
      <c r="AG38" s="25"/>
      <c r="AH38" s="34"/>
      <c r="AI38" s="27">
        <v>2.5000000000000001E-2</v>
      </c>
      <c r="AJ38" s="27"/>
      <c r="AK38" s="27">
        <v>2.5000000000000001E-2</v>
      </c>
      <c r="AL38" s="25"/>
      <c r="AM38" s="34"/>
      <c r="AN38" s="27"/>
      <c r="AO38" s="27"/>
      <c r="AP38" s="36"/>
      <c r="AQ38" s="37"/>
      <c r="AR38" s="32" t="s">
        <v>64</v>
      </c>
      <c r="AS38" s="25"/>
      <c r="AT38" s="27"/>
      <c r="AU38" s="27"/>
      <c r="AW38" s="25"/>
      <c r="AX38" s="27"/>
      <c r="AY38" s="27"/>
      <c r="AZ38" s="32"/>
      <c r="BA38" s="80" t="s">
        <v>68</v>
      </c>
    </row>
    <row r="39" spans="1:53" ht="16" thickBot="1" x14ac:dyDescent="0.25">
      <c r="A39" s="25">
        <v>23</v>
      </c>
      <c r="B39" s="26">
        <v>45518</v>
      </c>
      <c r="C39" s="27" t="s">
        <v>314</v>
      </c>
      <c r="D39" s="25"/>
      <c r="E39" s="28"/>
      <c r="F39" s="27"/>
      <c r="G39" s="28"/>
      <c r="H39" s="27"/>
      <c r="I39" s="28"/>
      <c r="J39" s="27">
        <v>6</v>
      </c>
      <c r="K39" s="29" t="s">
        <v>35</v>
      </c>
      <c r="L39" s="39"/>
      <c r="M39" s="31"/>
      <c r="N39" s="27" t="s">
        <v>533</v>
      </c>
      <c r="O39" s="307"/>
      <c r="P39" s="32"/>
      <c r="Q39" s="25"/>
      <c r="R39" s="27"/>
      <c r="S39" s="27"/>
      <c r="T39" s="28"/>
      <c r="U39" s="27"/>
      <c r="V39" s="27" t="s">
        <v>154</v>
      </c>
      <c r="W39" s="28"/>
      <c r="X39" s="33"/>
      <c r="Y39" s="32"/>
      <c r="Z39" s="25"/>
      <c r="AA39" s="27"/>
      <c r="AB39" s="28"/>
      <c r="AC39" s="27">
        <v>10</v>
      </c>
      <c r="AD39" s="27">
        <v>5</v>
      </c>
      <c r="AE39" s="33"/>
      <c r="AG39" s="25"/>
      <c r="AH39" s="34"/>
      <c r="AI39" s="27">
        <v>2.5000000000000001E-2</v>
      </c>
      <c r="AJ39" s="27"/>
      <c r="AK39" s="27">
        <v>2.5000000000000001E-2</v>
      </c>
      <c r="AL39" s="25"/>
      <c r="AM39" s="34"/>
      <c r="AN39" s="27"/>
      <c r="AO39" s="27"/>
      <c r="AP39" s="36"/>
      <c r="AQ39" s="37"/>
      <c r="AR39" s="32" t="s">
        <v>64</v>
      </c>
      <c r="AS39" s="25"/>
      <c r="AT39" s="27"/>
      <c r="AU39" s="201"/>
      <c r="AW39" s="25"/>
      <c r="AX39" s="27"/>
      <c r="AY39" s="27"/>
      <c r="AZ39" s="32"/>
      <c r="BA39" s="41">
        <v>8</v>
      </c>
    </row>
    <row r="40" spans="1:53" ht="16" thickBot="1" x14ac:dyDescent="0.25">
      <c r="A40" s="25">
        <v>24</v>
      </c>
      <c r="B40" s="26">
        <v>45519</v>
      </c>
      <c r="C40" s="27" t="s">
        <v>227</v>
      </c>
      <c r="D40" s="25"/>
      <c r="E40" s="28"/>
      <c r="F40" s="27"/>
      <c r="G40" s="28"/>
      <c r="H40" s="27"/>
      <c r="I40" s="28"/>
      <c r="J40" s="27">
        <v>6</v>
      </c>
      <c r="K40" s="29" t="s">
        <v>35</v>
      </c>
      <c r="L40" s="44" t="s">
        <v>289</v>
      </c>
      <c r="M40" s="31"/>
      <c r="N40" s="27" t="s">
        <v>533</v>
      </c>
      <c r="O40" s="307"/>
      <c r="P40" s="32"/>
      <c r="Q40" s="25"/>
      <c r="R40" s="27"/>
      <c r="S40" s="27"/>
      <c r="T40" s="28"/>
      <c r="U40" s="27"/>
      <c r="V40" s="27" t="s">
        <v>154</v>
      </c>
      <c r="W40" s="28"/>
      <c r="X40" s="33"/>
      <c r="Y40" s="32"/>
      <c r="Z40" s="25"/>
      <c r="AA40" s="27"/>
      <c r="AB40" s="28"/>
      <c r="AC40" s="27"/>
      <c r="AD40" s="27"/>
      <c r="AF40" s="46" t="s">
        <v>610</v>
      </c>
      <c r="AG40" s="25"/>
      <c r="AH40" s="34"/>
      <c r="AI40" s="27">
        <v>0.1</v>
      </c>
      <c r="AJ40" s="27">
        <v>0.1</v>
      </c>
      <c r="AK40" s="27">
        <v>0.1</v>
      </c>
      <c r="AL40" s="25"/>
      <c r="AM40" s="34"/>
      <c r="AN40" s="27"/>
      <c r="AO40" s="27"/>
      <c r="AP40" s="36"/>
      <c r="AQ40" s="37"/>
      <c r="AR40" s="46" t="s">
        <v>351</v>
      </c>
      <c r="AS40" s="25" t="s">
        <v>72</v>
      </c>
      <c r="AT40" s="27" t="s">
        <v>52</v>
      </c>
      <c r="AU40" s="58" t="s">
        <v>295</v>
      </c>
      <c r="AW40" s="25"/>
      <c r="AX40" s="27"/>
      <c r="AY40" s="27"/>
      <c r="AZ40" s="32"/>
      <c r="BA40" s="41">
        <v>24</v>
      </c>
    </row>
    <row r="41" spans="1:53" ht="16" thickBot="1" x14ac:dyDescent="0.25">
      <c r="A41" s="25">
        <v>25</v>
      </c>
      <c r="B41" s="26">
        <v>45520</v>
      </c>
      <c r="C41" s="27" t="s">
        <v>200</v>
      </c>
      <c r="D41" s="25"/>
      <c r="E41" s="28"/>
      <c r="F41" s="27"/>
      <c r="G41" s="28"/>
      <c r="H41" s="27"/>
      <c r="I41" s="28"/>
      <c r="J41" s="27">
        <v>6</v>
      </c>
      <c r="K41" s="29" t="s">
        <v>35</v>
      </c>
      <c r="L41" s="39"/>
      <c r="M41" s="31"/>
      <c r="N41" s="27" t="s">
        <v>533</v>
      </c>
      <c r="O41" s="307"/>
      <c r="P41" s="81"/>
      <c r="Q41" s="43"/>
      <c r="R41" s="27"/>
      <c r="S41" s="27"/>
      <c r="T41" s="28"/>
      <c r="U41" s="27"/>
      <c r="V41" s="27" t="s">
        <v>154</v>
      </c>
      <c r="W41" s="28"/>
      <c r="X41" s="33"/>
      <c r="Y41" s="32"/>
      <c r="Z41" s="27"/>
      <c r="AA41" s="27"/>
      <c r="AB41" s="28"/>
      <c r="AC41" s="27"/>
      <c r="AD41" s="27"/>
      <c r="AE41" s="27"/>
      <c r="AG41" s="25"/>
      <c r="AH41" s="34"/>
      <c r="AI41" s="27">
        <v>0.1</v>
      </c>
      <c r="AJ41" s="27">
        <v>0.1</v>
      </c>
      <c r="AK41" s="27">
        <v>0.1</v>
      </c>
      <c r="AL41" s="25"/>
      <c r="AM41" s="34"/>
      <c r="AN41" s="27"/>
      <c r="AO41" s="27"/>
      <c r="AP41" s="36"/>
      <c r="AQ41" s="37"/>
      <c r="AR41" s="32" t="s">
        <v>75</v>
      </c>
      <c r="AS41" s="25" t="s">
        <v>72</v>
      </c>
      <c r="AT41" s="27" t="s">
        <v>52</v>
      </c>
      <c r="AW41" s="25"/>
      <c r="AX41" s="27"/>
      <c r="AY41" s="27"/>
      <c r="AZ41" s="32"/>
      <c r="BA41" s="41">
        <v>13</v>
      </c>
    </row>
    <row r="42" spans="1:53" ht="16" thickBot="1" x14ac:dyDescent="0.25">
      <c r="A42" s="25">
        <v>26</v>
      </c>
      <c r="B42" s="26">
        <v>45521</v>
      </c>
      <c r="C42" s="27" t="s">
        <v>200</v>
      </c>
      <c r="D42" s="25"/>
      <c r="E42" s="28"/>
      <c r="F42" s="27"/>
      <c r="G42" s="28"/>
      <c r="H42" s="27"/>
      <c r="I42" s="28"/>
      <c r="J42" s="27">
        <v>6</v>
      </c>
      <c r="K42" s="29" t="s">
        <v>35</v>
      </c>
      <c r="L42" s="39"/>
      <c r="M42" s="31"/>
      <c r="N42" s="27" t="s">
        <v>533</v>
      </c>
      <c r="O42" s="307"/>
      <c r="P42" s="32"/>
      <c r="Q42" s="25"/>
      <c r="R42" s="27"/>
      <c r="S42" s="27"/>
      <c r="T42" s="28"/>
      <c r="U42" s="27"/>
      <c r="V42" s="27" t="s">
        <v>154</v>
      </c>
      <c r="W42" s="28"/>
      <c r="X42" s="33"/>
      <c r="Y42" s="32"/>
      <c r="Z42" s="25"/>
      <c r="AA42" s="27"/>
      <c r="AB42" s="28"/>
      <c r="AC42" s="27"/>
      <c r="AD42" s="27"/>
      <c r="AE42" s="33"/>
      <c r="AG42" s="25"/>
      <c r="AH42" s="34"/>
      <c r="AI42" s="27">
        <v>0.1</v>
      </c>
      <c r="AJ42" s="27">
        <v>0.1</v>
      </c>
      <c r="AK42" s="27">
        <v>0.1</v>
      </c>
      <c r="AL42" s="25"/>
      <c r="AM42" s="34"/>
      <c r="AN42" s="27"/>
      <c r="AO42" s="27"/>
      <c r="AP42" s="36"/>
      <c r="AQ42" s="37"/>
      <c r="AR42" s="32" t="s">
        <v>75</v>
      </c>
      <c r="AS42" s="25" t="s">
        <v>72</v>
      </c>
      <c r="AT42" s="27" t="s">
        <v>52</v>
      </c>
      <c r="AW42" s="25"/>
      <c r="AX42" s="27"/>
      <c r="AY42" s="27"/>
      <c r="AZ42" s="32"/>
      <c r="BA42" s="41">
        <v>5</v>
      </c>
    </row>
    <row r="43" spans="1:53" ht="16" thickBot="1" x14ac:dyDescent="0.25">
      <c r="A43" s="25">
        <v>27</v>
      </c>
      <c r="B43" s="26">
        <v>45522</v>
      </c>
      <c r="C43" s="27" t="s">
        <v>232</v>
      </c>
      <c r="D43" s="25"/>
      <c r="E43" s="28"/>
      <c r="F43" s="27"/>
      <c r="G43" s="28"/>
      <c r="H43" s="27"/>
      <c r="I43" s="28"/>
      <c r="J43" s="27">
        <v>6</v>
      </c>
      <c r="K43" s="29" t="s">
        <v>35</v>
      </c>
      <c r="L43" s="39"/>
      <c r="M43" s="31"/>
      <c r="N43" s="27" t="s">
        <v>367</v>
      </c>
      <c r="O43" s="307"/>
      <c r="P43" s="32"/>
      <c r="Q43" s="25"/>
      <c r="R43" s="27"/>
      <c r="S43" s="27"/>
      <c r="T43" s="28"/>
      <c r="U43" s="27"/>
      <c r="V43" s="27" t="s">
        <v>154</v>
      </c>
      <c r="W43" s="28"/>
      <c r="X43" s="33"/>
      <c r="Y43" s="32"/>
      <c r="Z43" s="25"/>
      <c r="AA43" s="27"/>
      <c r="AB43" s="28"/>
      <c r="AC43" s="27"/>
      <c r="AD43" s="27"/>
      <c r="AE43" s="33"/>
      <c r="AG43" s="25"/>
      <c r="AH43" s="34"/>
      <c r="AI43" s="27">
        <v>0.1</v>
      </c>
      <c r="AJ43" s="27">
        <v>0.1</v>
      </c>
      <c r="AK43" s="27">
        <v>0.1</v>
      </c>
      <c r="AL43" s="25"/>
      <c r="AM43" s="34"/>
      <c r="AN43" s="27">
        <v>2.5000000000000001E-2</v>
      </c>
      <c r="AO43" s="27"/>
      <c r="AP43" s="36">
        <v>2.5000000000000001E-2</v>
      </c>
      <c r="AQ43" s="82" t="s">
        <v>292</v>
      </c>
      <c r="AR43" s="32" t="s">
        <v>352</v>
      </c>
      <c r="AS43" s="25" t="s">
        <v>72</v>
      </c>
      <c r="AT43" s="27" t="s">
        <v>52</v>
      </c>
      <c r="AU43" s="27"/>
      <c r="AW43" s="25"/>
      <c r="AX43" s="27"/>
      <c r="AY43" s="27"/>
      <c r="AZ43" s="32"/>
      <c r="BA43" s="41">
        <v>0</v>
      </c>
    </row>
    <row r="44" spans="1:53" x14ac:dyDescent="0.2">
      <c r="A44" s="25">
        <v>28</v>
      </c>
      <c r="B44" s="26">
        <v>45523</v>
      </c>
      <c r="C44" s="27" t="s">
        <v>232</v>
      </c>
      <c r="D44" s="25"/>
      <c r="E44" s="28"/>
      <c r="F44" s="27"/>
      <c r="G44" s="28"/>
      <c r="H44" s="27"/>
      <c r="I44" s="28"/>
      <c r="J44" s="27">
        <v>6</v>
      </c>
      <c r="K44" s="29" t="s">
        <v>35</v>
      </c>
      <c r="L44" s="39"/>
      <c r="M44" s="31"/>
      <c r="N44" s="27" t="s">
        <v>367</v>
      </c>
      <c r="O44" s="307"/>
      <c r="P44" s="32"/>
      <c r="Q44" s="25"/>
      <c r="R44" s="27"/>
      <c r="S44" s="27"/>
      <c r="T44" s="28"/>
      <c r="U44" s="27"/>
      <c r="V44" s="27" t="s">
        <v>502</v>
      </c>
      <c r="W44" s="28"/>
      <c r="Y44" s="32" t="s">
        <v>603</v>
      </c>
      <c r="Z44" s="25"/>
      <c r="AA44" s="27"/>
      <c r="AB44" s="28"/>
      <c r="AC44" s="27"/>
      <c r="AD44" s="27"/>
      <c r="AE44" s="33"/>
      <c r="AG44" s="25"/>
      <c r="AH44" s="34"/>
      <c r="AI44" s="27">
        <v>0.1</v>
      </c>
      <c r="AJ44" s="27">
        <v>0.1</v>
      </c>
      <c r="AK44" s="27">
        <v>0.1</v>
      </c>
      <c r="AL44" s="25"/>
      <c r="AM44" s="34"/>
      <c r="AN44" s="27">
        <v>2.5000000000000001E-2</v>
      </c>
      <c r="AO44" s="27"/>
      <c r="AP44" s="36">
        <v>2.5000000000000001E-2</v>
      </c>
      <c r="AR44" s="32" t="s">
        <v>293</v>
      </c>
      <c r="AS44" s="25" t="s">
        <v>72</v>
      </c>
      <c r="AT44" s="27" t="s">
        <v>52</v>
      </c>
      <c r="AU44" s="27"/>
      <c r="AW44" s="25"/>
      <c r="AX44" s="27"/>
      <c r="AY44" s="27"/>
      <c r="AZ44" s="32"/>
      <c r="BA44" s="41">
        <v>3</v>
      </c>
    </row>
    <row r="45" spans="1:53" ht="17.25" customHeight="1" thickBot="1" x14ac:dyDescent="0.25">
      <c r="A45" s="25">
        <v>29</v>
      </c>
      <c r="B45" s="26">
        <v>45524</v>
      </c>
      <c r="C45" s="27" t="s">
        <v>227</v>
      </c>
      <c r="D45" s="25"/>
      <c r="E45" s="28"/>
      <c r="F45" s="27"/>
      <c r="G45" s="28"/>
      <c r="H45" s="27"/>
      <c r="I45" s="28"/>
      <c r="J45" s="27">
        <v>6</v>
      </c>
      <c r="K45" s="29" t="s">
        <v>345</v>
      </c>
      <c r="L45" s="39"/>
      <c r="M45" s="31"/>
      <c r="N45" s="27" t="s">
        <v>367</v>
      </c>
      <c r="O45" s="307"/>
      <c r="P45" s="32"/>
      <c r="Q45" s="25"/>
      <c r="R45" s="27"/>
      <c r="S45" s="27"/>
      <c r="T45" s="28"/>
      <c r="U45" s="27"/>
      <c r="V45" s="27" t="s">
        <v>154</v>
      </c>
      <c r="W45" s="28"/>
      <c r="X45" s="33"/>
      <c r="Y45" s="32"/>
      <c r="Z45" s="25"/>
      <c r="AA45" s="27"/>
      <c r="AB45" s="28"/>
      <c r="AC45" s="27"/>
      <c r="AD45" s="27"/>
      <c r="AE45" s="33"/>
      <c r="AG45" s="25"/>
      <c r="AH45" s="34"/>
      <c r="AI45" s="27">
        <v>0.1</v>
      </c>
      <c r="AJ45" s="27">
        <v>0.1</v>
      </c>
      <c r="AK45" s="27">
        <v>0.1</v>
      </c>
      <c r="AL45" s="25"/>
      <c r="AM45" s="34"/>
      <c r="AN45" s="27">
        <v>2.5000000000000001E-2</v>
      </c>
      <c r="AO45" s="27"/>
      <c r="AP45" s="36">
        <v>2.5000000000000001E-2</v>
      </c>
      <c r="AQ45" s="37"/>
      <c r="AR45" s="32" t="s">
        <v>293</v>
      </c>
      <c r="AS45" s="25" t="s">
        <v>72</v>
      </c>
      <c r="AT45" s="27" t="s">
        <v>52</v>
      </c>
      <c r="AU45" s="27"/>
      <c r="AW45" s="25"/>
      <c r="AX45" s="27"/>
      <c r="AY45" s="27"/>
      <c r="AZ45" s="32"/>
      <c r="BA45" s="41">
        <v>4</v>
      </c>
    </row>
    <row r="46" spans="1:53" s="87" customFormat="1" ht="16" thickBot="1" x14ac:dyDescent="0.25">
      <c r="A46" s="25">
        <v>30</v>
      </c>
      <c r="B46" s="26">
        <v>45525</v>
      </c>
      <c r="C46" s="27" t="s">
        <v>227</v>
      </c>
      <c r="D46" s="25"/>
      <c r="E46" s="28"/>
      <c r="F46" s="27"/>
      <c r="G46" s="28"/>
      <c r="H46" s="27"/>
      <c r="I46" s="28"/>
      <c r="J46" s="27">
        <v>6</v>
      </c>
      <c r="K46" s="29" t="s">
        <v>346</v>
      </c>
      <c r="L46" s="39"/>
      <c r="M46" s="31"/>
      <c r="N46" s="27" t="s">
        <v>367</v>
      </c>
      <c r="O46" s="307"/>
      <c r="Q46" s="83"/>
      <c r="R46" s="83"/>
      <c r="S46" s="83"/>
      <c r="T46" s="83"/>
      <c r="U46" s="83"/>
      <c r="V46" s="83" t="s">
        <v>154</v>
      </c>
      <c r="W46" s="83"/>
      <c r="X46" s="83"/>
      <c r="Z46" s="83"/>
      <c r="AA46" s="83"/>
      <c r="AB46" s="83"/>
      <c r="AC46" s="83"/>
      <c r="AD46" s="83"/>
      <c r="AE46" s="83"/>
      <c r="AG46" s="83"/>
      <c r="AH46" s="83"/>
      <c r="AI46" s="83">
        <v>0.05</v>
      </c>
      <c r="AJ46" s="83">
        <v>0.05</v>
      </c>
      <c r="AK46" s="83">
        <v>0.05</v>
      </c>
      <c r="AL46" s="83"/>
      <c r="AM46" s="83"/>
      <c r="AN46" s="83">
        <v>0.1</v>
      </c>
      <c r="AO46" s="83"/>
      <c r="AP46" s="83">
        <v>0.1</v>
      </c>
      <c r="AR46" s="190" t="s">
        <v>294</v>
      </c>
      <c r="AS46" s="83" t="s">
        <v>72</v>
      </c>
      <c r="AT46" s="83" t="s">
        <v>52</v>
      </c>
      <c r="AU46" s="83"/>
      <c r="AW46" s="83"/>
      <c r="AX46" s="83"/>
      <c r="AY46" s="83"/>
      <c r="BA46" s="83">
        <v>9</v>
      </c>
    </row>
    <row r="47" spans="1:53" x14ac:dyDescent="0.2">
      <c r="A47" s="25">
        <v>31</v>
      </c>
      <c r="B47" s="26">
        <v>45526</v>
      </c>
      <c r="C47" s="27" t="s">
        <v>227</v>
      </c>
      <c r="D47" s="25"/>
      <c r="E47" s="28"/>
      <c r="F47" s="27"/>
      <c r="G47" s="28"/>
      <c r="H47" s="27"/>
      <c r="I47" s="28"/>
      <c r="J47" s="202">
        <v>45357</v>
      </c>
      <c r="K47" s="29" t="s">
        <v>347</v>
      </c>
      <c r="L47" s="39"/>
      <c r="M47" s="31"/>
      <c r="N47" s="27" t="s">
        <v>561</v>
      </c>
      <c r="O47" s="307"/>
      <c r="P47" s="32"/>
      <c r="Q47" s="25"/>
      <c r="R47" s="27"/>
      <c r="S47" s="27"/>
      <c r="T47" s="28"/>
      <c r="U47" s="27"/>
      <c r="V47" s="27" t="s">
        <v>154</v>
      </c>
      <c r="W47" s="28"/>
      <c r="X47" s="33"/>
      <c r="Y47" s="32"/>
      <c r="Z47" s="25"/>
      <c r="AA47" s="27"/>
      <c r="AB47" s="28"/>
      <c r="AC47" s="27"/>
      <c r="AD47" s="27"/>
      <c r="AE47" s="33"/>
      <c r="AG47" s="25"/>
      <c r="AH47" s="34"/>
      <c r="AI47" s="27">
        <v>0.05</v>
      </c>
      <c r="AJ47" s="27">
        <v>0.05</v>
      </c>
      <c r="AK47" s="27">
        <v>0.05</v>
      </c>
      <c r="AL47" s="25"/>
      <c r="AM47" s="34"/>
      <c r="AN47" s="27">
        <v>0.1</v>
      </c>
      <c r="AO47" s="27"/>
      <c r="AP47" s="36">
        <v>0.1</v>
      </c>
      <c r="AQ47" s="37"/>
      <c r="AR47" s="66"/>
      <c r="AS47" s="25" t="s">
        <v>72</v>
      </c>
      <c r="AT47" s="27" t="s">
        <v>52</v>
      </c>
      <c r="AU47" s="27"/>
      <c r="AW47" s="25"/>
      <c r="AX47" s="27"/>
      <c r="AY47" s="27"/>
      <c r="AZ47" s="32"/>
      <c r="BA47" s="41">
        <v>3</v>
      </c>
    </row>
    <row r="48" spans="1:53" x14ac:dyDescent="0.2">
      <c r="A48" s="25">
        <v>32</v>
      </c>
      <c r="B48" s="26">
        <v>45527</v>
      </c>
      <c r="C48" s="27" t="s">
        <v>200</v>
      </c>
      <c r="D48" s="25"/>
      <c r="E48" s="28"/>
      <c r="F48" s="27"/>
      <c r="G48" s="28"/>
      <c r="H48" s="27"/>
      <c r="I48" s="28"/>
      <c r="J48" s="202">
        <v>45357</v>
      </c>
      <c r="K48" s="29" t="s">
        <v>35</v>
      </c>
      <c r="L48" s="39"/>
      <c r="M48" s="31"/>
      <c r="N48" s="27" t="s">
        <v>561</v>
      </c>
      <c r="O48" s="307"/>
      <c r="P48" s="32"/>
      <c r="Q48" s="25"/>
      <c r="R48" s="27"/>
      <c r="S48" s="27"/>
      <c r="T48" s="28"/>
      <c r="U48" s="27"/>
      <c r="V48" s="27" t="s">
        <v>154</v>
      </c>
      <c r="W48" s="28"/>
      <c r="X48" s="33"/>
      <c r="Y48" s="32"/>
      <c r="Z48" s="25"/>
      <c r="AA48" s="27"/>
      <c r="AB48" s="28"/>
      <c r="AC48" s="27"/>
      <c r="AD48" s="27"/>
      <c r="AE48" s="33"/>
      <c r="AG48" s="25"/>
      <c r="AH48" s="34"/>
      <c r="AI48" s="27">
        <v>0.05</v>
      </c>
      <c r="AJ48" s="27">
        <v>0.05</v>
      </c>
      <c r="AK48" s="27">
        <v>0.05</v>
      </c>
      <c r="AL48" s="25"/>
      <c r="AM48" s="34"/>
      <c r="AN48" s="27">
        <v>0.1</v>
      </c>
      <c r="AO48" s="27">
        <v>0.1</v>
      </c>
      <c r="AP48" s="36">
        <v>0.1</v>
      </c>
      <c r="AQ48" s="37"/>
      <c r="AR48" s="32"/>
      <c r="AS48" s="25" t="s">
        <v>72</v>
      </c>
      <c r="AT48" s="27" t="s">
        <v>52</v>
      </c>
      <c r="AU48" s="27"/>
      <c r="AW48" s="25"/>
      <c r="AX48" s="27"/>
      <c r="AY48" s="27"/>
      <c r="AZ48" s="32"/>
      <c r="BA48" s="41">
        <v>5</v>
      </c>
    </row>
    <row r="49" spans="1:54" x14ac:dyDescent="0.2">
      <c r="A49" s="25">
        <v>33</v>
      </c>
      <c r="B49" s="26">
        <v>45528</v>
      </c>
      <c r="C49" s="27" t="s">
        <v>200</v>
      </c>
      <c r="D49" s="25"/>
      <c r="E49" s="28"/>
      <c r="F49" s="27"/>
      <c r="G49" s="28"/>
      <c r="H49" s="27"/>
      <c r="I49" s="28"/>
      <c r="J49" s="202">
        <v>45357</v>
      </c>
      <c r="K49" s="29" t="s">
        <v>35</v>
      </c>
      <c r="L49" s="39"/>
      <c r="M49" s="31"/>
      <c r="N49" s="27" t="s">
        <v>561</v>
      </c>
      <c r="O49" s="307"/>
      <c r="P49" s="32"/>
      <c r="Q49" s="25"/>
      <c r="R49" s="27"/>
      <c r="S49" s="27"/>
      <c r="T49" s="28"/>
      <c r="U49" s="27"/>
      <c r="V49" s="27" t="s">
        <v>154</v>
      </c>
      <c r="W49" s="28"/>
      <c r="X49" s="33"/>
      <c r="Y49" s="32"/>
      <c r="Z49" s="25"/>
      <c r="AA49" s="27"/>
      <c r="AB49" s="28"/>
      <c r="AC49" s="27"/>
      <c r="AD49" s="27"/>
      <c r="AE49" s="33"/>
      <c r="AG49" s="25"/>
      <c r="AH49" s="34"/>
      <c r="AI49" s="27">
        <v>0.05</v>
      </c>
      <c r="AJ49" s="27">
        <v>0.05</v>
      </c>
      <c r="AK49" s="27">
        <v>0.05</v>
      </c>
      <c r="AL49" s="25"/>
      <c r="AM49" s="34"/>
      <c r="AN49" s="27">
        <v>0.1</v>
      </c>
      <c r="AO49" s="27">
        <v>0.1</v>
      </c>
      <c r="AP49" s="36">
        <v>0.1</v>
      </c>
      <c r="AQ49" s="37"/>
      <c r="AR49" s="32"/>
      <c r="AS49" s="25" t="s">
        <v>72</v>
      </c>
      <c r="AT49" s="27" t="s">
        <v>52</v>
      </c>
      <c r="AW49" s="25" t="s">
        <v>325</v>
      </c>
      <c r="AX49" s="27"/>
      <c r="AY49" s="27"/>
      <c r="AZ49" s="32"/>
      <c r="BA49" s="41">
        <v>5</v>
      </c>
    </row>
    <row r="50" spans="1:54" ht="16" thickBot="1" x14ac:dyDescent="0.25">
      <c r="A50" s="25">
        <v>34</v>
      </c>
      <c r="B50" s="26">
        <v>45529</v>
      </c>
      <c r="C50" s="27" t="s">
        <v>200</v>
      </c>
      <c r="D50" s="25"/>
      <c r="E50" s="28"/>
      <c r="F50" s="27"/>
      <c r="G50" s="28"/>
      <c r="H50" s="27"/>
      <c r="I50" s="28"/>
      <c r="J50" s="202">
        <v>45357</v>
      </c>
      <c r="K50" s="29" t="s">
        <v>35</v>
      </c>
      <c r="L50" s="39"/>
      <c r="M50" s="31"/>
      <c r="N50" s="27" t="s">
        <v>561</v>
      </c>
      <c r="O50" s="307"/>
      <c r="P50" s="32"/>
      <c r="Q50" s="25"/>
      <c r="R50" s="27"/>
      <c r="S50" s="27"/>
      <c r="T50" s="28"/>
      <c r="U50" s="27"/>
      <c r="V50" s="27" t="s">
        <v>154</v>
      </c>
      <c r="W50" s="28"/>
      <c r="X50" s="33"/>
      <c r="Y50" s="32"/>
      <c r="Z50" s="25"/>
      <c r="AA50" s="27"/>
      <c r="AB50" s="28"/>
      <c r="AC50" s="27"/>
      <c r="AD50" s="27"/>
      <c r="AE50" s="33"/>
      <c r="AG50" s="25"/>
      <c r="AH50" s="34"/>
      <c r="AI50" s="27">
        <v>0.05</v>
      </c>
      <c r="AJ50" s="27">
        <v>0.05</v>
      </c>
      <c r="AK50" s="27">
        <v>0.05</v>
      </c>
      <c r="AL50" s="25"/>
      <c r="AM50" s="34"/>
      <c r="AN50" s="27">
        <v>0.1</v>
      </c>
      <c r="AO50" s="27">
        <v>0.1</v>
      </c>
      <c r="AP50" s="36">
        <v>0.1</v>
      </c>
      <c r="AQ50" s="37"/>
      <c r="AR50" s="32"/>
      <c r="AS50" s="25" t="s">
        <v>72</v>
      </c>
      <c r="AT50" s="27" t="s">
        <v>52</v>
      </c>
      <c r="AU50" s="27"/>
      <c r="AW50" s="25" t="s">
        <v>325</v>
      </c>
      <c r="AX50" s="27"/>
      <c r="AY50" s="27"/>
      <c r="AZ50" s="32"/>
      <c r="BA50" s="41">
        <v>4</v>
      </c>
    </row>
    <row r="51" spans="1:54" ht="16" thickBot="1" x14ac:dyDescent="0.25">
      <c r="A51" s="25">
        <v>35</v>
      </c>
      <c r="B51" s="26">
        <v>45530</v>
      </c>
      <c r="C51" s="27" t="s">
        <v>200</v>
      </c>
      <c r="D51" s="25"/>
      <c r="E51" s="28"/>
      <c r="F51" s="27"/>
      <c r="G51" s="28"/>
      <c r="H51" s="27"/>
      <c r="I51" s="28"/>
      <c r="J51" s="202">
        <v>45357</v>
      </c>
      <c r="K51" s="29" t="s">
        <v>35</v>
      </c>
      <c r="L51" s="39"/>
      <c r="M51" s="31"/>
      <c r="N51" s="27" t="s">
        <v>561</v>
      </c>
      <c r="O51" s="307"/>
      <c r="P51" s="32"/>
      <c r="Q51" s="25"/>
      <c r="R51" s="27"/>
      <c r="S51" s="27"/>
      <c r="T51" s="28"/>
      <c r="U51" s="27"/>
      <c r="V51" s="27" t="s">
        <v>154</v>
      </c>
      <c r="W51" s="28"/>
      <c r="X51" s="33"/>
      <c r="Y51" s="32"/>
      <c r="Z51" s="25"/>
      <c r="AA51" s="27"/>
      <c r="AB51" s="28"/>
      <c r="AC51" s="27"/>
      <c r="AD51" s="27"/>
      <c r="AE51" s="33"/>
      <c r="AG51" s="25"/>
      <c r="AH51" s="34"/>
      <c r="AI51" s="27">
        <v>0.05</v>
      </c>
      <c r="AJ51" s="27">
        <v>0.05</v>
      </c>
      <c r="AK51" s="27">
        <v>0.05</v>
      </c>
      <c r="AL51" s="25"/>
      <c r="AM51" s="34"/>
      <c r="AN51" s="27">
        <v>0.1</v>
      </c>
      <c r="AO51" s="27">
        <v>0.1</v>
      </c>
      <c r="AP51" s="36">
        <v>0.1</v>
      </c>
      <c r="AQ51" s="37"/>
      <c r="AR51" s="32"/>
      <c r="AS51" s="25" t="s">
        <v>72</v>
      </c>
      <c r="AT51" s="27" t="s">
        <v>52</v>
      </c>
      <c r="AU51" s="58" t="s">
        <v>77</v>
      </c>
      <c r="AW51" s="27" t="s">
        <v>325</v>
      </c>
      <c r="AX51" s="27" t="s">
        <v>91</v>
      </c>
      <c r="AY51" s="27"/>
      <c r="AZ51" s="32"/>
      <c r="BA51" s="41">
        <v>2</v>
      </c>
    </row>
    <row r="52" spans="1:54" ht="16" thickBot="1" x14ac:dyDescent="0.25">
      <c r="A52" s="25">
        <v>36</v>
      </c>
      <c r="B52" s="26">
        <v>45531</v>
      </c>
      <c r="C52" s="27" t="s">
        <v>200</v>
      </c>
      <c r="D52" s="25"/>
      <c r="E52" s="28"/>
      <c r="F52" s="27"/>
      <c r="G52" s="28"/>
      <c r="H52" s="27"/>
      <c r="I52" s="28"/>
      <c r="J52" s="202">
        <v>45357</v>
      </c>
      <c r="K52" s="29" t="s">
        <v>35</v>
      </c>
      <c r="L52" s="53"/>
      <c r="M52" s="31"/>
      <c r="N52" s="27" t="s">
        <v>561</v>
      </c>
      <c r="O52" s="307"/>
      <c r="P52" s="32"/>
      <c r="Q52" s="25"/>
      <c r="R52" s="27"/>
      <c r="S52" s="27"/>
      <c r="T52" s="28"/>
      <c r="U52" s="27"/>
      <c r="V52" s="27" t="s">
        <v>154</v>
      </c>
      <c r="W52" s="28"/>
      <c r="X52" s="33"/>
      <c r="Y52" s="32"/>
      <c r="Z52" s="25"/>
      <c r="AA52" s="27"/>
      <c r="AB52" s="28"/>
      <c r="AC52" s="27"/>
      <c r="AD52" s="27"/>
      <c r="AE52" s="33"/>
      <c r="AG52" s="25"/>
      <c r="AH52" s="34"/>
      <c r="AI52" s="27">
        <v>0.05</v>
      </c>
      <c r="AJ52" s="27">
        <v>0.05</v>
      </c>
      <c r="AK52" s="27">
        <v>0.05</v>
      </c>
      <c r="AL52" s="25"/>
      <c r="AM52" s="34"/>
      <c r="AN52" s="27">
        <v>0.1</v>
      </c>
      <c r="AO52" s="27">
        <v>0.1</v>
      </c>
      <c r="AP52" s="36">
        <v>0.1</v>
      </c>
      <c r="AQ52" s="37"/>
      <c r="AR52" s="32"/>
      <c r="AS52" s="25" t="s">
        <v>72</v>
      </c>
      <c r="AT52" s="27" t="s">
        <v>52</v>
      </c>
      <c r="AW52" s="27" t="s">
        <v>325</v>
      </c>
      <c r="AX52" s="27" t="s">
        <v>91</v>
      </c>
      <c r="AY52" s="27"/>
      <c r="AZ52" s="32"/>
      <c r="BA52" s="41">
        <v>2</v>
      </c>
    </row>
    <row r="53" spans="1:54" ht="16" thickBot="1" x14ac:dyDescent="0.25">
      <c r="A53" s="25">
        <v>37</v>
      </c>
      <c r="B53" s="26">
        <v>45532</v>
      </c>
      <c r="C53" s="27" t="s">
        <v>200</v>
      </c>
      <c r="D53" s="25"/>
      <c r="E53" s="28"/>
      <c r="F53" s="27"/>
      <c r="G53" s="28"/>
      <c r="H53" s="27"/>
      <c r="I53" s="28"/>
      <c r="J53" s="202">
        <v>45357</v>
      </c>
      <c r="K53" s="29" t="s">
        <v>35</v>
      </c>
      <c r="L53" s="53"/>
      <c r="M53" s="31"/>
      <c r="N53" s="27" t="s">
        <v>561</v>
      </c>
      <c r="O53" s="307"/>
      <c r="P53" s="32"/>
      <c r="Q53" s="25"/>
      <c r="R53" s="27"/>
      <c r="S53" s="27"/>
      <c r="T53" s="28"/>
      <c r="U53" s="27"/>
      <c r="V53" s="27" t="s">
        <v>154</v>
      </c>
      <c r="W53" s="28"/>
      <c r="X53" s="33"/>
      <c r="Y53" s="32"/>
      <c r="Z53" s="59"/>
      <c r="AA53" s="60"/>
      <c r="AB53" s="61"/>
      <c r="AC53" s="27"/>
      <c r="AD53" s="27"/>
      <c r="AE53" s="33"/>
      <c r="AG53" s="25"/>
      <c r="AH53" s="34"/>
      <c r="AI53" s="27">
        <v>0.05</v>
      </c>
      <c r="AJ53" s="27">
        <v>0.05</v>
      </c>
      <c r="AK53" s="27">
        <v>0.05</v>
      </c>
      <c r="AL53" s="25"/>
      <c r="AM53" s="34"/>
      <c r="AN53" s="27">
        <v>0.1</v>
      </c>
      <c r="AO53" s="27">
        <v>0.1</v>
      </c>
      <c r="AP53" s="36">
        <v>0.1</v>
      </c>
      <c r="AQ53" s="37"/>
      <c r="AR53" s="32"/>
      <c r="AS53" s="25" t="s">
        <v>72</v>
      </c>
      <c r="AT53" s="27" t="s">
        <v>52</v>
      </c>
      <c r="AU53" s="27"/>
      <c r="AW53" s="27" t="s">
        <v>325</v>
      </c>
      <c r="AX53" s="27" t="s">
        <v>91</v>
      </c>
      <c r="AY53" s="27"/>
      <c r="AZ53" s="32"/>
      <c r="BA53" s="41">
        <v>1</v>
      </c>
    </row>
    <row r="54" spans="1:54" x14ac:dyDescent="0.2">
      <c r="A54" s="25">
        <v>38</v>
      </c>
      <c r="B54" s="26">
        <v>45533</v>
      </c>
      <c r="C54" s="27" t="s">
        <v>227</v>
      </c>
      <c r="D54" s="25"/>
      <c r="E54" s="28"/>
      <c r="F54" s="27"/>
      <c r="G54" s="28"/>
      <c r="H54" s="27"/>
      <c r="I54" s="28"/>
      <c r="J54" s="202">
        <v>45357</v>
      </c>
      <c r="K54" s="29" t="s">
        <v>35</v>
      </c>
      <c r="L54" s="39"/>
      <c r="M54" s="31"/>
      <c r="N54" s="27" t="s">
        <v>561</v>
      </c>
      <c r="O54" s="307"/>
      <c r="P54" s="32"/>
      <c r="Q54" s="25"/>
      <c r="R54" s="27"/>
      <c r="S54" s="27"/>
      <c r="T54" s="28"/>
      <c r="U54" s="27"/>
      <c r="V54" s="27" t="s">
        <v>154</v>
      </c>
      <c r="W54" s="28"/>
      <c r="X54" s="33"/>
      <c r="Y54" s="32"/>
      <c r="Z54" s="25"/>
      <c r="AA54" s="27"/>
      <c r="AB54" s="28"/>
      <c r="AC54" s="27"/>
      <c r="AD54" s="27"/>
      <c r="AE54" s="33"/>
      <c r="AG54" s="25"/>
      <c r="AH54" s="34"/>
      <c r="AI54" s="27">
        <v>0.05</v>
      </c>
      <c r="AJ54" s="27">
        <v>0.05</v>
      </c>
      <c r="AK54" s="27">
        <v>0.05</v>
      </c>
      <c r="AL54" s="25"/>
      <c r="AM54" s="34"/>
      <c r="AN54" s="27">
        <v>0.1</v>
      </c>
      <c r="AO54" s="27">
        <v>0.1</v>
      </c>
      <c r="AP54" s="36">
        <v>0.1</v>
      </c>
      <c r="AQ54" s="37"/>
      <c r="AR54" s="32"/>
      <c r="AS54" s="25" t="s">
        <v>72</v>
      </c>
      <c r="AT54" s="27" t="s">
        <v>52</v>
      </c>
      <c r="AU54" s="27"/>
      <c r="AW54" s="27" t="s">
        <v>325</v>
      </c>
      <c r="AX54" s="27" t="s">
        <v>91</v>
      </c>
      <c r="AY54" s="27"/>
      <c r="AZ54" s="32"/>
      <c r="BA54" s="41">
        <v>5</v>
      </c>
    </row>
    <row r="55" spans="1:54" ht="16" thickBot="1" x14ac:dyDescent="0.25">
      <c r="A55" s="25">
        <v>39</v>
      </c>
      <c r="B55" s="26">
        <v>45534</v>
      </c>
      <c r="C55" s="27" t="s">
        <v>232</v>
      </c>
      <c r="D55" s="25"/>
      <c r="E55" s="28"/>
      <c r="F55" s="27"/>
      <c r="G55" s="28"/>
      <c r="H55" s="27"/>
      <c r="I55" s="28"/>
      <c r="J55" s="202">
        <v>45357</v>
      </c>
      <c r="K55" s="29" t="s">
        <v>35</v>
      </c>
      <c r="L55" t="s">
        <v>518</v>
      </c>
      <c r="M55" s="31"/>
      <c r="N55" s="27" t="s">
        <v>561</v>
      </c>
      <c r="O55" s="307"/>
      <c r="P55" s="32"/>
      <c r="Q55" s="25"/>
      <c r="R55" s="27"/>
      <c r="S55" s="27"/>
      <c r="T55" s="28"/>
      <c r="U55" s="27"/>
      <c r="V55" s="27" t="s">
        <v>154</v>
      </c>
      <c r="W55" s="28"/>
      <c r="X55" s="33"/>
      <c r="Y55" s="32"/>
      <c r="Z55" s="25"/>
      <c r="AA55" s="27"/>
      <c r="AB55" s="28"/>
      <c r="AC55" s="27"/>
      <c r="AD55" s="27"/>
      <c r="AE55" s="33"/>
      <c r="AG55" s="25"/>
      <c r="AH55" s="34"/>
      <c r="AI55" s="27">
        <v>0.05</v>
      </c>
      <c r="AJ55" s="27">
        <v>0.05</v>
      </c>
      <c r="AK55" s="27">
        <v>0.05</v>
      </c>
      <c r="AL55" s="25"/>
      <c r="AM55" s="34"/>
      <c r="AN55" s="27">
        <v>0.1</v>
      </c>
      <c r="AO55" s="27">
        <v>0.1</v>
      </c>
      <c r="AP55" s="36">
        <v>0.1</v>
      </c>
      <c r="AQ55" s="37"/>
      <c r="AR55" s="32"/>
      <c r="AS55" s="25" t="s">
        <v>72</v>
      </c>
      <c r="AT55" s="27" t="s">
        <v>52</v>
      </c>
      <c r="AU55" s="27"/>
      <c r="AW55" s="27" t="s">
        <v>325</v>
      </c>
      <c r="AX55" s="27" t="s">
        <v>91</v>
      </c>
      <c r="AY55" s="27"/>
      <c r="AZ55" s="32"/>
      <c r="BA55" s="41">
        <v>0</v>
      </c>
    </row>
    <row r="56" spans="1:54" ht="16" thickBot="1" x14ac:dyDescent="0.25">
      <c r="A56" s="25">
        <v>40</v>
      </c>
      <c r="B56" s="26">
        <v>45535</v>
      </c>
      <c r="C56" s="27" t="s">
        <v>232</v>
      </c>
      <c r="D56" s="25"/>
      <c r="E56" s="28"/>
      <c r="F56" s="27"/>
      <c r="G56" s="28"/>
      <c r="H56" s="27"/>
      <c r="I56" s="28"/>
      <c r="J56" s="202">
        <v>45357</v>
      </c>
      <c r="K56" s="29" t="s">
        <v>35</v>
      </c>
      <c r="L56" s="53" t="s">
        <v>623</v>
      </c>
      <c r="M56" s="31"/>
      <c r="N56" s="27" t="s">
        <v>561</v>
      </c>
      <c r="O56" s="308"/>
      <c r="Q56" s="25"/>
      <c r="R56" s="27"/>
      <c r="S56" s="27"/>
      <c r="T56" s="28"/>
      <c r="U56" s="27"/>
      <c r="V56" s="27" t="s">
        <v>154</v>
      </c>
      <c r="W56" s="28"/>
      <c r="X56" s="33"/>
      <c r="Y56" s="32"/>
      <c r="Z56" s="59"/>
      <c r="AA56" s="60"/>
      <c r="AB56" s="61"/>
      <c r="AC56" s="27"/>
      <c r="AD56" s="27"/>
      <c r="AE56" s="33"/>
      <c r="AG56" s="25"/>
      <c r="AH56" s="34"/>
      <c r="AI56" s="27">
        <v>0.05</v>
      </c>
      <c r="AJ56" s="27">
        <v>0.05</v>
      </c>
      <c r="AK56" s="27">
        <v>0.05</v>
      </c>
      <c r="AL56" s="25"/>
      <c r="AM56" s="34"/>
      <c r="AN56" s="27">
        <v>0.1</v>
      </c>
      <c r="AO56" s="27">
        <v>0.1</v>
      </c>
      <c r="AP56" s="36">
        <v>0.1</v>
      </c>
      <c r="AQ56" s="37"/>
      <c r="AR56" s="32"/>
      <c r="AS56" s="25" t="s">
        <v>79</v>
      </c>
      <c r="AT56" s="27" t="s">
        <v>52</v>
      </c>
      <c r="AU56" s="58" t="s">
        <v>80</v>
      </c>
      <c r="AV56" s="27" t="s">
        <v>620</v>
      </c>
      <c r="AW56" s="27" t="s">
        <v>325</v>
      </c>
      <c r="AX56" s="27" t="s">
        <v>91</v>
      </c>
      <c r="AY56" s="27"/>
      <c r="AZ56" s="32"/>
      <c r="BA56" s="41">
        <v>8</v>
      </c>
    </row>
    <row r="57" spans="1:54" x14ac:dyDescent="0.2">
      <c r="A57" s="25">
        <v>41</v>
      </c>
      <c r="B57" s="26">
        <v>45536</v>
      </c>
      <c r="C57" s="27" t="s">
        <v>232</v>
      </c>
      <c r="D57" s="25"/>
      <c r="E57" s="28"/>
      <c r="F57" s="27"/>
      <c r="G57" s="28"/>
      <c r="H57" s="27"/>
      <c r="I57" s="28"/>
      <c r="J57" s="202">
        <v>45357</v>
      </c>
      <c r="K57" s="29" t="s">
        <v>35</v>
      </c>
      <c r="L57" t="s">
        <v>587</v>
      </c>
      <c r="M57" s="31" t="s">
        <v>624</v>
      </c>
      <c r="N57" s="27" t="s">
        <v>577</v>
      </c>
      <c r="P57" s="32" t="s">
        <v>627</v>
      </c>
      <c r="Q57" s="25"/>
      <c r="R57" s="27"/>
      <c r="S57" s="27"/>
      <c r="T57" s="28"/>
      <c r="U57" s="27"/>
      <c r="V57" s="27" t="s">
        <v>154</v>
      </c>
      <c r="W57" s="28"/>
      <c r="X57" s="33"/>
      <c r="Y57" s="32"/>
      <c r="Z57" s="25"/>
      <c r="AA57" s="27"/>
      <c r="AB57" s="28"/>
      <c r="AC57" s="27"/>
      <c r="AD57" s="27"/>
      <c r="AE57" s="33"/>
      <c r="AG57" s="25"/>
      <c r="AH57" s="34"/>
      <c r="AI57" s="27">
        <v>0.05</v>
      </c>
      <c r="AJ57" s="27">
        <v>0.05</v>
      </c>
      <c r="AK57" s="27">
        <v>0.05</v>
      </c>
      <c r="AL57" s="25"/>
      <c r="AM57" s="34"/>
      <c r="AN57" s="27">
        <v>0.1</v>
      </c>
      <c r="AO57" s="27">
        <v>0.1</v>
      </c>
      <c r="AP57" s="36">
        <v>0.1</v>
      </c>
      <c r="AQ57" s="37"/>
      <c r="AR57" s="32"/>
      <c r="AS57" s="25" t="s">
        <v>79</v>
      </c>
      <c r="AT57" s="27" t="s">
        <v>52</v>
      </c>
      <c r="AU57" s="27"/>
      <c r="AW57" s="27" t="s">
        <v>325</v>
      </c>
      <c r="AX57" s="27" t="s">
        <v>91</v>
      </c>
      <c r="AY57" s="27"/>
      <c r="AZ57" s="32"/>
      <c r="BA57" s="41">
        <v>58</v>
      </c>
      <c r="BB57" t="s">
        <v>628</v>
      </c>
    </row>
    <row r="58" spans="1:54" x14ac:dyDescent="0.2">
      <c r="A58" s="25">
        <v>42</v>
      </c>
      <c r="B58" s="26">
        <v>45537</v>
      </c>
      <c r="C58" s="27" t="s">
        <v>232</v>
      </c>
      <c r="D58" s="25"/>
      <c r="E58" s="28"/>
      <c r="F58" s="27"/>
      <c r="G58" s="28"/>
      <c r="H58" s="27"/>
      <c r="I58" s="28"/>
      <c r="J58" s="202">
        <v>45357</v>
      </c>
      <c r="K58" s="29" t="s">
        <v>35</v>
      </c>
      <c r="L58" s="39"/>
      <c r="M58" s="31"/>
      <c r="N58" s="27" t="s">
        <v>561</v>
      </c>
      <c r="P58" s="32"/>
      <c r="Q58" s="25"/>
      <c r="R58" s="27"/>
      <c r="S58" s="27"/>
      <c r="T58" s="28"/>
      <c r="U58" s="27"/>
      <c r="V58" s="27" t="s">
        <v>154</v>
      </c>
      <c r="W58" s="28"/>
      <c r="X58" s="33"/>
      <c r="Y58" s="32"/>
      <c r="Z58" s="25"/>
      <c r="AA58" s="27"/>
      <c r="AB58" s="28"/>
      <c r="AC58" s="27"/>
      <c r="AD58" s="27"/>
      <c r="AE58" s="33"/>
      <c r="AG58" s="25"/>
      <c r="AH58" s="34"/>
      <c r="AI58" s="27">
        <v>0.05</v>
      </c>
      <c r="AJ58" s="27">
        <v>0.05</v>
      </c>
      <c r="AK58" s="27">
        <v>0.05</v>
      </c>
      <c r="AL58" s="25"/>
      <c r="AM58" s="34"/>
      <c r="AN58" s="27">
        <v>0.1</v>
      </c>
      <c r="AO58" s="27">
        <v>0.1</v>
      </c>
      <c r="AP58" s="36">
        <v>0.1</v>
      </c>
      <c r="AQ58" s="37"/>
      <c r="AR58" s="32"/>
      <c r="AS58" s="25" t="s">
        <v>79</v>
      </c>
      <c r="AT58" s="27" t="s">
        <v>52</v>
      </c>
      <c r="AU58" s="27"/>
      <c r="AW58" s="27" t="s">
        <v>325</v>
      </c>
      <c r="AX58" s="27" t="s">
        <v>91</v>
      </c>
      <c r="AY58" s="27"/>
      <c r="AZ58" s="32"/>
      <c r="BA58" s="41">
        <v>2</v>
      </c>
    </row>
    <row r="59" spans="1:54" ht="16" thickBot="1" x14ac:dyDescent="0.25">
      <c r="A59" s="25">
        <v>43</v>
      </c>
      <c r="B59" s="26">
        <v>45538</v>
      </c>
      <c r="C59" s="27" t="s">
        <v>232</v>
      </c>
      <c r="D59" s="25"/>
      <c r="E59" s="28"/>
      <c r="F59" s="27"/>
      <c r="G59" s="28"/>
      <c r="H59" s="27"/>
      <c r="I59" s="28"/>
      <c r="J59" s="202">
        <v>45357</v>
      </c>
      <c r="K59" s="29" t="s">
        <v>35</v>
      </c>
      <c r="L59" s="39" t="s">
        <v>632</v>
      </c>
      <c r="M59" s="31"/>
      <c r="N59" s="27" t="s">
        <v>561</v>
      </c>
      <c r="P59" s="32"/>
      <c r="Q59" s="25"/>
      <c r="R59" s="27"/>
      <c r="S59" s="27"/>
      <c r="T59" s="28"/>
      <c r="U59" s="27"/>
      <c r="V59" s="27" t="s">
        <v>154</v>
      </c>
      <c r="W59" s="28"/>
      <c r="X59" s="33"/>
      <c r="Y59" s="32"/>
      <c r="Z59" s="25"/>
      <c r="AA59" s="27"/>
      <c r="AB59" s="28"/>
      <c r="AC59" s="27"/>
      <c r="AD59" s="27"/>
      <c r="AE59" s="33"/>
      <c r="AG59" s="25"/>
      <c r="AH59" s="34"/>
      <c r="AI59" s="27"/>
      <c r="AJ59" s="27"/>
      <c r="AK59" s="27"/>
      <c r="AL59" s="25"/>
      <c r="AM59" s="34"/>
      <c r="AN59" s="27"/>
      <c r="AO59" s="27"/>
      <c r="AP59" s="36"/>
      <c r="AQ59" s="37"/>
      <c r="AR59" s="32"/>
      <c r="AS59" s="25" t="s">
        <v>79</v>
      </c>
      <c r="AT59" s="27" t="s">
        <v>52</v>
      </c>
      <c r="AU59" s="27"/>
      <c r="AW59" s="27" t="s">
        <v>325</v>
      </c>
      <c r="AX59" s="27" t="s">
        <v>91</v>
      </c>
      <c r="AY59" s="27"/>
      <c r="AZ59" s="32"/>
      <c r="BA59" s="41"/>
    </row>
    <row r="60" spans="1:54" ht="16" thickBot="1" x14ac:dyDescent="0.25">
      <c r="A60" s="25">
        <v>44</v>
      </c>
      <c r="B60" s="26">
        <v>45539</v>
      </c>
      <c r="C60" s="27"/>
      <c r="D60" s="25"/>
      <c r="E60" s="28"/>
      <c r="F60" s="27"/>
      <c r="G60" s="28"/>
      <c r="H60" s="27"/>
      <c r="I60" s="28"/>
      <c r="J60" s="202">
        <v>45357</v>
      </c>
      <c r="K60" s="29" t="s">
        <v>35</v>
      </c>
      <c r="L60" s="39"/>
      <c r="M60" s="31"/>
      <c r="N60" s="27" t="s">
        <v>561</v>
      </c>
      <c r="P60" s="32"/>
      <c r="Q60" s="27"/>
      <c r="R60" s="27"/>
      <c r="S60" s="27"/>
      <c r="T60" s="28"/>
      <c r="U60" s="27"/>
      <c r="V60" s="27" t="s">
        <v>154</v>
      </c>
      <c r="W60" s="28"/>
      <c r="X60" s="33"/>
      <c r="Y60" s="32"/>
      <c r="Z60" s="59"/>
      <c r="AA60" s="60"/>
      <c r="AB60" s="61"/>
      <c r="AC60" s="27"/>
      <c r="AD60" s="27"/>
      <c r="AE60" s="33"/>
      <c r="AG60" s="25"/>
      <c r="AH60" s="34"/>
      <c r="AI60" s="27"/>
      <c r="AJ60" s="27"/>
      <c r="AK60" s="27"/>
      <c r="AL60" s="25"/>
      <c r="AM60" s="34"/>
      <c r="AN60" s="27"/>
      <c r="AO60" s="27"/>
      <c r="AP60" s="36"/>
      <c r="AQ60" s="37"/>
      <c r="AR60" s="32"/>
      <c r="AS60" s="25" t="s">
        <v>79</v>
      </c>
      <c r="AT60" s="27" t="s">
        <v>52</v>
      </c>
      <c r="AU60" s="58" t="s">
        <v>81</v>
      </c>
      <c r="AW60" s="27" t="s">
        <v>325</v>
      </c>
      <c r="AX60" s="27" t="s">
        <v>303</v>
      </c>
      <c r="AY60" s="27"/>
      <c r="AZ60" s="32"/>
      <c r="BA60" s="41"/>
    </row>
    <row r="61" spans="1:54" x14ac:dyDescent="0.2">
      <c r="A61" s="25">
        <v>45</v>
      </c>
      <c r="B61" s="26">
        <v>45540</v>
      </c>
      <c r="C61" s="27"/>
      <c r="D61" s="25"/>
      <c r="E61" s="28"/>
      <c r="F61" s="27"/>
      <c r="G61" s="28"/>
      <c r="H61" s="27"/>
      <c r="I61" s="28"/>
      <c r="J61" s="202">
        <v>45357</v>
      </c>
      <c r="K61" s="29" t="s">
        <v>35</v>
      </c>
      <c r="L61" s="39"/>
      <c r="M61" s="31"/>
      <c r="N61" s="27" t="s">
        <v>561</v>
      </c>
      <c r="P61" s="32"/>
      <c r="Q61" s="25"/>
      <c r="R61" s="27"/>
      <c r="S61" s="27"/>
      <c r="T61" s="28"/>
      <c r="U61" s="27"/>
      <c r="V61" s="27" t="s">
        <v>154</v>
      </c>
      <c r="W61" s="28"/>
      <c r="X61" s="33"/>
      <c r="Y61" s="32"/>
      <c r="Z61" s="25"/>
      <c r="AA61" s="27"/>
      <c r="AB61" s="28"/>
      <c r="AC61" s="27"/>
      <c r="AD61" s="27"/>
      <c r="AE61" s="33"/>
      <c r="AG61" s="25"/>
      <c r="AH61" s="34"/>
      <c r="AI61" s="27"/>
      <c r="AJ61" s="27"/>
      <c r="AK61" s="27"/>
      <c r="AL61" s="25"/>
      <c r="AM61" s="34"/>
      <c r="AN61" s="27"/>
      <c r="AO61" s="27"/>
      <c r="AP61" s="36"/>
      <c r="AQ61" s="37"/>
      <c r="AR61" s="32"/>
      <c r="AS61" s="25" t="s">
        <v>82</v>
      </c>
      <c r="AT61" s="27" t="s">
        <v>52</v>
      </c>
      <c r="AW61" s="27" t="s">
        <v>325</v>
      </c>
      <c r="AX61" s="27" t="s">
        <v>303</v>
      </c>
      <c r="AY61" s="27"/>
      <c r="AZ61" s="32"/>
      <c r="BA61" s="41"/>
    </row>
    <row r="62" spans="1:54" x14ac:dyDescent="0.2">
      <c r="A62" s="25">
        <v>46</v>
      </c>
      <c r="B62" s="26">
        <v>45541</v>
      </c>
      <c r="C62" s="27"/>
      <c r="D62" s="25"/>
      <c r="E62" s="28"/>
      <c r="F62" s="27"/>
      <c r="G62" s="28"/>
      <c r="H62" s="27"/>
      <c r="I62" s="28"/>
      <c r="J62" s="202">
        <v>45357</v>
      </c>
      <c r="K62" s="29" t="s">
        <v>35</v>
      </c>
      <c r="L62" s="39"/>
      <c r="M62" s="31"/>
      <c r="N62" s="27" t="s">
        <v>561</v>
      </c>
      <c r="P62" s="32"/>
      <c r="Q62" s="25"/>
      <c r="R62" s="27"/>
      <c r="S62" s="27"/>
      <c r="T62" s="28"/>
      <c r="U62" s="27"/>
      <c r="V62" s="27" t="s">
        <v>154</v>
      </c>
      <c r="W62" s="28"/>
      <c r="X62" s="33"/>
      <c r="Y62" s="32"/>
      <c r="Z62" s="25"/>
      <c r="AA62" s="27"/>
      <c r="AB62" s="28"/>
      <c r="AC62" s="27"/>
      <c r="AD62" s="27"/>
      <c r="AE62" s="33"/>
      <c r="AG62" s="25"/>
      <c r="AH62" s="34"/>
      <c r="AI62" s="27"/>
      <c r="AJ62" s="27"/>
      <c r="AK62" s="27"/>
      <c r="AL62" s="25"/>
      <c r="AM62" s="34"/>
      <c r="AN62" s="27"/>
      <c r="AO62" s="27"/>
      <c r="AP62" s="36"/>
      <c r="AQ62" s="37"/>
      <c r="AR62" s="32"/>
      <c r="AS62" s="25" t="s">
        <v>82</v>
      </c>
      <c r="AT62" s="27" t="s">
        <v>52</v>
      </c>
      <c r="AU62" s="27"/>
      <c r="AW62" s="27" t="s">
        <v>325</v>
      </c>
      <c r="AX62" s="27" t="s">
        <v>303</v>
      </c>
      <c r="AY62" s="27"/>
      <c r="AZ62" s="32"/>
      <c r="BA62" s="41"/>
    </row>
    <row r="63" spans="1:54" x14ac:dyDescent="0.2">
      <c r="A63" s="25">
        <v>47</v>
      </c>
      <c r="B63" s="26">
        <v>45542</v>
      </c>
      <c r="C63" s="27"/>
      <c r="D63" s="25"/>
      <c r="E63" s="28"/>
      <c r="F63" s="27"/>
      <c r="G63" s="28"/>
      <c r="H63" s="27"/>
      <c r="I63" s="28"/>
      <c r="J63" s="202">
        <v>45357</v>
      </c>
      <c r="K63" s="29" t="s">
        <v>35</v>
      </c>
      <c r="L63" s="39"/>
      <c r="M63" s="31"/>
      <c r="N63" s="27" t="s">
        <v>561</v>
      </c>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c r="AO63" s="27"/>
      <c r="AP63" s="36"/>
      <c r="AQ63" s="37"/>
      <c r="AR63" s="32"/>
      <c r="AS63" s="25" t="s">
        <v>82</v>
      </c>
      <c r="AT63" s="27" t="s">
        <v>52</v>
      </c>
      <c r="AU63" s="27"/>
      <c r="AW63" s="27" t="s">
        <v>325</v>
      </c>
      <c r="AX63" s="27" t="s">
        <v>303</v>
      </c>
      <c r="AY63" s="27"/>
      <c r="AZ63" s="32"/>
      <c r="BA63" s="41"/>
    </row>
    <row r="64" spans="1:54" x14ac:dyDescent="0.2">
      <c r="A64" s="25">
        <v>48</v>
      </c>
      <c r="B64" s="26">
        <v>45543</v>
      </c>
      <c r="C64" s="27"/>
      <c r="D64" s="25"/>
      <c r="E64" s="28"/>
      <c r="F64" s="27"/>
      <c r="G64" s="28"/>
      <c r="H64" s="27"/>
      <c r="I64" s="28"/>
      <c r="J64" s="202">
        <v>45357</v>
      </c>
      <c r="K64" s="29" t="s">
        <v>35</v>
      </c>
      <c r="M64" s="31"/>
      <c r="N64" s="27" t="s">
        <v>561</v>
      </c>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c r="AO64" s="27"/>
      <c r="AP64" s="36"/>
      <c r="AQ64" s="37"/>
      <c r="AR64" s="32"/>
      <c r="AS64" s="25" t="s">
        <v>82</v>
      </c>
      <c r="AT64" s="27" t="s">
        <v>52</v>
      </c>
      <c r="AU64" s="27"/>
      <c r="AW64" s="27" t="s">
        <v>325</v>
      </c>
      <c r="AX64" s="27" t="s">
        <v>303</v>
      </c>
      <c r="AY64" s="27"/>
      <c r="AZ64" s="32"/>
      <c r="BA64" s="41"/>
    </row>
    <row r="65" spans="1:53" ht="16" thickBot="1" x14ac:dyDescent="0.25">
      <c r="A65" s="25">
        <v>49</v>
      </c>
      <c r="B65" s="26">
        <v>45544</v>
      </c>
      <c r="C65" s="27"/>
      <c r="D65" s="25"/>
      <c r="E65" s="28"/>
      <c r="F65" s="27"/>
      <c r="G65" s="28"/>
      <c r="H65" s="27"/>
      <c r="I65" s="28"/>
      <c r="J65" s="202">
        <v>45357</v>
      </c>
      <c r="K65" s="29" t="s">
        <v>35</v>
      </c>
      <c r="L65" s="39"/>
      <c r="M65" s="31"/>
      <c r="N65" s="27" t="s">
        <v>561</v>
      </c>
      <c r="P65" s="32"/>
      <c r="Q65" s="25"/>
      <c r="R65" s="27"/>
      <c r="S65" s="27"/>
      <c r="T65" s="28"/>
      <c r="U65" s="27"/>
      <c r="V65" s="27" t="s">
        <v>154</v>
      </c>
      <c r="W65" s="28"/>
      <c r="X65" s="33"/>
      <c r="Y65" s="32"/>
      <c r="Z65" s="25"/>
      <c r="AA65" s="27"/>
      <c r="AB65" s="28"/>
      <c r="AC65" s="27"/>
      <c r="AD65" s="27"/>
      <c r="AE65" s="33"/>
      <c r="AG65" s="25"/>
      <c r="AH65" s="34"/>
      <c r="AI65" s="27"/>
      <c r="AJ65" s="27"/>
      <c r="AK65" s="27"/>
      <c r="AL65" s="25"/>
      <c r="AM65" s="34"/>
      <c r="AN65" s="27"/>
      <c r="AO65" s="27"/>
      <c r="AP65" s="36"/>
      <c r="AQ65" s="37"/>
      <c r="AR65" s="32"/>
      <c r="AS65" s="25" t="s">
        <v>82</v>
      </c>
      <c r="AT65" s="27" t="s">
        <v>52</v>
      </c>
      <c r="AU65" s="27"/>
      <c r="AW65" s="27" t="s">
        <v>325</v>
      </c>
      <c r="AX65" s="27" t="s">
        <v>303</v>
      </c>
      <c r="AY65" s="27"/>
      <c r="AZ65" s="32"/>
      <c r="BA65" s="41"/>
    </row>
    <row r="66" spans="1:53" ht="16" thickBot="1" x14ac:dyDescent="0.25">
      <c r="A66" s="25">
        <v>50</v>
      </c>
      <c r="B66" s="26">
        <v>45545</v>
      </c>
      <c r="C66" s="27"/>
      <c r="D66" s="25"/>
      <c r="E66" s="28"/>
      <c r="F66" s="27"/>
      <c r="G66" s="28"/>
      <c r="H66" s="27"/>
      <c r="I66" s="28"/>
      <c r="J66" s="202">
        <v>45357</v>
      </c>
      <c r="K66" s="29" t="s">
        <v>35</v>
      </c>
      <c r="L66" s="44" t="s">
        <v>83</v>
      </c>
      <c r="M66" s="31"/>
      <c r="N66" s="27" t="s">
        <v>561</v>
      </c>
      <c r="O66" s="45" t="s">
        <v>349</v>
      </c>
      <c r="P66" s="46" t="s">
        <v>61</v>
      </c>
      <c r="Q66" s="25"/>
      <c r="R66" s="27"/>
      <c r="S66" s="27"/>
      <c r="T66" s="28"/>
      <c r="U66" s="27"/>
      <c r="V66" s="27" t="s">
        <v>154</v>
      </c>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58" t="s">
        <v>88</v>
      </c>
      <c r="AW66" s="27" t="s">
        <v>325</v>
      </c>
      <c r="AX66" s="27" t="s">
        <v>303</v>
      </c>
      <c r="AY66" s="27"/>
      <c r="AZ66" s="32"/>
      <c r="BA66" s="41"/>
    </row>
    <row r="67" spans="1:53" ht="16" thickBot="1" x14ac:dyDescent="0.25">
      <c r="A67" s="25">
        <v>51</v>
      </c>
      <c r="B67" s="26">
        <v>45546</v>
      </c>
      <c r="C67" s="27"/>
      <c r="D67" s="25"/>
      <c r="E67" s="28"/>
      <c r="F67" s="27"/>
      <c r="G67" s="28"/>
      <c r="H67" s="27"/>
      <c r="I67" s="28"/>
      <c r="J67" s="27">
        <v>8</v>
      </c>
      <c r="K67" s="29" t="s">
        <v>35</v>
      </c>
      <c r="L67" s="88" t="s">
        <v>348</v>
      </c>
      <c r="M67" s="31"/>
      <c r="N67" s="27"/>
      <c r="P67" s="46"/>
      <c r="Q67" s="27"/>
      <c r="R67" s="27"/>
      <c r="S67" s="27"/>
      <c r="T67" s="28"/>
      <c r="U67" s="27"/>
      <c r="V67" s="27" t="s">
        <v>154</v>
      </c>
      <c r="W67" s="28"/>
      <c r="X67" s="33"/>
      <c r="Y67" s="32"/>
      <c r="Z67" s="25"/>
      <c r="AA67" s="27"/>
      <c r="AB67" s="28"/>
      <c r="AC67" s="27"/>
      <c r="AD67" s="27"/>
      <c r="AE67" s="33"/>
      <c r="AG67" s="25"/>
      <c r="AH67" s="34"/>
      <c r="AI67" s="27"/>
      <c r="AJ67" s="27"/>
      <c r="AK67" s="27"/>
      <c r="AL67" s="25"/>
      <c r="AM67" s="34"/>
      <c r="AN67" s="27"/>
      <c r="AO67" s="27"/>
      <c r="AP67" s="36"/>
      <c r="AQ67" s="37"/>
      <c r="AR67" s="32"/>
      <c r="AS67" s="25" t="s">
        <v>86</v>
      </c>
      <c r="AT67" s="27" t="s">
        <v>87</v>
      </c>
      <c r="AU67" s="27"/>
      <c r="AW67" s="27" t="s">
        <v>325</v>
      </c>
      <c r="AX67" s="27" t="s">
        <v>303</v>
      </c>
      <c r="AY67" s="27"/>
      <c r="AZ67" s="32"/>
      <c r="BA67" s="41"/>
    </row>
    <row r="68" spans="1:53" ht="16" thickBot="1" x14ac:dyDescent="0.25">
      <c r="A68" s="25">
        <v>52</v>
      </c>
      <c r="B68" s="26">
        <v>45547</v>
      </c>
      <c r="C68" s="27"/>
      <c r="D68" s="25"/>
      <c r="E68" s="28"/>
      <c r="F68" s="27"/>
      <c r="G68" s="28"/>
      <c r="H68" s="27"/>
      <c r="I68" s="28"/>
      <c r="J68" s="27">
        <v>8</v>
      </c>
      <c r="K68" s="29" t="s">
        <v>35</v>
      </c>
      <c r="L68" s="39"/>
      <c r="M68" s="31"/>
      <c r="N68" s="27"/>
      <c r="P68" s="32"/>
      <c r="Q68" s="25"/>
      <c r="R68" s="27"/>
      <c r="S68" s="27"/>
      <c r="T68" s="28"/>
      <c r="U68" s="27"/>
      <c r="V68" s="27" t="s">
        <v>154</v>
      </c>
      <c r="W68" s="28"/>
      <c r="X68" s="33"/>
      <c r="Y68" s="32"/>
      <c r="Z68" s="25"/>
      <c r="AA68" s="27"/>
      <c r="AB68" s="28"/>
      <c r="AC68" s="27"/>
      <c r="AD68" s="27"/>
      <c r="AE68" s="33"/>
      <c r="AG68" s="25"/>
      <c r="AH68" s="34"/>
      <c r="AI68" s="27"/>
      <c r="AJ68" s="27"/>
      <c r="AK68" s="27"/>
      <c r="AL68" s="25"/>
      <c r="AM68" s="34"/>
      <c r="AN68" s="27"/>
      <c r="AO68" s="27"/>
      <c r="AP68" s="36"/>
      <c r="AQ68" s="37"/>
      <c r="AR68" s="32"/>
      <c r="AS68" s="25" t="s">
        <v>86</v>
      </c>
      <c r="AT68" s="27" t="s">
        <v>87</v>
      </c>
      <c r="AW68" s="27" t="s">
        <v>325</v>
      </c>
      <c r="AX68" s="27" t="s">
        <v>303</v>
      </c>
      <c r="AY68" s="27"/>
      <c r="AZ68" s="32"/>
      <c r="BA68" s="41"/>
    </row>
    <row r="69" spans="1:53" ht="16" thickBot="1" x14ac:dyDescent="0.25">
      <c r="A69" s="25">
        <v>53</v>
      </c>
      <c r="B69" s="26">
        <v>45548</v>
      </c>
      <c r="C69" s="27"/>
      <c r="D69" s="25"/>
      <c r="E69" s="28"/>
      <c r="F69" s="27"/>
      <c r="G69" s="28"/>
      <c r="H69" s="27"/>
      <c r="I69" s="28"/>
      <c r="J69" s="27">
        <v>8</v>
      </c>
      <c r="K69" s="29" t="s">
        <v>35</v>
      </c>
      <c r="L69" s="39"/>
      <c r="M69" s="31"/>
      <c r="N69" s="27"/>
      <c r="P69" s="32"/>
      <c r="Q69" s="25"/>
      <c r="R69" s="27"/>
      <c r="S69" s="27"/>
      <c r="T69" s="28"/>
      <c r="U69" s="27"/>
      <c r="V69" s="27" t="s">
        <v>154</v>
      </c>
      <c r="W69" s="28"/>
      <c r="X69" s="33"/>
      <c r="Y69" s="32"/>
      <c r="Z69" s="25"/>
      <c r="AA69" s="27"/>
      <c r="AB69" s="28"/>
      <c r="AC69" s="27"/>
      <c r="AD69" s="27"/>
      <c r="AE69" s="33"/>
      <c r="AG69" s="25"/>
      <c r="AH69" s="34"/>
      <c r="AI69" s="27"/>
      <c r="AJ69" s="27"/>
      <c r="AK69" s="27"/>
      <c r="AL69" s="25"/>
      <c r="AM69" s="34"/>
      <c r="AN69" s="27"/>
      <c r="AO69" s="27"/>
      <c r="AP69" s="36"/>
      <c r="AQ69" s="37"/>
      <c r="AR69" s="32"/>
      <c r="AS69" s="25" t="s">
        <v>86</v>
      </c>
      <c r="AT69" s="27" t="s">
        <v>87</v>
      </c>
      <c r="AU69" s="27"/>
      <c r="AW69" s="25" t="s">
        <v>341</v>
      </c>
      <c r="AX69" s="27" t="s">
        <v>91</v>
      </c>
      <c r="AY69" s="89" t="s">
        <v>92</v>
      </c>
      <c r="AZ69" s="32"/>
      <c r="BA69" s="41"/>
    </row>
    <row r="70" spans="1:53" ht="16" thickBot="1" x14ac:dyDescent="0.25">
      <c r="A70" s="25">
        <v>54</v>
      </c>
      <c r="B70" s="26">
        <v>45549</v>
      </c>
      <c r="C70" s="27"/>
      <c r="D70" s="25"/>
      <c r="E70" s="28"/>
      <c r="F70" s="27"/>
      <c r="G70" s="28"/>
      <c r="H70" s="27"/>
      <c r="I70" s="28"/>
      <c r="J70" s="27">
        <v>8</v>
      </c>
      <c r="K70" s="29" t="s">
        <v>35</v>
      </c>
      <c r="L70" s="39"/>
      <c r="M70" s="31"/>
      <c r="N70" s="27"/>
      <c r="P70" s="32"/>
      <c r="Q70" s="25"/>
      <c r="R70" s="27"/>
      <c r="S70" s="27"/>
      <c r="T70" s="28"/>
      <c r="U70" s="27"/>
      <c r="V70" s="27" t="s">
        <v>154</v>
      </c>
      <c r="W70" s="28"/>
      <c r="X70" s="33"/>
      <c r="Y70" s="32"/>
      <c r="Z70" s="25"/>
      <c r="AA70" s="27"/>
      <c r="AB70" s="28"/>
      <c r="AC70" s="27"/>
      <c r="AD70" s="27"/>
      <c r="AE70" s="33"/>
      <c r="AG70" s="25"/>
      <c r="AH70" s="34"/>
      <c r="AI70" s="27"/>
      <c r="AJ70" s="27"/>
      <c r="AK70" s="27"/>
      <c r="AL70" s="25"/>
      <c r="AM70" s="34"/>
      <c r="AN70" s="27"/>
      <c r="AO70" s="27"/>
      <c r="AP70" s="36"/>
      <c r="AQ70" s="37"/>
      <c r="AR70" s="32"/>
      <c r="AS70" s="25" t="s">
        <v>86</v>
      </c>
      <c r="AT70" s="27" t="s">
        <v>87</v>
      </c>
      <c r="AU70" s="27"/>
      <c r="AW70" s="25" t="s">
        <v>341</v>
      </c>
      <c r="AX70" s="27" t="s">
        <v>91</v>
      </c>
      <c r="AY70" s="27"/>
      <c r="AZ70" s="32"/>
      <c r="BA70" s="41"/>
    </row>
    <row r="71" spans="1:53" ht="16" thickBot="1" x14ac:dyDescent="0.25">
      <c r="A71" s="25">
        <v>55</v>
      </c>
      <c r="B71" s="26">
        <v>45550</v>
      </c>
      <c r="C71" s="27"/>
      <c r="D71" s="25"/>
      <c r="E71" s="28"/>
      <c r="F71" s="27"/>
      <c r="G71" s="28"/>
      <c r="H71" s="27"/>
      <c r="I71" s="28"/>
      <c r="J71" s="27">
        <v>8</v>
      </c>
      <c r="K71" s="29" t="s">
        <v>35</v>
      </c>
      <c r="L71" s="39"/>
      <c r="M71" s="31"/>
      <c r="N71" s="27"/>
      <c r="P71" s="32"/>
      <c r="Q71" s="25"/>
      <c r="R71" s="27"/>
      <c r="S71" s="27"/>
      <c r="T71" s="28"/>
      <c r="U71" s="27"/>
      <c r="V71" s="27" t="s">
        <v>154</v>
      </c>
      <c r="W71" s="28"/>
      <c r="X71" s="33"/>
      <c r="Y71" s="32"/>
      <c r="Z71" s="25"/>
      <c r="AA71" s="27"/>
      <c r="AB71" s="28"/>
      <c r="AC71" s="27"/>
      <c r="AD71" s="27"/>
      <c r="AE71" s="33"/>
      <c r="AG71" s="25"/>
      <c r="AH71" s="34"/>
      <c r="AI71" s="27"/>
      <c r="AJ71" s="27"/>
      <c r="AK71" s="27"/>
      <c r="AL71" s="25"/>
      <c r="AM71" s="34"/>
      <c r="AN71" s="27"/>
      <c r="AO71" s="27"/>
      <c r="AP71" s="36"/>
      <c r="AQ71" s="82"/>
      <c r="AR71" s="32"/>
      <c r="AS71" s="25" t="s">
        <v>86</v>
      </c>
      <c r="AT71" s="27" t="s">
        <v>87</v>
      </c>
      <c r="AW71" s="25" t="s">
        <v>341</v>
      </c>
      <c r="AX71" s="27" t="s">
        <v>91</v>
      </c>
      <c r="AY71" s="27"/>
      <c r="AZ71" s="32"/>
      <c r="BA71" s="41"/>
    </row>
    <row r="72" spans="1:53" x14ac:dyDescent="0.2">
      <c r="A72" s="25">
        <v>56</v>
      </c>
      <c r="B72" s="26">
        <v>45551</v>
      </c>
      <c r="C72" s="27"/>
      <c r="D72" s="25"/>
      <c r="E72" s="28"/>
      <c r="F72" s="27"/>
      <c r="G72" s="28"/>
      <c r="H72" s="27"/>
      <c r="I72" s="28"/>
      <c r="J72" s="27">
        <v>8</v>
      </c>
      <c r="K72" s="29" t="s">
        <v>35</v>
      </c>
      <c r="L72" s="39"/>
      <c r="M72" s="31"/>
      <c r="N72" s="27"/>
      <c r="P72" s="32"/>
      <c r="Q72" s="25"/>
      <c r="R72" s="27"/>
      <c r="S72" s="27"/>
      <c r="T72" s="28"/>
      <c r="U72" s="27"/>
      <c r="V72" s="27" t="s">
        <v>154</v>
      </c>
      <c r="W72" s="28"/>
      <c r="X72" s="33"/>
      <c r="Y72" s="32"/>
      <c r="Z72" s="25"/>
      <c r="AA72" s="27"/>
      <c r="AB72" s="28"/>
      <c r="AC72" s="27"/>
      <c r="AD72" s="27"/>
      <c r="AE72" s="33"/>
      <c r="AG72" s="25"/>
      <c r="AH72" s="34"/>
      <c r="AI72" s="27"/>
      <c r="AJ72" s="27"/>
      <c r="AK72" s="27"/>
      <c r="AL72" s="25"/>
      <c r="AM72" s="34"/>
      <c r="AN72" s="27"/>
      <c r="AO72" s="27"/>
      <c r="AP72" s="36"/>
      <c r="AQ72" s="37"/>
      <c r="AR72" s="32"/>
      <c r="AS72" s="25" t="s">
        <v>86</v>
      </c>
      <c r="AT72" s="27" t="s">
        <v>87</v>
      </c>
      <c r="AU72" s="27"/>
      <c r="AW72" s="25" t="s">
        <v>341</v>
      </c>
      <c r="AX72" s="27" t="s">
        <v>91</v>
      </c>
      <c r="AY72" s="27"/>
      <c r="AZ72" s="32"/>
      <c r="BA72" s="41"/>
    </row>
    <row r="73" spans="1:53" ht="16" thickBot="1" x14ac:dyDescent="0.25">
      <c r="A73" s="25">
        <v>57</v>
      </c>
      <c r="B73" s="26">
        <v>45552</v>
      </c>
      <c r="C73" s="27"/>
      <c r="D73" s="25"/>
      <c r="E73" s="28"/>
      <c r="F73" s="27"/>
      <c r="G73" s="28"/>
      <c r="H73" s="27"/>
      <c r="I73" s="28"/>
      <c r="J73" s="27">
        <v>8</v>
      </c>
      <c r="K73" s="29" t="s">
        <v>35</v>
      </c>
      <c r="L73" s="39"/>
      <c r="M73" s="31"/>
      <c r="N73" s="27"/>
      <c r="P73" s="32"/>
      <c r="Q73" s="25"/>
      <c r="R73" s="27"/>
      <c r="S73" s="27"/>
      <c r="T73" s="28"/>
      <c r="U73" s="27"/>
      <c r="V73" s="27" t="s">
        <v>154</v>
      </c>
      <c r="W73" s="28"/>
      <c r="X73" s="33"/>
      <c r="Y73" s="32"/>
      <c r="Z73" s="25"/>
      <c r="AA73" s="27"/>
      <c r="AB73" s="28"/>
      <c r="AC73" s="27"/>
      <c r="AD73" s="27"/>
      <c r="AE73" s="33"/>
      <c r="AG73" s="25"/>
      <c r="AH73" s="34"/>
      <c r="AI73" s="27"/>
      <c r="AJ73" s="27"/>
      <c r="AK73" s="27"/>
      <c r="AL73" s="25"/>
      <c r="AM73" s="34"/>
      <c r="AN73" s="27"/>
      <c r="AO73" s="27"/>
      <c r="AP73" s="36"/>
      <c r="AQ73" s="37"/>
      <c r="AR73" s="32"/>
      <c r="AS73" s="25" t="s">
        <v>86</v>
      </c>
      <c r="AT73" s="27" t="s">
        <v>87</v>
      </c>
      <c r="AU73" s="27"/>
      <c r="AW73" s="25" t="s">
        <v>341</v>
      </c>
      <c r="AX73" s="27" t="s">
        <v>91</v>
      </c>
      <c r="AY73" s="27"/>
      <c r="AZ73" s="32"/>
      <c r="BA73" s="41"/>
    </row>
    <row r="74" spans="1:53" ht="16" thickBot="1" x14ac:dyDescent="0.25">
      <c r="A74" s="25">
        <v>58</v>
      </c>
      <c r="B74" s="26">
        <v>45553</v>
      </c>
      <c r="C74" s="27"/>
      <c r="D74" s="25"/>
      <c r="E74" s="28"/>
      <c r="F74" s="27"/>
      <c r="G74" s="28"/>
      <c r="H74" s="27"/>
      <c r="I74" s="28"/>
      <c r="J74" s="27">
        <v>8</v>
      </c>
      <c r="K74" s="29" t="s">
        <v>35</v>
      </c>
      <c r="L74" s="39"/>
      <c r="M74" s="31"/>
      <c r="N74" s="27"/>
      <c r="P74" s="32"/>
      <c r="Q74" s="25"/>
      <c r="R74" s="27"/>
      <c r="S74" s="27"/>
      <c r="T74" s="28"/>
      <c r="U74" s="27"/>
      <c r="V74" s="27" t="s">
        <v>154</v>
      </c>
      <c r="W74" s="28"/>
      <c r="X74" s="33"/>
      <c r="Y74" s="32"/>
      <c r="Z74" s="25"/>
      <c r="AA74" s="27"/>
      <c r="AB74" s="28"/>
      <c r="AC74" s="27"/>
      <c r="AD74" s="27"/>
      <c r="AE74" s="33"/>
      <c r="AG74" s="25"/>
      <c r="AH74" s="34"/>
      <c r="AI74" s="27"/>
      <c r="AJ74" s="27"/>
      <c r="AK74" s="27"/>
      <c r="AL74" s="25"/>
      <c r="AM74" s="34"/>
      <c r="AN74" s="27"/>
      <c r="AO74" s="27"/>
      <c r="AP74" s="36"/>
      <c r="AQ74" s="37"/>
      <c r="AR74" s="32"/>
      <c r="AS74" s="25" t="s">
        <v>86</v>
      </c>
      <c r="AT74" s="27" t="s">
        <v>87</v>
      </c>
      <c r="AU74" s="27"/>
      <c r="AW74" s="25" t="s">
        <v>90</v>
      </c>
      <c r="AX74" s="27" t="s">
        <v>91</v>
      </c>
      <c r="AY74" s="89" t="s">
        <v>94</v>
      </c>
      <c r="AZ74" s="32"/>
      <c r="BA74" s="41"/>
    </row>
    <row r="75" spans="1:53" ht="16" thickBot="1" x14ac:dyDescent="0.25">
      <c r="A75" s="25">
        <v>59</v>
      </c>
      <c r="B75" s="26">
        <v>45554</v>
      </c>
      <c r="C75" s="27"/>
      <c r="D75" s="25"/>
      <c r="E75" s="28"/>
      <c r="F75" s="27"/>
      <c r="G75" s="28"/>
      <c r="H75" s="27"/>
      <c r="I75" s="28"/>
      <c r="J75" s="27">
        <v>8</v>
      </c>
      <c r="K75" s="29" t="s">
        <v>35</v>
      </c>
      <c r="L75" s="39"/>
      <c r="M75" s="31"/>
      <c r="N75" s="27"/>
      <c r="P75" s="32"/>
      <c r="Q75" s="25"/>
      <c r="R75" s="27"/>
      <c r="S75" s="27"/>
      <c r="T75" s="28"/>
      <c r="U75" s="27"/>
      <c r="V75" s="27" t="s">
        <v>154</v>
      </c>
      <c r="W75" s="28"/>
      <c r="X75" s="33"/>
      <c r="Y75" s="32"/>
      <c r="Z75" s="25"/>
      <c r="AA75" s="27"/>
      <c r="AB75" s="28"/>
      <c r="AC75" s="27"/>
      <c r="AD75" s="27"/>
      <c r="AE75" s="33"/>
      <c r="AG75" s="25"/>
      <c r="AH75" s="34"/>
      <c r="AI75" s="27"/>
      <c r="AJ75" s="27"/>
      <c r="AK75" s="27"/>
      <c r="AL75" s="25"/>
      <c r="AM75" s="34"/>
      <c r="AN75" s="27"/>
      <c r="AO75" s="27"/>
      <c r="AP75" s="36"/>
      <c r="AQ75" s="37"/>
      <c r="AR75" s="32"/>
      <c r="AS75" s="25" t="s">
        <v>86</v>
      </c>
      <c r="AT75" s="27" t="s">
        <v>87</v>
      </c>
      <c r="AU75" s="27"/>
      <c r="AW75" s="25" t="s">
        <v>90</v>
      </c>
      <c r="AX75" s="27" t="s">
        <v>95</v>
      </c>
      <c r="AY75" s="27"/>
      <c r="AZ75" s="32"/>
      <c r="BA75" s="41"/>
    </row>
    <row r="76" spans="1:53" ht="16" thickBot="1" x14ac:dyDescent="0.25">
      <c r="A76" s="25">
        <v>60</v>
      </c>
      <c r="B76" s="26">
        <v>45555</v>
      </c>
      <c r="C76" s="27"/>
      <c r="D76" s="25"/>
      <c r="E76" s="28"/>
      <c r="F76" s="27"/>
      <c r="G76" s="28"/>
      <c r="H76" s="27"/>
      <c r="I76" s="28"/>
      <c r="J76" s="27">
        <v>8</v>
      </c>
      <c r="K76" s="29" t="s">
        <v>35</v>
      </c>
      <c r="L76" s="39"/>
      <c r="M76" s="31"/>
      <c r="N76" s="27"/>
      <c r="P76" s="32"/>
      <c r="Q76" s="25"/>
      <c r="R76" s="27"/>
      <c r="S76" s="27"/>
      <c r="T76" s="28"/>
      <c r="U76" s="27"/>
      <c r="V76" s="27" t="s">
        <v>154</v>
      </c>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58" t="s">
        <v>97</v>
      </c>
      <c r="AW76" s="25" t="s">
        <v>90</v>
      </c>
      <c r="AX76" s="27" t="s">
        <v>95</v>
      </c>
      <c r="AY76" s="27"/>
      <c r="AZ76" s="32"/>
      <c r="BA76" s="41"/>
    </row>
    <row r="77" spans="1:53" x14ac:dyDescent="0.2">
      <c r="A77" s="25">
        <v>61</v>
      </c>
      <c r="B77" s="26">
        <v>45556</v>
      </c>
      <c r="C77" s="27"/>
      <c r="D77" s="25"/>
      <c r="E77" s="28"/>
      <c r="F77" s="27"/>
      <c r="G77" s="28"/>
      <c r="H77" s="27"/>
      <c r="I77" s="28"/>
      <c r="J77" s="27">
        <v>8</v>
      </c>
      <c r="K77" s="29" t="s">
        <v>35</v>
      </c>
      <c r="L77" s="39"/>
      <c r="M77" s="31"/>
      <c r="N77" s="27"/>
      <c r="P77" s="32"/>
      <c r="Q77" s="25"/>
      <c r="R77" s="27"/>
      <c r="S77" s="27"/>
      <c r="T77" s="28"/>
      <c r="U77" s="27"/>
      <c r="V77" s="27" t="s">
        <v>154</v>
      </c>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62</v>
      </c>
      <c r="B78" s="26">
        <v>45557</v>
      </c>
      <c r="C78" s="27"/>
      <c r="D78" s="25"/>
      <c r="E78" s="28"/>
      <c r="F78" s="27"/>
      <c r="G78" s="28"/>
      <c r="H78" s="27"/>
      <c r="I78" s="28"/>
      <c r="J78" s="27">
        <v>8</v>
      </c>
      <c r="K78" s="29" t="s">
        <v>35</v>
      </c>
      <c r="L78" s="39"/>
      <c r="M78" s="31"/>
      <c r="N78" s="27"/>
      <c r="P78" s="32"/>
      <c r="Q78" s="25"/>
      <c r="R78" s="27"/>
      <c r="S78" s="27"/>
      <c r="T78" s="28"/>
      <c r="U78" s="27"/>
      <c r="V78" s="27" t="s">
        <v>154</v>
      </c>
      <c r="W78" s="28"/>
      <c r="X78" s="33"/>
      <c r="Y78" s="32"/>
      <c r="Z78" s="25"/>
      <c r="AA78" s="27"/>
      <c r="AB78" s="28"/>
      <c r="AC78" s="27"/>
      <c r="AD78" s="27"/>
      <c r="AE78" s="33"/>
      <c r="AG78" s="25"/>
      <c r="AH78" s="34"/>
      <c r="AI78" s="27"/>
      <c r="AJ78" s="27"/>
      <c r="AK78" s="27"/>
      <c r="AL78" s="25"/>
      <c r="AM78" s="34"/>
      <c r="AN78" s="27"/>
      <c r="AO78" s="27"/>
      <c r="AP78" s="36"/>
      <c r="AQ78" s="37"/>
      <c r="AR78" s="32"/>
      <c r="AS78" s="25" t="s">
        <v>96</v>
      </c>
      <c r="AT78" s="27" t="s">
        <v>87</v>
      </c>
      <c r="AU78" s="27"/>
      <c r="AW78" s="25" t="s">
        <v>90</v>
      </c>
      <c r="AX78" s="27" t="s">
        <v>95</v>
      </c>
      <c r="AY78" s="27"/>
      <c r="AZ78" s="32"/>
      <c r="BA78" s="41"/>
    </row>
    <row r="79" spans="1:53" x14ac:dyDescent="0.2">
      <c r="A79" s="25">
        <v>63</v>
      </c>
      <c r="B79" s="26">
        <v>45558</v>
      </c>
      <c r="C79" s="27"/>
      <c r="D79" s="25"/>
      <c r="E79" s="28"/>
      <c r="F79" s="27"/>
      <c r="G79" s="28"/>
      <c r="H79" s="27"/>
      <c r="I79" s="28"/>
      <c r="J79" s="27">
        <v>8</v>
      </c>
      <c r="K79" s="29" t="s">
        <v>35</v>
      </c>
      <c r="L79" s="39"/>
      <c r="M79" s="31"/>
      <c r="N79" s="27"/>
      <c r="P79" s="32"/>
      <c r="Q79" s="25"/>
      <c r="R79" s="27"/>
      <c r="S79" s="27"/>
      <c r="T79" s="28"/>
      <c r="U79" s="27"/>
      <c r="V79" s="27" t="s">
        <v>154</v>
      </c>
      <c r="W79" s="28"/>
      <c r="X79" s="33"/>
      <c r="Y79" s="32"/>
      <c r="Z79" s="25"/>
      <c r="AA79" s="27"/>
      <c r="AB79" s="28"/>
      <c r="AC79" s="27"/>
      <c r="AD79" s="27"/>
      <c r="AE79" s="33"/>
      <c r="AG79" s="25"/>
      <c r="AH79" s="34"/>
      <c r="AI79" s="27"/>
      <c r="AJ79" s="27"/>
      <c r="AK79" s="27"/>
      <c r="AL79" s="25"/>
      <c r="AM79" s="34"/>
      <c r="AN79" s="27"/>
      <c r="AO79" s="27"/>
      <c r="AP79" s="36"/>
      <c r="AQ79" s="37"/>
      <c r="AR79" s="32"/>
      <c r="AS79" s="25" t="s">
        <v>96</v>
      </c>
      <c r="AT79" s="27" t="s">
        <v>87</v>
      </c>
      <c r="AU79" s="27"/>
      <c r="AW79" s="25" t="s">
        <v>90</v>
      </c>
      <c r="AX79" s="27" t="s">
        <v>95</v>
      </c>
      <c r="AY79" s="27"/>
      <c r="AZ79" s="32"/>
      <c r="BA79" s="41"/>
    </row>
    <row r="80" spans="1:53" x14ac:dyDescent="0.2">
      <c r="A80" s="25">
        <v>64</v>
      </c>
      <c r="B80" s="26">
        <v>45559</v>
      </c>
      <c r="C80" s="27"/>
      <c r="D80" s="25"/>
      <c r="E80" s="28"/>
      <c r="F80" s="27"/>
      <c r="G80" s="28"/>
      <c r="H80" s="27"/>
      <c r="I80" s="28"/>
      <c r="J80" s="27">
        <v>8</v>
      </c>
      <c r="K80" s="29" t="s">
        <v>35</v>
      </c>
      <c r="L80" s="39"/>
      <c r="M80" s="31"/>
      <c r="N80" s="27"/>
      <c r="P80" s="32"/>
      <c r="Q80" s="25"/>
      <c r="R80" s="27"/>
      <c r="S80" s="27"/>
      <c r="T80" s="28"/>
      <c r="U80" s="27"/>
      <c r="V80" s="27" t="s">
        <v>154</v>
      </c>
      <c r="W80" s="28"/>
      <c r="X80" s="33"/>
      <c r="Y80" s="32"/>
      <c r="Z80" s="25"/>
      <c r="AA80" s="27"/>
      <c r="AB80" s="28"/>
      <c r="AC80" s="27"/>
      <c r="AD80" s="27"/>
      <c r="AE80" s="33"/>
      <c r="AG80" s="25"/>
      <c r="AH80" s="34"/>
      <c r="AI80" s="27"/>
      <c r="AJ80" s="27"/>
      <c r="AK80" s="27"/>
      <c r="AL80" s="25"/>
      <c r="AM80" s="34"/>
      <c r="AN80" s="27"/>
      <c r="AO80" s="27"/>
      <c r="AP80" s="36"/>
      <c r="AQ80" s="37"/>
      <c r="AR80" s="32"/>
      <c r="AS80" s="25" t="s">
        <v>96</v>
      </c>
      <c r="AT80" s="27" t="s">
        <v>87</v>
      </c>
      <c r="AU80" s="27"/>
      <c r="AW80" s="25" t="s">
        <v>90</v>
      </c>
      <c r="AX80" s="27" t="s">
        <v>95</v>
      </c>
      <c r="AY80" s="27"/>
      <c r="AZ80" s="32"/>
      <c r="BA80" s="41"/>
    </row>
    <row r="81" spans="1:53" x14ac:dyDescent="0.2">
      <c r="A81" s="25">
        <v>65</v>
      </c>
      <c r="B81" s="26">
        <v>45560</v>
      </c>
      <c r="C81" s="27"/>
      <c r="D81" s="25"/>
      <c r="E81" s="28"/>
      <c r="F81" s="27"/>
      <c r="G81" s="28"/>
      <c r="H81" s="27"/>
      <c r="I81" s="28"/>
      <c r="J81" s="27">
        <v>8</v>
      </c>
      <c r="K81" s="29" t="s">
        <v>35</v>
      </c>
      <c r="L81" s="39"/>
      <c r="M81" s="31"/>
      <c r="N81" s="27"/>
      <c r="P81" s="32"/>
      <c r="Q81" s="25"/>
      <c r="R81" s="27"/>
      <c r="S81" s="27"/>
      <c r="T81" s="28"/>
      <c r="U81" s="27"/>
      <c r="V81" s="27" t="s">
        <v>154</v>
      </c>
      <c r="W81" s="28"/>
      <c r="X81" s="33"/>
      <c r="Y81" s="32"/>
      <c r="Z81" s="25"/>
      <c r="AA81" s="27"/>
      <c r="AB81" s="28"/>
      <c r="AC81" s="27"/>
      <c r="AD81" s="27"/>
      <c r="AE81" s="33"/>
      <c r="AG81" s="25"/>
      <c r="AH81" s="34"/>
      <c r="AI81" s="27"/>
      <c r="AJ81" s="27"/>
      <c r="AK81" s="27"/>
      <c r="AL81" s="25"/>
      <c r="AM81" s="34"/>
      <c r="AN81" s="27"/>
      <c r="AO81" s="27"/>
      <c r="AP81" s="36"/>
      <c r="AQ81" s="37"/>
      <c r="AR81" s="32"/>
      <c r="AS81" s="25" t="s">
        <v>96</v>
      </c>
      <c r="AT81" s="27" t="s">
        <v>87</v>
      </c>
      <c r="AU81" s="27"/>
      <c r="AW81" s="25" t="s">
        <v>90</v>
      </c>
      <c r="AX81" s="27" t="s">
        <v>95</v>
      </c>
      <c r="AY81" s="27"/>
      <c r="AZ81" s="32"/>
      <c r="BA81" s="41"/>
    </row>
    <row r="82" spans="1:53" x14ac:dyDescent="0.2">
      <c r="A82" s="25">
        <v>66</v>
      </c>
      <c r="B82" s="26">
        <v>45561</v>
      </c>
      <c r="C82" s="27"/>
      <c r="D82" s="25"/>
      <c r="E82" s="28"/>
      <c r="F82" s="27"/>
      <c r="G82" s="28"/>
      <c r="H82" s="27"/>
      <c r="I82" s="28"/>
      <c r="J82" s="27">
        <v>8</v>
      </c>
      <c r="K82" s="29" t="s">
        <v>35</v>
      </c>
      <c r="L82" s="39"/>
      <c r="M82" s="31"/>
      <c r="N82" s="27"/>
      <c r="P82" s="32"/>
      <c r="Q82" s="25"/>
      <c r="R82" s="27"/>
      <c r="S82" s="27"/>
      <c r="T82" s="28"/>
      <c r="U82" s="27"/>
      <c r="V82" s="27" t="s">
        <v>154</v>
      </c>
      <c r="W82" s="28"/>
      <c r="X82" s="33"/>
      <c r="Y82" s="32"/>
      <c r="Z82" s="25"/>
      <c r="AA82" s="27"/>
      <c r="AB82" s="28"/>
      <c r="AC82" s="27"/>
      <c r="AD82" s="27"/>
      <c r="AE82" s="33"/>
      <c r="AG82" s="25"/>
      <c r="AH82" s="34"/>
      <c r="AI82" s="27"/>
      <c r="AJ82" s="27"/>
      <c r="AK82" s="27"/>
      <c r="AL82" s="25"/>
      <c r="AM82" s="34"/>
      <c r="AN82" s="27"/>
      <c r="AO82" s="27"/>
      <c r="AP82" s="36"/>
      <c r="AQ82" s="37"/>
      <c r="AR82" s="32"/>
      <c r="AS82" s="25" t="s">
        <v>96</v>
      </c>
      <c r="AT82" s="27" t="s">
        <v>87</v>
      </c>
      <c r="AU82" s="27"/>
      <c r="AW82" s="25" t="s">
        <v>90</v>
      </c>
      <c r="AX82" s="27" t="s">
        <v>95</v>
      </c>
      <c r="AY82" s="27"/>
      <c r="AZ82" s="32"/>
      <c r="BA82" s="41"/>
    </row>
    <row r="83" spans="1:53" x14ac:dyDescent="0.2">
      <c r="A83" s="25">
        <v>67</v>
      </c>
      <c r="B83" s="26">
        <v>45562</v>
      </c>
      <c r="C83" s="27"/>
      <c r="D83" s="25"/>
      <c r="E83" s="28"/>
      <c r="F83" s="27"/>
      <c r="G83" s="28"/>
      <c r="H83" s="27"/>
      <c r="I83" s="28"/>
      <c r="J83" s="27">
        <v>8</v>
      </c>
      <c r="K83" s="29" t="s">
        <v>35</v>
      </c>
      <c r="L83" s="39"/>
      <c r="M83" s="31"/>
      <c r="N83" s="27"/>
      <c r="P83" s="32"/>
      <c r="Q83" s="25"/>
      <c r="R83" s="27"/>
      <c r="S83" s="27"/>
      <c r="T83" s="28"/>
      <c r="U83" s="27"/>
      <c r="V83" s="27" t="s">
        <v>154</v>
      </c>
      <c r="W83" s="28"/>
      <c r="X83" s="33"/>
      <c r="Y83" s="32"/>
      <c r="Z83" s="25"/>
      <c r="AA83" s="27"/>
      <c r="AB83" s="28"/>
      <c r="AC83" s="27"/>
      <c r="AD83" s="27"/>
      <c r="AE83" s="33"/>
      <c r="AG83" s="25"/>
      <c r="AH83" s="34"/>
      <c r="AI83" s="27"/>
      <c r="AJ83" s="27"/>
      <c r="AK83" s="27"/>
      <c r="AL83" s="25"/>
      <c r="AM83" s="34"/>
      <c r="AN83" s="27"/>
      <c r="AO83" s="27"/>
      <c r="AP83" s="36"/>
      <c r="AQ83" s="37"/>
      <c r="AR83" s="32"/>
      <c r="AS83" s="25" t="s">
        <v>96</v>
      </c>
      <c r="AT83" s="27" t="s">
        <v>87</v>
      </c>
      <c r="AU83" s="27"/>
      <c r="AW83" s="25" t="s">
        <v>90</v>
      </c>
      <c r="AX83" s="27" t="s">
        <v>95</v>
      </c>
      <c r="AY83" s="27"/>
      <c r="AZ83" s="32"/>
      <c r="BA83" s="41"/>
    </row>
    <row r="84" spans="1:53" x14ac:dyDescent="0.2">
      <c r="A84" s="25">
        <v>68</v>
      </c>
      <c r="B84" s="26">
        <v>45563</v>
      </c>
      <c r="C84" s="27"/>
      <c r="D84" s="25"/>
      <c r="E84" s="28"/>
      <c r="F84" s="27"/>
      <c r="G84" s="28"/>
      <c r="H84" s="27"/>
      <c r="I84" s="28"/>
      <c r="J84" s="27">
        <v>8</v>
      </c>
      <c r="K84" s="29" t="s">
        <v>35</v>
      </c>
      <c r="L84" s="39"/>
      <c r="M84" s="31"/>
      <c r="N84" s="27"/>
      <c r="P84" s="32"/>
      <c r="Q84" s="25"/>
      <c r="R84" s="27"/>
      <c r="S84" s="27"/>
      <c r="T84" s="28"/>
      <c r="U84" s="27"/>
      <c r="V84" s="27"/>
      <c r="W84" s="28"/>
      <c r="X84" s="33"/>
      <c r="Y84" s="32"/>
      <c r="Z84" s="25"/>
      <c r="AA84" s="27"/>
      <c r="AB84" s="28"/>
      <c r="AC84" s="27"/>
      <c r="AD84" s="27"/>
      <c r="AE84" s="33"/>
      <c r="AG84" s="25"/>
      <c r="AH84" s="34"/>
      <c r="AI84" s="27"/>
      <c r="AJ84" s="27"/>
      <c r="AK84" s="27"/>
      <c r="AL84" s="25"/>
      <c r="AM84" s="34"/>
      <c r="AN84" s="27"/>
      <c r="AO84" s="27"/>
      <c r="AP84" s="36"/>
      <c r="AQ84" s="37"/>
      <c r="AR84" s="32"/>
      <c r="AS84" s="25" t="s">
        <v>96</v>
      </c>
      <c r="AT84" s="27" t="s">
        <v>87</v>
      </c>
      <c r="AU84" s="27"/>
      <c r="AW84" s="25" t="s">
        <v>90</v>
      </c>
      <c r="AX84" s="27" t="s">
        <v>95</v>
      </c>
      <c r="AY84" s="27"/>
      <c r="AZ84" s="32"/>
      <c r="BA84" s="41"/>
    </row>
    <row r="85" spans="1:53" x14ac:dyDescent="0.2">
      <c r="A85" s="25">
        <v>69</v>
      </c>
      <c r="B85" s="26">
        <v>45564</v>
      </c>
      <c r="C85" s="27"/>
      <c r="D85" s="25"/>
      <c r="E85" s="28"/>
      <c r="F85" s="27"/>
      <c r="G85" s="28"/>
      <c r="H85" s="27"/>
      <c r="I85" s="28"/>
      <c r="J85" s="27">
        <v>8</v>
      </c>
      <c r="K85" s="29" t="s">
        <v>35</v>
      </c>
      <c r="L85" s="39"/>
      <c r="M85" s="31"/>
      <c r="N85" s="27"/>
      <c r="P85" s="32"/>
      <c r="Q85" s="25"/>
      <c r="R85" s="27"/>
      <c r="S85" s="27"/>
      <c r="T85" s="28"/>
      <c r="U85" s="27"/>
      <c r="V85" s="27"/>
      <c r="W85" s="28"/>
      <c r="X85" s="33"/>
      <c r="Y85" s="32"/>
      <c r="Z85" s="25"/>
      <c r="AA85" s="27"/>
      <c r="AB85" s="28"/>
      <c r="AC85" s="27"/>
      <c r="AD85" s="27"/>
      <c r="AE85" s="33"/>
      <c r="AG85" s="25"/>
      <c r="AH85" s="34"/>
      <c r="AI85" s="27"/>
      <c r="AJ85" s="27"/>
      <c r="AK85" s="27"/>
      <c r="AL85" s="25"/>
      <c r="AM85" s="34"/>
      <c r="AN85" s="27"/>
      <c r="AO85" s="27"/>
      <c r="AP85" s="36"/>
      <c r="AQ85" s="37"/>
      <c r="AR85" s="32"/>
      <c r="AS85" s="25" t="s">
        <v>96</v>
      </c>
      <c r="AT85" s="27" t="s">
        <v>87</v>
      </c>
      <c r="AU85" s="27"/>
      <c r="AW85" s="25" t="s">
        <v>90</v>
      </c>
      <c r="AX85" s="27" t="s">
        <v>95</v>
      </c>
      <c r="AY85" s="27"/>
      <c r="AZ85" s="32"/>
      <c r="BA85" s="41"/>
    </row>
    <row r="86" spans="1:53" x14ac:dyDescent="0.2">
      <c r="A86" s="25">
        <v>70</v>
      </c>
      <c r="B86" s="26">
        <v>45565</v>
      </c>
      <c r="C86" s="27"/>
      <c r="D86" s="25"/>
      <c r="E86" s="28"/>
      <c r="F86" s="27"/>
      <c r="G86" s="28"/>
      <c r="H86" s="27"/>
      <c r="I86" s="28"/>
      <c r="J86" s="27">
        <v>8</v>
      </c>
      <c r="K86" s="29" t="s">
        <v>35</v>
      </c>
      <c r="L86" s="39"/>
      <c r="M86" s="31"/>
      <c r="N86" s="27"/>
      <c r="P86" s="32"/>
      <c r="Q86" s="25"/>
      <c r="R86" s="27"/>
      <c r="S86" s="27"/>
      <c r="T86" s="28"/>
      <c r="U86" s="27"/>
      <c r="V86" s="27"/>
      <c r="W86" s="28"/>
      <c r="X86" s="33"/>
      <c r="Y86" s="32"/>
      <c r="Z86" s="25"/>
      <c r="AA86" s="27"/>
      <c r="AB86" s="28"/>
      <c r="AC86" s="27"/>
      <c r="AD86" s="27"/>
      <c r="AE86" s="33"/>
      <c r="AG86" s="25"/>
      <c r="AH86" s="34"/>
      <c r="AI86" s="27"/>
      <c r="AJ86" s="27"/>
      <c r="AK86" s="27"/>
      <c r="AL86" s="25"/>
      <c r="AM86" s="34"/>
      <c r="AN86" s="27"/>
      <c r="AO86" s="27"/>
      <c r="AP86" s="36"/>
      <c r="AQ86" s="37"/>
      <c r="AR86" s="32"/>
      <c r="AS86" s="25" t="s">
        <v>96</v>
      </c>
      <c r="AT86" s="27" t="s">
        <v>87</v>
      </c>
      <c r="AU86" s="27"/>
      <c r="AW86" s="25" t="s">
        <v>90</v>
      </c>
      <c r="AX86" s="27" t="s">
        <v>95</v>
      </c>
      <c r="AY86" s="27"/>
      <c r="AZ86" s="32"/>
      <c r="BA86" s="41"/>
    </row>
    <row r="87" spans="1:53" x14ac:dyDescent="0.2">
      <c r="A87" s="25">
        <v>71</v>
      </c>
      <c r="B87" s="26">
        <v>45566</v>
      </c>
      <c r="C87" s="27"/>
      <c r="D87" s="25"/>
      <c r="E87" s="28"/>
      <c r="F87" s="27"/>
      <c r="G87" s="28"/>
      <c r="H87" s="27"/>
      <c r="I87" s="28"/>
      <c r="J87" s="27">
        <v>8</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S87" s="25" t="s">
        <v>96</v>
      </c>
      <c r="AT87" s="27" t="s">
        <v>87</v>
      </c>
      <c r="AU87" s="27"/>
      <c r="AW87" s="25" t="s">
        <v>90</v>
      </c>
      <c r="AX87" s="27" t="s">
        <v>95</v>
      </c>
      <c r="AY87" s="27"/>
      <c r="AZ87" s="32"/>
      <c r="BA87" s="41"/>
    </row>
    <row r="88" spans="1:53" x14ac:dyDescent="0.2">
      <c r="A88" s="25">
        <v>72</v>
      </c>
      <c r="B88" s="26">
        <v>45567</v>
      </c>
      <c r="C88" s="27"/>
      <c r="D88" s="25"/>
      <c r="E88" s="28"/>
      <c r="F88" s="27"/>
      <c r="G88" s="28"/>
      <c r="H88" s="27"/>
      <c r="I88" s="28"/>
      <c r="J88" s="27">
        <v>8</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S88" s="25" t="s">
        <v>96</v>
      </c>
      <c r="AT88" s="27" t="s">
        <v>87</v>
      </c>
      <c r="AU88" s="27"/>
      <c r="AW88" s="25" t="s">
        <v>90</v>
      </c>
      <c r="AX88" s="27" t="s">
        <v>95</v>
      </c>
      <c r="AY88" s="27"/>
      <c r="AZ88" s="32"/>
      <c r="BA88" s="41"/>
    </row>
    <row r="89" spans="1:53" x14ac:dyDescent="0.2">
      <c r="A89" s="25">
        <v>73</v>
      </c>
      <c r="B89" s="26">
        <v>45568</v>
      </c>
      <c r="C89" s="27"/>
      <c r="D89" s="25"/>
      <c r="E89" s="28"/>
      <c r="F89" s="27"/>
      <c r="G89" s="28"/>
      <c r="H89" s="27"/>
      <c r="I89" s="28"/>
      <c r="J89" s="27">
        <v>8</v>
      </c>
      <c r="K89" s="29" t="s">
        <v>35</v>
      </c>
      <c r="L89" s="173"/>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S89" s="25" t="s">
        <v>96</v>
      </c>
      <c r="AT89" s="27" t="s">
        <v>87</v>
      </c>
      <c r="AU89" s="27"/>
      <c r="AW89" s="25" t="s">
        <v>90</v>
      </c>
      <c r="AX89" s="27" t="s">
        <v>95</v>
      </c>
      <c r="AY89" s="27"/>
      <c r="AZ89" s="32"/>
      <c r="BA89" s="41"/>
    </row>
    <row r="90" spans="1:53" x14ac:dyDescent="0.2">
      <c r="A90" s="25">
        <v>74</v>
      </c>
      <c r="B90" s="26">
        <v>45569</v>
      </c>
      <c r="C90" s="27"/>
      <c r="D90" s="25"/>
      <c r="E90" s="28"/>
      <c r="F90" s="27"/>
      <c r="G90" s="28"/>
      <c r="H90" s="27"/>
      <c r="I90" s="28"/>
      <c r="J90" s="27">
        <v>8</v>
      </c>
      <c r="K90" s="29" t="s">
        <v>35</v>
      </c>
      <c r="L90" s="173"/>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S90" s="25" t="s">
        <v>96</v>
      </c>
      <c r="AT90" s="27" t="s">
        <v>87</v>
      </c>
      <c r="AU90" s="27"/>
      <c r="AW90" s="25" t="s">
        <v>90</v>
      </c>
      <c r="AX90" s="27" t="s">
        <v>95</v>
      </c>
      <c r="AY90" s="27"/>
      <c r="AZ90" s="32"/>
      <c r="BA90" s="41"/>
    </row>
    <row r="91" spans="1:53" x14ac:dyDescent="0.2">
      <c r="A91" s="25">
        <v>75</v>
      </c>
      <c r="B91" s="26">
        <v>45570</v>
      </c>
      <c r="C91" s="27"/>
      <c r="D91" s="25"/>
      <c r="E91" s="28"/>
      <c r="F91" s="27"/>
      <c r="G91" s="28"/>
      <c r="H91" s="27"/>
      <c r="I91" s="28"/>
      <c r="J91" s="27">
        <v>8</v>
      </c>
      <c r="K91" s="29" t="s">
        <v>35</v>
      </c>
      <c r="L91" s="173"/>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t="s">
        <v>96</v>
      </c>
      <c r="AT91" s="27" t="s">
        <v>87</v>
      </c>
      <c r="AU91" s="27"/>
      <c r="AW91" s="25" t="s">
        <v>90</v>
      </c>
      <c r="AX91" s="27" t="s">
        <v>95</v>
      </c>
      <c r="AY91" s="27"/>
      <c r="AZ91" s="32"/>
      <c r="BA91" s="41"/>
    </row>
    <row r="92" spans="1:53" x14ac:dyDescent="0.2">
      <c r="A92" s="25">
        <v>76</v>
      </c>
      <c r="B92" s="26">
        <v>45571</v>
      </c>
      <c r="C92" s="27"/>
      <c r="D92" s="25"/>
      <c r="E92" s="28"/>
      <c r="F92" s="27"/>
      <c r="G92" s="28"/>
      <c r="H92" s="27"/>
      <c r="I92" s="28"/>
      <c r="J92" s="27">
        <v>8</v>
      </c>
      <c r="K92" s="29" t="s">
        <v>35</v>
      </c>
      <c r="L92" s="173"/>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t="s">
        <v>96</v>
      </c>
      <c r="AT92" s="27" t="s">
        <v>87</v>
      </c>
      <c r="AU92" s="27"/>
      <c r="AW92" s="25" t="s">
        <v>90</v>
      </c>
      <c r="AX92" s="27" t="s">
        <v>95</v>
      </c>
      <c r="AY92" s="27"/>
      <c r="AZ92" s="32"/>
      <c r="BA92" s="41"/>
    </row>
    <row r="93" spans="1:53" x14ac:dyDescent="0.2">
      <c r="A93" s="25">
        <v>77</v>
      </c>
      <c r="B93" s="26">
        <v>45572</v>
      </c>
      <c r="C93" s="27"/>
      <c r="D93" s="25"/>
      <c r="E93" s="28"/>
      <c r="F93" s="27"/>
      <c r="G93" s="28"/>
      <c r="H93" s="27"/>
      <c r="I93" s="28"/>
      <c r="J93" s="27">
        <v>8</v>
      </c>
      <c r="K93" s="29" t="s">
        <v>35</v>
      </c>
      <c r="L93" s="173"/>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t="s">
        <v>96</v>
      </c>
      <c r="AT93" s="27" t="s">
        <v>87</v>
      </c>
      <c r="AU93" s="27"/>
      <c r="AW93" s="25" t="s">
        <v>90</v>
      </c>
      <c r="AX93" s="27" t="s">
        <v>95</v>
      </c>
      <c r="AY93" s="27"/>
      <c r="AZ93" s="32"/>
      <c r="BA93" s="41"/>
    </row>
    <row r="94" spans="1:53" x14ac:dyDescent="0.2">
      <c r="A94" s="25">
        <v>78</v>
      </c>
      <c r="B94" s="26">
        <v>45573</v>
      </c>
      <c r="C94" s="27"/>
      <c r="D94" s="25"/>
      <c r="E94" s="28"/>
      <c r="F94" s="27"/>
      <c r="G94" s="28"/>
      <c r="H94" s="27"/>
      <c r="I94" s="28"/>
      <c r="J94" s="27">
        <v>8</v>
      </c>
      <c r="K94" s="29" t="s">
        <v>35</v>
      </c>
      <c r="L94" s="173"/>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t="s">
        <v>96</v>
      </c>
      <c r="AT94" s="27" t="s">
        <v>87</v>
      </c>
      <c r="AU94" s="27"/>
      <c r="AW94" s="25" t="s">
        <v>90</v>
      </c>
      <c r="AX94" s="27" t="s">
        <v>95</v>
      </c>
      <c r="AY94" s="27"/>
      <c r="AZ94" s="32"/>
      <c r="BA94" s="41"/>
    </row>
    <row r="95" spans="1:53" x14ac:dyDescent="0.2">
      <c r="A95" s="25">
        <v>79</v>
      </c>
      <c r="B95" s="26">
        <v>45574</v>
      </c>
      <c r="C95" s="27"/>
      <c r="D95" s="25"/>
      <c r="E95" s="28"/>
      <c r="F95" s="27"/>
      <c r="G95" s="28"/>
      <c r="H95" s="27"/>
      <c r="I95" s="28"/>
      <c r="J95" s="27">
        <v>8</v>
      </c>
      <c r="K95" s="29" t="s">
        <v>35</v>
      </c>
      <c r="L95" s="173"/>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t="s">
        <v>96</v>
      </c>
      <c r="AT95" s="27" t="s">
        <v>87</v>
      </c>
      <c r="AU95" s="27"/>
      <c r="AW95" s="25" t="s">
        <v>90</v>
      </c>
      <c r="AX95" s="27" t="s">
        <v>95</v>
      </c>
      <c r="AY95" s="27"/>
      <c r="AZ95" s="32"/>
      <c r="BA95" s="41"/>
    </row>
    <row r="96" spans="1:53" x14ac:dyDescent="0.2">
      <c r="A96" s="25">
        <v>80</v>
      </c>
      <c r="B96" s="26">
        <v>45575</v>
      </c>
      <c r="C96" s="27"/>
      <c r="D96" s="25"/>
      <c r="E96" s="28"/>
      <c r="F96" s="27"/>
      <c r="G96" s="28"/>
      <c r="H96" s="27"/>
      <c r="I96" s="28"/>
      <c r="J96" s="27">
        <v>8</v>
      </c>
      <c r="K96" s="29" t="s">
        <v>35</v>
      </c>
      <c r="L96" s="173"/>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t="s">
        <v>96</v>
      </c>
      <c r="AT96" s="27" t="s">
        <v>87</v>
      </c>
      <c r="AU96" s="27"/>
      <c r="AW96" s="25" t="s">
        <v>90</v>
      </c>
      <c r="AX96" s="27" t="s">
        <v>95</v>
      </c>
      <c r="AY96" s="27"/>
      <c r="AZ96" s="32"/>
      <c r="BA96" s="41"/>
    </row>
    <row r="97" spans="1:53" x14ac:dyDescent="0.2">
      <c r="A97" s="25">
        <v>81</v>
      </c>
      <c r="B97" s="26">
        <v>45576</v>
      </c>
      <c r="C97" s="27"/>
      <c r="D97" s="25"/>
      <c r="E97" s="28"/>
      <c r="F97" s="27"/>
      <c r="G97" s="28"/>
      <c r="H97" s="27"/>
      <c r="I97" s="28"/>
      <c r="J97" s="27">
        <v>8</v>
      </c>
      <c r="K97" s="29" t="s">
        <v>35</v>
      </c>
      <c r="L97" s="173"/>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t="s">
        <v>96</v>
      </c>
      <c r="AT97" s="27" t="s">
        <v>87</v>
      </c>
      <c r="AU97" s="27"/>
      <c r="AW97" s="25" t="s">
        <v>90</v>
      </c>
      <c r="AX97" s="27" t="s">
        <v>95</v>
      </c>
      <c r="AY97" s="27"/>
      <c r="AZ97" s="32"/>
      <c r="BA97" s="41"/>
    </row>
    <row r="98" spans="1:53" x14ac:dyDescent="0.2">
      <c r="A98" s="25">
        <v>82</v>
      </c>
      <c r="B98" s="26">
        <v>45577</v>
      </c>
      <c r="C98" s="27"/>
      <c r="D98" s="25"/>
      <c r="E98" s="28"/>
      <c r="F98" s="27"/>
      <c r="G98" s="28"/>
      <c r="H98" s="27"/>
      <c r="I98" s="28"/>
      <c r="J98" s="27">
        <v>8</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c r="AO98" s="27"/>
      <c r="AP98" s="36"/>
      <c r="AQ98" s="37"/>
      <c r="AR98" s="32"/>
      <c r="AS98" s="25" t="s">
        <v>96</v>
      </c>
      <c r="AT98" s="27" t="s">
        <v>87</v>
      </c>
      <c r="AU98" s="27"/>
      <c r="AW98" s="25" t="s">
        <v>90</v>
      </c>
      <c r="AX98" s="27" t="s">
        <v>95</v>
      </c>
      <c r="AY98" s="27"/>
      <c r="AZ98" s="32"/>
      <c r="BA98" s="41"/>
    </row>
    <row r="99" spans="1:53" x14ac:dyDescent="0.2">
      <c r="A99" s="25">
        <v>83</v>
      </c>
      <c r="B99" s="26">
        <v>45578</v>
      </c>
      <c r="C99" s="27"/>
      <c r="D99" s="25"/>
      <c r="E99" s="28"/>
      <c r="F99" s="27"/>
      <c r="G99" s="28"/>
      <c r="H99" s="27"/>
      <c r="I99" s="28"/>
      <c r="J99" s="27">
        <v>8</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c r="AO99" s="27"/>
      <c r="AP99" s="36"/>
      <c r="AQ99" s="37"/>
      <c r="AR99" s="32"/>
      <c r="AS99" s="25" t="s">
        <v>96</v>
      </c>
      <c r="AT99" s="27" t="s">
        <v>87</v>
      </c>
      <c r="AU99" s="27"/>
      <c r="AW99" s="25" t="s">
        <v>90</v>
      </c>
      <c r="AX99" s="27" t="s">
        <v>95</v>
      </c>
      <c r="AY99" s="27"/>
      <c r="AZ99" s="32"/>
      <c r="BA99" s="41"/>
    </row>
    <row r="100" spans="1:53" x14ac:dyDescent="0.2">
      <c r="A100" s="25">
        <v>84</v>
      </c>
      <c r="B100" s="26">
        <v>45579</v>
      </c>
      <c r="C100" s="27"/>
      <c r="D100" s="25"/>
      <c r="E100" s="28"/>
      <c r="F100" s="27"/>
      <c r="G100" s="28"/>
      <c r="H100" s="27"/>
      <c r="I100" s="28"/>
      <c r="J100" s="27">
        <v>8</v>
      </c>
      <c r="K100" s="29" t="s">
        <v>35</v>
      </c>
      <c r="L100" s="39"/>
      <c r="M100" s="31"/>
      <c r="N100" s="27"/>
      <c r="P100" s="32"/>
      <c r="Q100" s="25"/>
      <c r="R100" s="27"/>
      <c r="S100" s="27"/>
      <c r="T100" s="28"/>
      <c r="U100" s="27"/>
      <c r="V100" s="27"/>
      <c r="W100" s="28"/>
      <c r="X100" s="33"/>
      <c r="Y100" s="32"/>
      <c r="Z100" s="25"/>
      <c r="AA100" s="27"/>
      <c r="AB100" s="28"/>
      <c r="AC100" s="27"/>
      <c r="AD100" s="27"/>
      <c r="AE100" s="33"/>
      <c r="AF100" s="32"/>
      <c r="AG100" s="90"/>
      <c r="AH100" s="91"/>
      <c r="AI100" s="27"/>
      <c r="AJ100" s="27"/>
      <c r="AK100" s="28"/>
      <c r="AL100" s="27"/>
      <c r="AM100" s="27"/>
      <c r="AN100" s="27"/>
      <c r="AO100" s="27"/>
      <c r="AP100" s="36"/>
      <c r="AQ100" s="37"/>
      <c r="AR100" s="32"/>
      <c r="AS100" s="25" t="s">
        <v>96</v>
      </c>
      <c r="AT100" s="27" t="s">
        <v>87</v>
      </c>
      <c r="AU100" s="27"/>
      <c r="AW100" s="25" t="s">
        <v>90</v>
      </c>
      <c r="AX100" s="27" t="s">
        <v>95</v>
      </c>
      <c r="AY100" s="27"/>
      <c r="AZ100" s="32"/>
      <c r="BA100" s="41"/>
    </row>
    <row r="101" spans="1:53" x14ac:dyDescent="0.2">
      <c r="A101" s="25">
        <v>85</v>
      </c>
      <c r="B101" s="26">
        <v>45580</v>
      </c>
      <c r="C101" s="27"/>
      <c r="D101" s="25"/>
      <c r="E101" s="28"/>
      <c r="F101" s="27"/>
      <c r="G101" s="28"/>
      <c r="H101" s="27"/>
      <c r="I101" s="28"/>
      <c r="J101" s="27">
        <v>8</v>
      </c>
      <c r="K101" s="29" t="s">
        <v>35</v>
      </c>
      <c r="L101" s="39"/>
      <c r="M101" s="31"/>
      <c r="N101" s="27"/>
      <c r="P101" s="32"/>
      <c r="Q101" s="25"/>
      <c r="R101" s="27"/>
      <c r="S101" s="27"/>
      <c r="T101" s="28"/>
      <c r="U101" s="27"/>
      <c r="V101" s="27"/>
      <c r="W101" s="28"/>
      <c r="X101" s="33"/>
      <c r="Y101" s="32"/>
      <c r="Z101" s="25"/>
      <c r="AA101" s="27"/>
      <c r="AB101" s="28"/>
      <c r="AC101" s="27"/>
      <c r="AD101" s="27"/>
      <c r="AE101" s="33"/>
      <c r="AF101" s="32"/>
      <c r="AG101" s="90"/>
      <c r="AH101" s="91"/>
      <c r="AI101" s="27"/>
      <c r="AJ101" s="27"/>
      <c r="AK101" s="28"/>
      <c r="AL101" s="27"/>
      <c r="AM101" s="27"/>
      <c r="AN101" s="27"/>
      <c r="AO101" s="27"/>
      <c r="AP101" s="36"/>
      <c r="AQ101" s="37"/>
      <c r="AR101" s="32"/>
      <c r="AS101" s="25" t="s">
        <v>96</v>
      </c>
      <c r="AT101" s="27" t="s">
        <v>87</v>
      </c>
      <c r="AU101" s="27"/>
      <c r="AW101" s="25" t="s">
        <v>90</v>
      </c>
      <c r="AX101" s="27" t="s">
        <v>95</v>
      </c>
      <c r="AY101" s="27"/>
      <c r="AZ101" s="32"/>
      <c r="BA101" s="41"/>
    </row>
    <row r="102" spans="1:53" x14ac:dyDescent="0.2">
      <c r="A102" s="25">
        <v>86</v>
      </c>
      <c r="B102" s="26">
        <v>45581</v>
      </c>
      <c r="C102" s="27"/>
      <c r="D102" s="25"/>
      <c r="E102" s="28"/>
      <c r="F102" s="27"/>
      <c r="G102" s="28"/>
      <c r="H102" s="27"/>
      <c r="I102" s="28"/>
      <c r="J102" s="27">
        <v>8</v>
      </c>
      <c r="K102" s="29" t="s">
        <v>35</v>
      </c>
      <c r="L102" s="39"/>
      <c r="M102" s="31"/>
      <c r="N102" s="27"/>
      <c r="P102" s="32"/>
      <c r="Q102" s="25"/>
      <c r="R102" s="27"/>
      <c r="S102" s="27"/>
      <c r="T102" s="28"/>
      <c r="U102" s="27"/>
      <c r="V102" s="27"/>
      <c r="W102" s="28"/>
      <c r="X102" s="33"/>
      <c r="Y102" s="32"/>
      <c r="Z102" s="25"/>
      <c r="AA102" s="27"/>
      <c r="AB102" s="28"/>
      <c r="AC102" s="27"/>
      <c r="AD102" s="27"/>
      <c r="AE102" s="33"/>
      <c r="AF102" s="32"/>
      <c r="AG102" s="90"/>
      <c r="AH102" s="91"/>
      <c r="AI102" s="27"/>
      <c r="AJ102" s="27"/>
      <c r="AK102" s="28"/>
      <c r="AL102" s="27"/>
      <c r="AM102" s="27"/>
      <c r="AN102" s="27"/>
      <c r="AO102" s="27"/>
      <c r="AP102" s="36"/>
      <c r="AQ102" s="37"/>
      <c r="AR102" s="32"/>
      <c r="AS102" s="25" t="s">
        <v>96</v>
      </c>
      <c r="AT102" s="27" t="s">
        <v>87</v>
      </c>
      <c r="AU102" s="27"/>
      <c r="AW102" s="25" t="s">
        <v>90</v>
      </c>
      <c r="AX102" s="27" t="s">
        <v>95</v>
      </c>
      <c r="AY102" s="27"/>
      <c r="AZ102" s="32"/>
      <c r="BA102" s="41"/>
    </row>
    <row r="103" spans="1:53" x14ac:dyDescent="0.2">
      <c r="A103" s="25">
        <v>87</v>
      </c>
      <c r="B103" s="26">
        <v>45582</v>
      </c>
      <c r="C103" s="27"/>
      <c r="D103" s="25"/>
      <c r="E103" s="28"/>
      <c r="F103" s="27"/>
      <c r="G103" s="28"/>
      <c r="H103" s="27"/>
      <c r="I103" s="28"/>
      <c r="J103" s="27">
        <v>8</v>
      </c>
      <c r="K103" s="29" t="s">
        <v>35</v>
      </c>
      <c r="L103" s="39"/>
      <c r="M103" s="31"/>
      <c r="N103" s="27"/>
      <c r="P103" s="32"/>
      <c r="Q103" s="25"/>
      <c r="R103" s="27"/>
      <c r="S103" s="27"/>
      <c r="T103" s="28"/>
      <c r="U103" s="27"/>
      <c r="V103" s="27"/>
      <c r="W103" s="28"/>
      <c r="X103" s="33"/>
      <c r="Y103" s="32"/>
      <c r="Z103" s="25"/>
      <c r="AA103" s="27"/>
      <c r="AB103" s="28"/>
      <c r="AC103" s="27"/>
      <c r="AD103" s="27"/>
      <c r="AE103" s="33"/>
      <c r="AF103" s="32"/>
      <c r="AG103" s="90"/>
      <c r="AH103" s="91"/>
      <c r="AI103" s="27"/>
      <c r="AJ103" s="27"/>
      <c r="AK103" s="28"/>
      <c r="AL103" s="27"/>
      <c r="AM103" s="27"/>
      <c r="AN103" s="27"/>
      <c r="AO103" s="27"/>
      <c r="AP103" s="36"/>
      <c r="AQ103" s="37"/>
      <c r="AR103" s="32"/>
      <c r="AS103" s="25" t="s">
        <v>96</v>
      </c>
      <c r="AT103" s="27" t="s">
        <v>87</v>
      </c>
      <c r="AU103" s="27"/>
      <c r="AW103" s="25" t="s">
        <v>90</v>
      </c>
      <c r="AX103" s="27" t="s">
        <v>95</v>
      </c>
      <c r="AY103" s="27"/>
      <c r="AZ103" s="32"/>
      <c r="BA103" s="41"/>
    </row>
    <row r="104" spans="1:53" x14ac:dyDescent="0.2">
      <c r="A104" s="25">
        <v>88</v>
      </c>
      <c r="B104" s="26">
        <v>45583</v>
      </c>
      <c r="C104" s="27"/>
      <c r="D104" s="25"/>
      <c r="E104" s="28"/>
      <c r="F104" s="27"/>
      <c r="G104" s="28"/>
      <c r="H104" s="27"/>
      <c r="I104" s="28"/>
      <c r="J104" s="27">
        <v>8</v>
      </c>
      <c r="K104" s="29" t="s">
        <v>35</v>
      </c>
      <c r="L104" s="39"/>
      <c r="M104" s="31"/>
      <c r="N104" s="27"/>
      <c r="P104" s="32"/>
      <c r="Q104" s="25"/>
      <c r="R104" s="27"/>
      <c r="S104" s="27"/>
      <c r="T104" s="28"/>
      <c r="U104" s="27"/>
      <c r="V104" s="27"/>
      <c r="W104" s="28"/>
      <c r="X104" s="33"/>
      <c r="Y104" s="32"/>
      <c r="Z104" s="25"/>
      <c r="AA104" s="27"/>
      <c r="AB104" s="28"/>
      <c r="AC104" s="27"/>
      <c r="AD104" s="27"/>
      <c r="AE104" s="33"/>
      <c r="AF104" s="32"/>
      <c r="AG104" s="90"/>
      <c r="AH104" s="91"/>
      <c r="AI104" s="27"/>
      <c r="AJ104" s="27"/>
      <c r="AK104" s="28"/>
      <c r="AL104" s="27"/>
      <c r="AM104" s="27"/>
      <c r="AN104" s="27"/>
      <c r="AO104" s="27"/>
      <c r="AP104" s="36"/>
      <c r="AQ104" s="37"/>
      <c r="AR104" s="32"/>
      <c r="AS104" s="25" t="s">
        <v>96</v>
      </c>
      <c r="AT104" s="27" t="s">
        <v>87</v>
      </c>
      <c r="AU104" s="27"/>
      <c r="AW104" s="25" t="s">
        <v>90</v>
      </c>
      <c r="AX104" s="27" t="s">
        <v>95</v>
      </c>
      <c r="AY104" s="27"/>
      <c r="AZ104" s="32"/>
      <c r="BA104" s="41"/>
    </row>
    <row r="105" spans="1:53" x14ac:dyDescent="0.2">
      <c r="A105" s="25">
        <v>89</v>
      </c>
      <c r="B105" s="26">
        <v>45584</v>
      </c>
      <c r="C105" s="27"/>
      <c r="D105" s="25"/>
      <c r="E105" s="28"/>
      <c r="F105" s="27"/>
      <c r="G105" s="28"/>
      <c r="H105" s="27"/>
      <c r="I105" s="28"/>
      <c r="J105" s="27">
        <v>8</v>
      </c>
      <c r="K105" s="29" t="s">
        <v>35</v>
      </c>
      <c r="L105" s="39"/>
      <c r="M105" s="31"/>
      <c r="N105" s="27"/>
      <c r="P105" s="32"/>
      <c r="Q105" s="25"/>
      <c r="R105" s="27"/>
      <c r="S105" s="27"/>
      <c r="T105" s="28"/>
      <c r="U105" s="27"/>
      <c r="V105" s="27"/>
      <c r="W105" s="28"/>
      <c r="X105" s="33"/>
      <c r="Y105" s="32"/>
      <c r="Z105" s="25"/>
      <c r="AA105" s="27"/>
      <c r="AB105" s="28"/>
      <c r="AC105" s="27"/>
      <c r="AD105" s="27"/>
      <c r="AE105" s="33"/>
      <c r="AF105" s="32"/>
      <c r="AG105" s="90"/>
      <c r="AH105" s="91"/>
      <c r="AI105" s="27"/>
      <c r="AJ105" s="27"/>
      <c r="AK105" s="28"/>
      <c r="AL105" s="27"/>
      <c r="AM105" s="27"/>
      <c r="AN105" s="27"/>
      <c r="AO105" s="27"/>
      <c r="AP105" s="36"/>
      <c r="AQ105" s="37"/>
      <c r="AR105" s="32"/>
      <c r="AS105" s="25" t="s">
        <v>96</v>
      </c>
      <c r="AT105" s="27" t="s">
        <v>87</v>
      </c>
      <c r="AU105" s="27"/>
      <c r="AW105" s="25" t="s">
        <v>90</v>
      </c>
      <c r="AX105" s="27" t="s">
        <v>95</v>
      </c>
      <c r="AY105" s="27"/>
      <c r="AZ105" s="32"/>
      <c r="BA105" s="41"/>
    </row>
    <row r="106" spans="1:53" x14ac:dyDescent="0.2">
      <c r="A106" s="25">
        <v>90</v>
      </c>
      <c r="B106" s="26">
        <v>45585</v>
      </c>
      <c r="C106" s="27"/>
      <c r="D106" s="25"/>
      <c r="E106" s="28"/>
      <c r="F106" s="27"/>
      <c r="G106" s="28"/>
      <c r="H106" s="27"/>
      <c r="I106" s="28"/>
      <c r="J106" s="27">
        <v>8</v>
      </c>
      <c r="K106" s="29" t="s">
        <v>35</v>
      </c>
      <c r="L106" s="39"/>
      <c r="M106" s="31"/>
      <c r="N106" s="27"/>
      <c r="P106" s="32"/>
      <c r="Q106" s="25"/>
      <c r="R106" s="27"/>
      <c r="S106" s="27"/>
      <c r="T106" s="28"/>
      <c r="U106" s="27"/>
      <c r="V106" s="27"/>
      <c r="W106" s="28"/>
      <c r="X106" s="33"/>
      <c r="Y106" s="32"/>
      <c r="Z106" s="25"/>
      <c r="AA106" s="27"/>
      <c r="AB106" s="28"/>
      <c r="AC106" s="27"/>
      <c r="AD106" s="27"/>
      <c r="AE106" s="33"/>
      <c r="AF106" s="32"/>
      <c r="AG106" s="90"/>
      <c r="AH106" s="91"/>
      <c r="AI106" s="27"/>
      <c r="AJ106" s="27"/>
      <c r="AK106" s="28"/>
      <c r="AL106" s="27"/>
      <c r="AM106" s="27"/>
      <c r="AN106" s="27"/>
      <c r="AO106" s="27"/>
      <c r="AP106" s="36"/>
      <c r="AQ106" s="37"/>
      <c r="AR106" s="32"/>
      <c r="AS106" s="25" t="s">
        <v>96</v>
      </c>
      <c r="AT106" s="27" t="s">
        <v>87</v>
      </c>
      <c r="AU106" s="27"/>
      <c r="AW106" s="25" t="s">
        <v>90</v>
      </c>
      <c r="AX106" s="27" t="s">
        <v>95</v>
      </c>
      <c r="AY106" s="27"/>
      <c r="AZ106" s="32"/>
      <c r="BA106" s="41"/>
    </row>
    <row r="107" spans="1:53" x14ac:dyDescent="0.2">
      <c r="A107" s="25">
        <v>91</v>
      </c>
      <c r="B107" s="26">
        <v>45586</v>
      </c>
      <c r="C107" s="27"/>
      <c r="AS107" s="25" t="s">
        <v>96</v>
      </c>
      <c r="AT107" s="27" t="s">
        <v>87</v>
      </c>
      <c r="AU107" s="27"/>
      <c r="AW107" s="25" t="s">
        <v>90</v>
      </c>
      <c r="AX107" s="27" t="s">
        <v>95</v>
      </c>
    </row>
    <row r="108" spans="1:53" x14ac:dyDescent="0.2">
      <c r="A108" s="25">
        <v>92</v>
      </c>
      <c r="B108" s="26">
        <v>45587</v>
      </c>
      <c r="C108" s="27"/>
      <c r="AS108" s="25" t="s">
        <v>96</v>
      </c>
      <c r="AT108" s="27" t="s">
        <v>87</v>
      </c>
      <c r="AU108" s="27"/>
      <c r="AW108" s="25" t="s">
        <v>90</v>
      </c>
      <c r="AX108" s="27" t="s">
        <v>95</v>
      </c>
    </row>
    <row r="109" spans="1:53" x14ac:dyDescent="0.2">
      <c r="A109" s="25">
        <v>93</v>
      </c>
      <c r="B109" s="26">
        <v>45588</v>
      </c>
      <c r="C109" s="27"/>
      <c r="AS109" s="25" t="s">
        <v>96</v>
      </c>
      <c r="AT109" s="27" t="s">
        <v>87</v>
      </c>
      <c r="AU109" s="27"/>
      <c r="AW109" s="25" t="s">
        <v>90</v>
      </c>
      <c r="AX109" s="27" t="s">
        <v>95</v>
      </c>
    </row>
    <row r="110" spans="1:53" x14ac:dyDescent="0.2">
      <c r="A110" s="25">
        <v>94</v>
      </c>
      <c r="B110" s="26">
        <v>45589</v>
      </c>
      <c r="C110" s="27"/>
      <c r="AS110" s="25" t="s">
        <v>96</v>
      </c>
      <c r="AT110" s="27" t="s">
        <v>87</v>
      </c>
      <c r="AU110" s="27"/>
      <c r="AW110" s="25" t="s">
        <v>90</v>
      </c>
      <c r="AX110" s="27" t="s">
        <v>95</v>
      </c>
    </row>
    <row r="111" spans="1:53" x14ac:dyDescent="0.2">
      <c r="A111" s="25">
        <v>95</v>
      </c>
      <c r="B111" s="26">
        <v>45590</v>
      </c>
      <c r="C111" s="27"/>
      <c r="AS111" s="25" t="s">
        <v>96</v>
      </c>
      <c r="AT111" s="27" t="s">
        <v>87</v>
      </c>
      <c r="AU111" s="27"/>
      <c r="AW111" s="25" t="s">
        <v>90</v>
      </c>
      <c r="AX111" s="27" t="s">
        <v>95</v>
      </c>
    </row>
    <row r="112" spans="1:53" x14ac:dyDescent="0.2">
      <c r="A112" s="25">
        <v>96</v>
      </c>
      <c r="B112" s="26">
        <v>45591</v>
      </c>
      <c r="C112" s="27"/>
      <c r="AS112" s="25" t="s">
        <v>96</v>
      </c>
      <c r="AT112" s="27" t="s">
        <v>87</v>
      </c>
      <c r="AU112" s="27"/>
      <c r="AW112" s="25" t="s">
        <v>90</v>
      </c>
      <c r="AX112" s="27" t="s">
        <v>95</v>
      </c>
      <c r="BA112">
        <v>0</v>
      </c>
    </row>
    <row r="113" spans="1:53" x14ac:dyDescent="0.2">
      <c r="A113" s="25">
        <v>97</v>
      </c>
      <c r="B113" s="26">
        <v>45592</v>
      </c>
      <c r="C113" s="27"/>
      <c r="AS113" s="25" t="s">
        <v>96</v>
      </c>
      <c r="AT113" s="27" t="s">
        <v>87</v>
      </c>
      <c r="AU113" s="27"/>
      <c r="AW113" s="25" t="s">
        <v>90</v>
      </c>
      <c r="AX113" s="27" t="s">
        <v>95</v>
      </c>
    </row>
    <row r="114" spans="1:53" x14ac:dyDescent="0.2">
      <c r="A114" s="25">
        <v>98</v>
      </c>
      <c r="B114" s="26">
        <v>45593</v>
      </c>
      <c r="C114" s="27"/>
      <c r="K114" s="172"/>
      <c r="AS114" s="25" t="s">
        <v>96</v>
      </c>
      <c r="AT114" s="27" t="s">
        <v>87</v>
      </c>
      <c r="AU114" s="27"/>
      <c r="AW114" s="25" t="s">
        <v>90</v>
      </c>
      <c r="AX114" s="27" t="s">
        <v>95</v>
      </c>
      <c r="BA114">
        <v>0</v>
      </c>
    </row>
    <row r="115" spans="1:53" x14ac:dyDescent="0.2">
      <c r="A115" s="25">
        <v>99</v>
      </c>
      <c r="B115" s="26">
        <v>45594</v>
      </c>
      <c r="AS115" s="25" t="s">
        <v>96</v>
      </c>
      <c r="AT115" s="27" t="s">
        <v>87</v>
      </c>
      <c r="AU115" s="27"/>
      <c r="AW115" s="25" t="s">
        <v>90</v>
      </c>
      <c r="AX115" s="27" t="s">
        <v>95</v>
      </c>
    </row>
    <row r="116" spans="1:53" x14ac:dyDescent="0.2">
      <c r="A116" s="25">
        <v>100</v>
      </c>
      <c r="B116" s="26">
        <v>45595</v>
      </c>
      <c r="C116" s="27"/>
      <c r="AS116" s="25" t="s">
        <v>96</v>
      </c>
      <c r="AT116" s="27" t="s">
        <v>87</v>
      </c>
      <c r="AU116" s="27"/>
      <c r="AW116" s="25" t="s">
        <v>90</v>
      </c>
      <c r="AX116" s="27" t="s">
        <v>95</v>
      </c>
    </row>
    <row r="117" spans="1:53" x14ac:dyDescent="0.2">
      <c r="A117" s="25">
        <v>101</v>
      </c>
      <c r="B117" s="26">
        <v>45596</v>
      </c>
      <c r="C117" s="27"/>
      <c r="AS117" s="25" t="s">
        <v>96</v>
      </c>
      <c r="AT117" s="27" t="s">
        <v>87</v>
      </c>
      <c r="AU117" s="27"/>
      <c r="AW117" s="25" t="s">
        <v>90</v>
      </c>
      <c r="AX117" s="27" t="s">
        <v>95</v>
      </c>
    </row>
    <row r="118" spans="1:53" x14ac:dyDescent="0.2">
      <c r="A118" s="25">
        <v>102</v>
      </c>
      <c r="B118" s="26">
        <v>45597</v>
      </c>
      <c r="C118" s="27"/>
      <c r="AS118" s="25" t="s">
        <v>96</v>
      </c>
      <c r="AT118" s="27" t="s">
        <v>87</v>
      </c>
      <c r="AU118" s="27"/>
      <c r="AW118" s="25" t="s">
        <v>90</v>
      </c>
      <c r="AX118" s="27" t="s">
        <v>95</v>
      </c>
    </row>
    <row r="119" spans="1:53" x14ac:dyDescent="0.2">
      <c r="A119" s="25">
        <v>103</v>
      </c>
      <c r="B119" s="26">
        <v>45598</v>
      </c>
      <c r="C119" s="27"/>
      <c r="AS119" s="25" t="s">
        <v>96</v>
      </c>
      <c r="AT119" s="27" t="s">
        <v>87</v>
      </c>
      <c r="AU119" s="27"/>
      <c r="AW119" s="25" t="s">
        <v>90</v>
      </c>
      <c r="AX119" s="27" t="s">
        <v>95</v>
      </c>
    </row>
    <row r="120" spans="1:53" x14ac:dyDescent="0.2">
      <c r="A120" s="25">
        <v>104</v>
      </c>
      <c r="B120" s="26">
        <v>45599</v>
      </c>
      <c r="C120" s="27"/>
      <c r="AS120" s="25" t="s">
        <v>96</v>
      </c>
      <c r="AT120" s="27" t="s">
        <v>87</v>
      </c>
      <c r="AU120" s="27"/>
      <c r="AW120" s="25" t="s">
        <v>90</v>
      </c>
      <c r="AX120" s="27" t="s">
        <v>95</v>
      </c>
    </row>
    <row r="121" spans="1:53" x14ac:dyDescent="0.2">
      <c r="A121" s="25">
        <v>105</v>
      </c>
      <c r="B121" s="26">
        <v>45600</v>
      </c>
      <c r="C121" s="27"/>
      <c r="AS121" s="25" t="s">
        <v>96</v>
      </c>
      <c r="AT121" s="27" t="s">
        <v>87</v>
      </c>
      <c r="AU121" s="27"/>
      <c r="AW121" s="25" t="s">
        <v>90</v>
      </c>
      <c r="AX121" s="27" t="s">
        <v>95</v>
      </c>
    </row>
    <row r="122" spans="1:53" x14ac:dyDescent="0.2">
      <c r="A122" s="25">
        <v>106</v>
      </c>
      <c r="B122" s="26">
        <v>45601</v>
      </c>
    </row>
    <row r="123" spans="1:53" x14ac:dyDescent="0.2">
      <c r="A123" s="25">
        <v>107</v>
      </c>
      <c r="B123" s="26">
        <v>45602</v>
      </c>
      <c r="C123" s="27"/>
    </row>
    <row r="124" spans="1:53" x14ac:dyDescent="0.2">
      <c r="A124" s="25">
        <v>108</v>
      </c>
      <c r="B124" s="26"/>
      <c r="C124" s="27"/>
    </row>
    <row r="125" spans="1:53" x14ac:dyDescent="0.2">
      <c r="A125" s="25">
        <v>109</v>
      </c>
      <c r="B125" s="26"/>
      <c r="C125" s="27"/>
    </row>
    <row r="126" spans="1:53" x14ac:dyDescent="0.2">
      <c r="A126" s="25">
        <v>110</v>
      </c>
      <c r="B126" s="26"/>
      <c r="C126" s="27"/>
    </row>
    <row r="127" spans="1:53" x14ac:dyDescent="0.2">
      <c r="A127" s="25">
        <v>111</v>
      </c>
      <c r="B127" s="26"/>
      <c r="C127" s="27"/>
    </row>
    <row r="128" spans="1:53" s="173" customFormat="1" x14ac:dyDescent="0.2">
      <c r="A128" s="173">
        <v>112</v>
      </c>
      <c r="B128" s="26"/>
    </row>
    <row r="129" spans="1:3" x14ac:dyDescent="0.2">
      <c r="A129" s="25">
        <v>113</v>
      </c>
      <c r="B129" s="26"/>
      <c r="C129" s="27"/>
    </row>
    <row r="130" spans="1:3" x14ac:dyDescent="0.2">
      <c r="A130" s="25">
        <v>114</v>
      </c>
      <c r="B130" s="26"/>
      <c r="C130" s="27"/>
    </row>
    <row r="131" spans="1:3" x14ac:dyDescent="0.2">
      <c r="A131" s="25">
        <v>115</v>
      </c>
      <c r="B131" s="26"/>
      <c r="C131" s="27"/>
    </row>
  </sheetData>
  <mergeCells count="52">
    <mergeCell ref="X20:X27"/>
    <mergeCell ref="AV13:AV15"/>
    <mergeCell ref="AW13:AW15"/>
    <mergeCell ref="AG13:AG14"/>
    <mergeCell ref="X13:X15"/>
    <mergeCell ref="O36:O56"/>
    <mergeCell ref="AR13:AR15"/>
    <mergeCell ref="AS13:AS15"/>
    <mergeCell ref="AT13:AT15"/>
    <mergeCell ref="AU13:AU15"/>
    <mergeCell ref="AH13:AH15"/>
    <mergeCell ref="AI13:AK14"/>
    <mergeCell ref="AL13:AL15"/>
    <mergeCell ref="AM13:AM14"/>
    <mergeCell ref="AN13:AP14"/>
    <mergeCell ref="AQ13:AQ15"/>
    <mergeCell ref="Y13:Y15"/>
    <mergeCell ref="Z13:AB14"/>
    <mergeCell ref="AC13:AD14"/>
    <mergeCell ref="AE13:AE15"/>
    <mergeCell ref="AF13:AF15"/>
    <mergeCell ref="H13:I14"/>
    <mergeCell ref="J13:J15"/>
    <mergeCell ref="K13:K15"/>
    <mergeCell ref="L13:L15"/>
    <mergeCell ref="M13:M15"/>
    <mergeCell ref="N13:N15"/>
    <mergeCell ref="AS10:AV12"/>
    <mergeCell ref="AW10:AZ12"/>
    <mergeCell ref="BA10:BA12"/>
    <mergeCell ref="AG12:AK12"/>
    <mergeCell ref="AM12:AP12"/>
    <mergeCell ref="AG10:AP11"/>
    <mergeCell ref="O13:O15"/>
    <mergeCell ref="P13:P15"/>
    <mergeCell ref="Q13:Q15"/>
    <mergeCell ref="R13:T14"/>
    <mergeCell ref="U13:W14"/>
    <mergeCell ref="AX13:AX15"/>
    <mergeCell ref="AY13:AY15"/>
    <mergeCell ref="AZ13:AZ15"/>
    <mergeCell ref="BA13:BA15"/>
    <mergeCell ref="A13:A15"/>
    <mergeCell ref="B13:B15"/>
    <mergeCell ref="C13:C15"/>
    <mergeCell ref="D13:E14"/>
    <mergeCell ref="F13:G14"/>
    <mergeCell ref="A10:C12"/>
    <mergeCell ref="D10:M12"/>
    <mergeCell ref="N10:P12"/>
    <mergeCell ref="Q10:Y12"/>
    <mergeCell ref="Z10:AF1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DBB03-242F-45BC-A29B-53C3E173CB32}">
  <dimension ref="A1:BB131"/>
  <sheetViews>
    <sheetView zoomScale="85" zoomScaleNormal="85" workbookViewId="0">
      <pane xSplit="1" topLeftCell="B1" activePane="topRight" state="frozen"/>
      <selection pane="topRight" activeCell="B5" sqref="B5"/>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0.33203125"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22.33203125"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13.83203125" customWidth="1"/>
    <col min="50" max="50" width="26.5" bestFit="1" customWidth="1"/>
    <col min="51" max="51" width="24.1640625" bestFit="1" customWidth="1"/>
    <col min="52" max="52" width="41.1640625" bestFit="1" customWidth="1"/>
    <col min="53" max="53" width="18.83203125" bestFit="1" customWidth="1"/>
  </cols>
  <sheetData>
    <row r="1" spans="1:53" x14ac:dyDescent="0.2">
      <c r="A1" s="94" t="s">
        <v>99</v>
      </c>
      <c r="B1" t="s">
        <v>415</v>
      </c>
    </row>
    <row r="2" spans="1:53" x14ac:dyDescent="0.2">
      <c r="A2" s="94" t="s">
        <v>100</v>
      </c>
    </row>
    <row r="3" spans="1:53" x14ac:dyDescent="0.2">
      <c r="A3" s="94" t="s">
        <v>101</v>
      </c>
      <c r="B3">
        <f>4400+4100+4100+4600</f>
        <v>17200</v>
      </c>
    </row>
    <row r="4" spans="1:53" x14ac:dyDescent="0.2">
      <c r="A4" s="94" t="s">
        <v>102</v>
      </c>
      <c r="B4">
        <v>26</v>
      </c>
    </row>
    <row r="5" spans="1:53" x14ac:dyDescent="0.2">
      <c r="A5" s="94" t="s">
        <v>103</v>
      </c>
      <c r="B5">
        <f>B4/B3*100</f>
        <v>0.15116279069767441</v>
      </c>
    </row>
    <row r="6" spans="1:53" x14ac:dyDescent="0.2">
      <c r="A6" s="94" t="s">
        <v>104</v>
      </c>
      <c r="B6" t="s">
        <v>418</v>
      </c>
    </row>
    <row r="7" spans="1:53" x14ac:dyDescent="0.2">
      <c r="A7" s="94" t="s">
        <v>106</v>
      </c>
    </row>
    <row r="8" spans="1:53" x14ac:dyDescent="0.2">
      <c r="A8" s="94" t="s">
        <v>416</v>
      </c>
      <c r="B8">
        <v>8</v>
      </c>
    </row>
    <row r="9" spans="1:53" ht="16" thickBot="1" x14ac:dyDescent="0.25">
      <c r="A9" s="94" t="s">
        <v>417</v>
      </c>
      <c r="B9">
        <v>1000</v>
      </c>
    </row>
    <row r="10" spans="1:53" ht="23" x14ac:dyDescent="0.2">
      <c r="A10" s="209" t="s">
        <v>0</v>
      </c>
      <c r="B10" s="210"/>
      <c r="C10" s="210"/>
      <c r="D10" s="215" t="s">
        <v>1</v>
      </c>
      <c r="E10" s="215"/>
      <c r="F10" s="215"/>
      <c r="G10" s="215"/>
      <c r="H10" s="215"/>
      <c r="I10" s="215"/>
      <c r="J10" s="215"/>
      <c r="K10" s="215"/>
      <c r="L10" s="215"/>
      <c r="M10" s="215"/>
      <c r="N10" s="218" t="s">
        <v>2</v>
      </c>
      <c r="O10" s="218"/>
      <c r="P10" s="219"/>
      <c r="Q10" s="224" t="s">
        <v>3</v>
      </c>
      <c r="R10" s="225"/>
      <c r="S10" s="225"/>
      <c r="T10" s="225"/>
      <c r="U10" s="225"/>
      <c r="V10" s="225"/>
      <c r="W10" s="225"/>
      <c r="X10" s="225"/>
      <c r="Y10" s="226"/>
      <c r="Z10" s="230" t="s">
        <v>4</v>
      </c>
      <c r="AA10" s="231"/>
      <c r="AB10" s="231"/>
      <c r="AC10" s="231"/>
      <c r="AD10" s="231"/>
      <c r="AE10" s="231"/>
      <c r="AF10" s="232"/>
      <c r="AG10" s="271" t="s">
        <v>5</v>
      </c>
      <c r="AH10" s="271"/>
      <c r="AI10" s="271"/>
      <c r="AJ10" s="271"/>
      <c r="AK10" s="271"/>
      <c r="AL10" s="271"/>
      <c r="AM10" s="271"/>
      <c r="AN10" s="271"/>
      <c r="AO10" s="271"/>
      <c r="AP10" s="271"/>
      <c r="AQ10" s="1"/>
      <c r="AR10" s="2"/>
      <c r="AS10" s="251" t="s">
        <v>6</v>
      </c>
      <c r="AT10" s="252"/>
      <c r="AU10" s="252"/>
      <c r="AV10" s="252"/>
      <c r="AW10" s="257" t="s">
        <v>7</v>
      </c>
      <c r="AX10" s="258"/>
      <c r="AY10" s="258"/>
      <c r="AZ10" s="259"/>
      <c r="BA10" s="266" t="s">
        <v>8</v>
      </c>
    </row>
    <row r="11" spans="1:53" ht="23" x14ac:dyDescent="0.2">
      <c r="A11" s="211"/>
      <c r="B11" s="212"/>
      <c r="C11" s="212"/>
      <c r="D11" s="216"/>
      <c r="E11" s="216"/>
      <c r="F11" s="216"/>
      <c r="G11" s="216"/>
      <c r="H11" s="216"/>
      <c r="I11" s="216"/>
      <c r="J11" s="216"/>
      <c r="K11" s="216"/>
      <c r="L11" s="216"/>
      <c r="M11" s="216"/>
      <c r="N11" s="220"/>
      <c r="O11" s="220"/>
      <c r="P11" s="221"/>
      <c r="Q11" s="227"/>
      <c r="R11" s="228"/>
      <c r="S11" s="228"/>
      <c r="T11" s="228"/>
      <c r="U11" s="228"/>
      <c r="V11" s="228"/>
      <c r="W11" s="228"/>
      <c r="X11" s="228"/>
      <c r="Y11" s="229"/>
      <c r="Z11" s="233"/>
      <c r="AA11" s="234"/>
      <c r="AB11" s="234"/>
      <c r="AC11" s="234"/>
      <c r="AD11" s="234"/>
      <c r="AE11" s="234"/>
      <c r="AF11" s="235"/>
      <c r="AG11" s="272"/>
      <c r="AH11" s="272"/>
      <c r="AI11" s="272"/>
      <c r="AJ11" s="272"/>
      <c r="AK11" s="272"/>
      <c r="AL11" s="272"/>
      <c r="AM11" s="272"/>
      <c r="AN11" s="272"/>
      <c r="AO11" s="272"/>
      <c r="AP11" s="272"/>
      <c r="AQ11" s="3"/>
      <c r="AR11" s="4"/>
      <c r="AS11" s="253"/>
      <c r="AT11" s="254"/>
      <c r="AU11" s="254"/>
      <c r="AV11" s="254"/>
      <c r="AW11" s="260"/>
      <c r="AX11" s="261"/>
      <c r="AY11" s="261"/>
      <c r="AZ11" s="262"/>
      <c r="BA11" s="267"/>
    </row>
    <row r="12" spans="1:53" ht="21" thickBot="1" x14ac:dyDescent="0.25">
      <c r="A12" s="213"/>
      <c r="B12" s="214"/>
      <c r="C12" s="214"/>
      <c r="D12" s="217"/>
      <c r="E12" s="217"/>
      <c r="F12" s="217"/>
      <c r="G12" s="217"/>
      <c r="H12" s="217"/>
      <c r="I12" s="217"/>
      <c r="J12" s="217"/>
      <c r="K12" s="217"/>
      <c r="L12" s="217"/>
      <c r="M12" s="217"/>
      <c r="N12" s="222"/>
      <c r="O12" s="222"/>
      <c r="P12" s="223"/>
      <c r="Q12" s="227"/>
      <c r="R12" s="228"/>
      <c r="S12" s="228"/>
      <c r="T12" s="228"/>
      <c r="U12" s="228"/>
      <c r="V12" s="228"/>
      <c r="W12" s="228"/>
      <c r="X12" s="228"/>
      <c r="Y12" s="229"/>
      <c r="Z12" s="233"/>
      <c r="AA12" s="234"/>
      <c r="AB12" s="234"/>
      <c r="AC12" s="234"/>
      <c r="AD12" s="234"/>
      <c r="AE12" s="234"/>
      <c r="AF12" s="235"/>
      <c r="AG12" s="269" t="s">
        <v>9</v>
      </c>
      <c r="AH12" s="269"/>
      <c r="AI12" s="269"/>
      <c r="AJ12" s="269"/>
      <c r="AK12" s="270"/>
      <c r="AL12" s="5"/>
      <c r="AM12" s="269" t="s">
        <v>10</v>
      </c>
      <c r="AN12" s="269"/>
      <c r="AO12" s="269"/>
      <c r="AP12" s="270"/>
      <c r="AQ12" s="6"/>
      <c r="AR12" s="7"/>
      <c r="AS12" s="255"/>
      <c r="AT12" s="256"/>
      <c r="AU12" s="256"/>
      <c r="AV12" s="256"/>
      <c r="AW12" s="263"/>
      <c r="AX12" s="264"/>
      <c r="AY12" s="264"/>
      <c r="AZ12" s="265"/>
      <c r="BA12" s="268"/>
    </row>
    <row r="13" spans="1:53" x14ac:dyDescent="0.2">
      <c r="A13" s="236" t="s">
        <v>11</v>
      </c>
      <c r="B13" s="239" t="s">
        <v>12</v>
      </c>
      <c r="C13" s="239" t="s">
        <v>13</v>
      </c>
      <c r="D13" s="242" t="s">
        <v>14</v>
      </c>
      <c r="E13" s="243"/>
      <c r="F13" s="246" t="s">
        <v>15</v>
      </c>
      <c r="G13" s="243"/>
      <c r="H13" s="292" t="s">
        <v>16</v>
      </c>
      <c r="I13" s="293"/>
      <c r="J13" s="296" t="s">
        <v>17</v>
      </c>
      <c r="K13" s="299" t="s">
        <v>18</v>
      </c>
      <c r="L13" s="292" t="s">
        <v>19</v>
      </c>
      <c r="M13" s="303" t="s">
        <v>20</v>
      </c>
      <c r="N13" s="248" t="s">
        <v>21</v>
      </c>
      <c r="O13" s="248" t="s">
        <v>19</v>
      </c>
      <c r="P13" s="248" t="s">
        <v>20</v>
      </c>
      <c r="Q13" s="273" t="s">
        <v>22</v>
      </c>
      <c r="R13" s="276" t="s">
        <v>23</v>
      </c>
      <c r="S13" s="276"/>
      <c r="T13" s="277"/>
      <c r="U13" s="280" t="s">
        <v>24</v>
      </c>
      <c r="V13" s="280"/>
      <c r="W13" s="281"/>
      <c r="X13" s="353" t="s">
        <v>19</v>
      </c>
      <c r="Y13" s="330" t="s">
        <v>20</v>
      </c>
      <c r="Z13" s="333" t="s">
        <v>23</v>
      </c>
      <c r="AA13" s="334"/>
      <c r="AB13" s="335"/>
      <c r="AC13" s="339" t="s">
        <v>24</v>
      </c>
      <c r="AD13" s="339"/>
      <c r="AE13" s="339" t="s">
        <v>19</v>
      </c>
      <c r="AF13" s="342" t="s">
        <v>20</v>
      </c>
      <c r="AG13" s="351" t="s">
        <v>25</v>
      </c>
      <c r="AH13" s="318" t="s">
        <v>26</v>
      </c>
      <c r="AI13" s="321" t="s">
        <v>24</v>
      </c>
      <c r="AJ13" s="321"/>
      <c r="AK13" s="321"/>
      <c r="AL13" s="323" t="s">
        <v>27</v>
      </c>
      <c r="AM13" s="325" t="s">
        <v>25</v>
      </c>
      <c r="AN13" s="321" t="s">
        <v>24</v>
      </c>
      <c r="AO13" s="321"/>
      <c r="AP13" s="309"/>
      <c r="AQ13" s="327" t="s">
        <v>19</v>
      </c>
      <c r="AR13" s="309" t="s">
        <v>20</v>
      </c>
      <c r="AS13" s="312" t="s">
        <v>28</v>
      </c>
      <c r="AT13" s="315" t="s">
        <v>29</v>
      </c>
      <c r="AU13" s="315" t="s">
        <v>19</v>
      </c>
      <c r="AV13" s="315" t="s">
        <v>20</v>
      </c>
      <c r="AW13" s="348" t="s">
        <v>30</v>
      </c>
      <c r="AX13" s="284" t="s">
        <v>29</v>
      </c>
      <c r="AY13" s="284" t="s">
        <v>19</v>
      </c>
      <c r="AZ13" s="287" t="s">
        <v>20</v>
      </c>
      <c r="BA13" s="290" t="s">
        <v>31</v>
      </c>
    </row>
    <row r="14" spans="1:53" x14ac:dyDescent="0.2">
      <c r="A14" s="237"/>
      <c r="B14" s="240"/>
      <c r="C14" s="240"/>
      <c r="D14" s="244"/>
      <c r="E14" s="245"/>
      <c r="F14" s="247"/>
      <c r="G14" s="245"/>
      <c r="H14" s="294"/>
      <c r="I14" s="295"/>
      <c r="J14" s="297"/>
      <c r="K14" s="300"/>
      <c r="L14" s="294"/>
      <c r="M14" s="304"/>
      <c r="N14" s="249"/>
      <c r="O14" s="249"/>
      <c r="P14" s="249"/>
      <c r="Q14" s="274"/>
      <c r="R14" s="278"/>
      <c r="S14" s="278"/>
      <c r="T14" s="279"/>
      <c r="U14" s="282"/>
      <c r="V14" s="282"/>
      <c r="W14" s="283"/>
      <c r="X14" s="354"/>
      <c r="Y14" s="331"/>
      <c r="Z14" s="336"/>
      <c r="AA14" s="337"/>
      <c r="AB14" s="338"/>
      <c r="AC14" s="340"/>
      <c r="AD14" s="340"/>
      <c r="AE14" s="340"/>
      <c r="AF14" s="343"/>
      <c r="AG14" s="352"/>
      <c r="AH14" s="319"/>
      <c r="AI14" s="322"/>
      <c r="AJ14" s="322"/>
      <c r="AK14" s="322"/>
      <c r="AL14" s="324"/>
      <c r="AM14" s="326"/>
      <c r="AN14" s="322"/>
      <c r="AO14" s="322"/>
      <c r="AP14" s="310"/>
      <c r="AQ14" s="328"/>
      <c r="AR14" s="310"/>
      <c r="AS14" s="313"/>
      <c r="AT14" s="316"/>
      <c r="AU14" s="316"/>
      <c r="AV14" s="316"/>
      <c r="AW14" s="349"/>
      <c r="AX14" s="285"/>
      <c r="AY14" s="285"/>
      <c r="AZ14" s="288"/>
      <c r="BA14" s="290"/>
    </row>
    <row r="15" spans="1:53" ht="57" thickBot="1" x14ac:dyDescent="0.25">
      <c r="A15" s="238"/>
      <c r="B15" s="241"/>
      <c r="C15" s="241"/>
      <c r="D15" s="8" t="s">
        <v>32</v>
      </c>
      <c r="E15" s="9" t="s">
        <v>33</v>
      </c>
      <c r="F15" s="10" t="s">
        <v>32</v>
      </c>
      <c r="G15" s="9" t="s">
        <v>33</v>
      </c>
      <c r="H15" s="11" t="s">
        <v>32</v>
      </c>
      <c r="I15" s="12" t="s">
        <v>33</v>
      </c>
      <c r="J15" s="298"/>
      <c r="K15" s="301"/>
      <c r="L15" s="302"/>
      <c r="M15" s="305"/>
      <c r="N15" s="250"/>
      <c r="O15" s="250"/>
      <c r="P15" s="250"/>
      <c r="Q15" s="275"/>
      <c r="R15" s="13" t="s">
        <v>32</v>
      </c>
      <c r="S15" s="13" t="s">
        <v>34</v>
      </c>
      <c r="T15" s="14" t="s">
        <v>33</v>
      </c>
      <c r="U15" s="15" t="s">
        <v>32</v>
      </c>
      <c r="V15" s="15" t="s">
        <v>34</v>
      </c>
      <c r="W15" s="16" t="s">
        <v>33</v>
      </c>
      <c r="X15" s="355"/>
      <c r="Y15" s="332"/>
      <c r="Z15" s="17" t="s">
        <v>32</v>
      </c>
      <c r="AA15" s="18" t="s">
        <v>34</v>
      </c>
      <c r="AB15" s="19" t="s">
        <v>33</v>
      </c>
      <c r="AC15" s="20" t="s">
        <v>32</v>
      </c>
      <c r="AD15" s="20" t="s">
        <v>34</v>
      </c>
      <c r="AE15" s="341"/>
      <c r="AF15" s="344"/>
      <c r="AG15" s="21" t="s">
        <v>34</v>
      </c>
      <c r="AH15" s="320"/>
      <c r="AI15" s="22" t="s">
        <v>32</v>
      </c>
      <c r="AJ15" s="22" t="s">
        <v>34</v>
      </c>
      <c r="AK15" s="22" t="s">
        <v>33</v>
      </c>
      <c r="AL15" s="324"/>
      <c r="AM15" s="23" t="s">
        <v>33</v>
      </c>
      <c r="AN15" s="22" t="s">
        <v>32</v>
      </c>
      <c r="AO15" s="22" t="s">
        <v>34</v>
      </c>
      <c r="AP15" s="24" t="s">
        <v>33</v>
      </c>
      <c r="AQ15" s="329"/>
      <c r="AR15" s="311"/>
      <c r="AS15" s="314"/>
      <c r="AT15" s="317"/>
      <c r="AU15" s="317"/>
      <c r="AV15" s="317"/>
      <c r="AW15" s="350"/>
      <c r="AX15" s="286"/>
      <c r="AY15" s="286"/>
      <c r="AZ15" s="289"/>
      <c r="BA15" s="291"/>
    </row>
    <row r="16" spans="1:53" ht="16" thickBot="1" x14ac:dyDescent="0.25">
      <c r="A16" s="25">
        <v>0</v>
      </c>
      <c r="B16" s="26">
        <v>45419</v>
      </c>
      <c r="C16" s="27" t="s">
        <v>232</v>
      </c>
      <c r="D16" s="25"/>
      <c r="E16" s="28"/>
      <c r="F16" s="27"/>
      <c r="G16" s="28"/>
      <c r="H16" s="27"/>
      <c r="I16" s="28"/>
      <c r="J16" s="27">
        <v>4</v>
      </c>
      <c r="K16" s="29" t="s">
        <v>35</v>
      </c>
      <c r="L16" s="30" t="s">
        <v>160</v>
      </c>
      <c r="M16" s="31" t="s">
        <v>429</v>
      </c>
      <c r="N16" s="27"/>
      <c r="P16" s="32"/>
      <c r="Q16" s="25"/>
      <c r="R16" s="27"/>
      <c r="S16" s="27"/>
      <c r="T16" s="28"/>
      <c r="U16" s="27"/>
      <c r="V16" s="27"/>
      <c r="W16" s="28"/>
      <c r="X16" s="33"/>
      <c r="Y16" s="32"/>
      <c r="Z16" s="25"/>
      <c r="AA16" s="27"/>
      <c r="AB16" s="28"/>
      <c r="AC16" s="27"/>
      <c r="AD16" s="27"/>
      <c r="AE16" s="33"/>
      <c r="AG16" s="25"/>
      <c r="AH16" s="34"/>
      <c r="AI16" s="27"/>
      <c r="AJ16" s="27"/>
      <c r="AK16" s="27"/>
      <c r="AL16" s="25"/>
      <c r="AM16" s="35"/>
      <c r="AN16" s="27"/>
      <c r="AO16" s="27"/>
      <c r="AP16" s="36"/>
      <c r="AQ16" s="37"/>
      <c r="AR16" s="32"/>
      <c r="AS16" s="25"/>
      <c r="AT16" s="27"/>
      <c r="AU16" s="27"/>
      <c r="AW16" s="25"/>
      <c r="AX16" s="27"/>
      <c r="AY16" s="27"/>
      <c r="AZ16" s="32"/>
      <c r="BA16" s="38"/>
    </row>
    <row r="17" spans="1:53" ht="16" thickBot="1" x14ac:dyDescent="0.25">
      <c r="A17" s="25">
        <v>1</v>
      </c>
      <c r="B17" s="26">
        <v>45420</v>
      </c>
      <c r="C17" s="27" t="s">
        <v>227</v>
      </c>
      <c r="D17" s="25"/>
      <c r="E17" s="28"/>
      <c r="F17" s="27"/>
      <c r="G17" s="28"/>
      <c r="H17" s="27"/>
      <c r="I17" s="28"/>
      <c r="J17" s="27">
        <v>4</v>
      </c>
      <c r="K17" s="29" t="s">
        <v>35</v>
      </c>
      <c r="L17" s="39"/>
      <c r="M17" s="31" t="s">
        <v>430</v>
      </c>
      <c r="N17" s="27"/>
      <c r="P17" s="32"/>
      <c r="Q17" s="40"/>
      <c r="R17" s="27"/>
      <c r="S17" s="27"/>
      <c r="T17" s="28"/>
      <c r="U17" s="27"/>
      <c r="V17" s="27"/>
      <c r="W17" s="28"/>
      <c r="X17" s="33"/>
      <c r="Y17" s="32"/>
      <c r="Z17" s="25"/>
      <c r="AA17" s="27"/>
      <c r="AB17" s="28"/>
      <c r="AC17" s="27"/>
      <c r="AD17" s="27"/>
      <c r="AE17" s="33"/>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2</v>
      </c>
      <c r="B18" s="26">
        <v>45421</v>
      </c>
      <c r="C18" s="27" t="s">
        <v>227</v>
      </c>
      <c r="D18" s="25"/>
      <c r="E18" s="28"/>
      <c r="F18" s="27"/>
      <c r="G18" s="28"/>
      <c r="H18" s="27"/>
      <c r="I18" s="28"/>
      <c r="J18" s="27">
        <v>4</v>
      </c>
      <c r="K18" s="29" t="s">
        <v>35</v>
      </c>
      <c r="L18" s="39"/>
      <c r="M18" s="31" t="s">
        <v>430</v>
      </c>
      <c r="N18" s="27"/>
      <c r="O18" s="42"/>
      <c r="Q18" s="43" t="s">
        <v>37</v>
      </c>
      <c r="R18" s="27"/>
      <c r="S18" s="27"/>
      <c r="T18" s="28"/>
      <c r="U18" s="27"/>
      <c r="V18" s="27"/>
      <c r="W18" s="28"/>
      <c r="X18" s="33"/>
      <c r="Y18" s="32"/>
      <c r="Z18" s="25"/>
      <c r="AA18" s="27"/>
      <c r="AB18" s="28"/>
      <c r="AC18" s="27"/>
      <c r="AD18" s="27"/>
      <c r="AE18" s="33"/>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3</v>
      </c>
      <c r="B19" s="26">
        <v>45422</v>
      </c>
      <c r="C19" s="27" t="s">
        <v>200</v>
      </c>
      <c r="D19" s="25"/>
      <c r="E19" s="28"/>
      <c r="F19" s="27"/>
      <c r="G19" s="28"/>
      <c r="H19" s="27"/>
      <c r="I19" s="28"/>
      <c r="J19" s="27">
        <v>6</v>
      </c>
      <c r="K19" s="29" t="s">
        <v>35</v>
      </c>
      <c r="L19" s="44" t="s">
        <v>287</v>
      </c>
      <c r="M19" s="31" t="s">
        <v>435</v>
      </c>
      <c r="N19" s="27" t="s">
        <v>240</v>
      </c>
      <c r="O19" s="45" t="s">
        <v>41</v>
      </c>
      <c r="P19" s="46"/>
      <c r="Q19" s="25"/>
      <c r="R19" s="27"/>
      <c r="S19" s="27"/>
      <c r="T19" s="28"/>
      <c r="U19" s="27">
        <v>5</v>
      </c>
      <c r="V19" s="27"/>
      <c r="W19" s="28">
        <v>5</v>
      </c>
      <c r="X19" s="47" t="s">
        <v>43</v>
      </c>
      <c r="Y19" s="32"/>
      <c r="Z19" s="25"/>
      <c r="AA19" s="27"/>
      <c r="AB19" s="28"/>
      <c r="AC19" s="27">
        <v>3</v>
      </c>
      <c r="AD19" s="27">
        <v>2</v>
      </c>
      <c r="AE19" s="48" t="s">
        <v>342</v>
      </c>
      <c r="AG19" s="25"/>
      <c r="AH19" s="34"/>
      <c r="AI19" s="27"/>
      <c r="AJ19" s="27"/>
      <c r="AK19" s="27"/>
      <c r="AL19" s="25"/>
      <c r="AM19" s="34"/>
      <c r="AN19" s="27"/>
      <c r="AO19" s="27"/>
      <c r="AP19" s="36"/>
      <c r="AQ19" s="37"/>
      <c r="AR19" s="32"/>
      <c r="AS19" s="25"/>
      <c r="AT19" s="27"/>
      <c r="AU19" s="27"/>
      <c r="AW19" s="25"/>
      <c r="AX19" s="27"/>
      <c r="AY19" s="27"/>
      <c r="AZ19" s="32"/>
      <c r="BA19" s="41"/>
    </row>
    <row r="20" spans="1:53" x14ac:dyDescent="0.2">
      <c r="A20" s="25">
        <v>4</v>
      </c>
      <c r="B20" s="26">
        <v>45423</v>
      </c>
      <c r="C20" s="27" t="s">
        <v>200</v>
      </c>
      <c r="D20" s="25"/>
      <c r="E20" s="28"/>
      <c r="F20" s="27"/>
      <c r="G20" s="28"/>
      <c r="H20" s="27"/>
      <c r="I20" s="28"/>
      <c r="J20" s="27">
        <v>6</v>
      </c>
      <c r="K20" s="29" t="s">
        <v>35</v>
      </c>
      <c r="L20" s="39"/>
      <c r="M20" s="31"/>
      <c r="N20" s="27" t="s">
        <v>240</v>
      </c>
      <c r="O20" t="s">
        <v>46</v>
      </c>
      <c r="P20" s="32"/>
      <c r="Q20" s="25"/>
      <c r="R20" s="27"/>
      <c r="S20" s="27"/>
      <c r="T20" s="28"/>
      <c r="U20" s="27">
        <v>5</v>
      </c>
      <c r="V20" s="27"/>
      <c r="W20" s="28">
        <v>5</v>
      </c>
      <c r="X20" s="345" t="s">
        <v>47</v>
      </c>
      <c r="Y20" s="32"/>
      <c r="Z20" s="25"/>
      <c r="AA20" s="27"/>
      <c r="AB20" s="28"/>
      <c r="AC20" s="27">
        <v>3</v>
      </c>
      <c r="AD20" s="27">
        <v>2</v>
      </c>
      <c r="AE20" s="33"/>
      <c r="AG20" s="25"/>
      <c r="AH20" s="34"/>
      <c r="AI20" s="27"/>
      <c r="AJ20" s="27"/>
      <c r="AK20" s="27"/>
      <c r="AL20" s="25"/>
      <c r="AM20" s="34"/>
      <c r="AN20" s="27"/>
      <c r="AO20" s="27"/>
      <c r="AP20" s="36"/>
      <c r="AQ20" s="37"/>
      <c r="AR20" s="32"/>
      <c r="AS20" s="25"/>
      <c r="AT20" s="27"/>
      <c r="AU20" s="27"/>
      <c r="AW20" s="25"/>
      <c r="AX20" s="27"/>
      <c r="AY20" s="27"/>
      <c r="AZ20" s="32"/>
      <c r="BA20" s="41"/>
    </row>
    <row r="21" spans="1:53" x14ac:dyDescent="0.2">
      <c r="A21" s="25">
        <v>5</v>
      </c>
      <c r="B21" s="26">
        <v>45424</v>
      </c>
      <c r="C21" s="27" t="s">
        <v>232</v>
      </c>
      <c r="D21" s="25"/>
      <c r="E21" s="28"/>
      <c r="F21" s="27"/>
      <c r="G21" s="28"/>
      <c r="H21" s="27"/>
      <c r="I21" s="28"/>
      <c r="J21" s="27">
        <v>6</v>
      </c>
      <c r="K21" s="29" t="s">
        <v>35</v>
      </c>
      <c r="L21" s="39"/>
      <c r="M21" s="31"/>
      <c r="N21" s="27" t="s">
        <v>240</v>
      </c>
      <c r="P21" s="32"/>
      <c r="Q21" s="25"/>
      <c r="R21" s="27"/>
      <c r="S21" s="27"/>
      <c r="T21" s="28"/>
      <c r="U21" s="27">
        <v>5</v>
      </c>
      <c r="V21" s="27"/>
      <c r="W21" s="28">
        <v>5</v>
      </c>
      <c r="X21" s="346"/>
      <c r="Y21" s="32"/>
      <c r="Z21" s="25"/>
      <c r="AA21" s="27"/>
      <c r="AB21" s="28"/>
      <c r="AC21" s="27">
        <v>3</v>
      </c>
      <c r="AD21" s="27">
        <v>2</v>
      </c>
      <c r="AE21" s="33"/>
      <c r="AG21" s="25"/>
      <c r="AH21" s="34"/>
      <c r="AI21" s="27"/>
      <c r="AJ21" s="27"/>
      <c r="AK21" s="27"/>
      <c r="AL21" s="25"/>
      <c r="AM21" s="34"/>
      <c r="AN21" s="27"/>
      <c r="AO21" s="27"/>
      <c r="AP21" s="36"/>
      <c r="AQ21" s="37"/>
      <c r="AR21" s="32"/>
      <c r="AS21" s="25"/>
      <c r="AT21" s="27"/>
      <c r="AU21" s="27"/>
      <c r="AW21" s="25"/>
      <c r="AX21" s="27"/>
      <c r="AY21" s="27"/>
      <c r="AZ21" s="32"/>
      <c r="BA21" s="41"/>
    </row>
    <row r="22" spans="1:53" x14ac:dyDescent="0.2">
      <c r="A22" s="25">
        <v>6</v>
      </c>
      <c r="B22" s="26">
        <v>45425</v>
      </c>
      <c r="C22" s="27" t="s">
        <v>232</v>
      </c>
      <c r="D22" s="25"/>
      <c r="E22" s="28"/>
      <c r="F22" s="27"/>
      <c r="G22" s="28"/>
      <c r="H22" s="27"/>
      <c r="I22" s="28"/>
      <c r="J22" s="27">
        <v>6</v>
      </c>
      <c r="K22" s="29" t="s">
        <v>35</v>
      </c>
      <c r="L22" s="39"/>
      <c r="M22" s="31"/>
      <c r="N22" s="27" t="s">
        <v>240</v>
      </c>
      <c r="P22" s="32"/>
      <c r="Q22" s="25"/>
      <c r="R22" s="27"/>
      <c r="S22" s="27"/>
      <c r="T22" s="28"/>
      <c r="U22" s="27">
        <v>5</v>
      </c>
      <c r="V22" s="27"/>
      <c r="W22" s="28">
        <v>5</v>
      </c>
      <c r="X22" s="346"/>
      <c r="Y22" s="32"/>
      <c r="Z22" s="25"/>
      <c r="AA22" s="27"/>
      <c r="AB22" s="28"/>
      <c r="AC22" s="27">
        <v>3</v>
      </c>
      <c r="AD22" s="27">
        <v>2</v>
      </c>
      <c r="AE22" s="33"/>
      <c r="AG22" s="25"/>
      <c r="AH22" s="34"/>
      <c r="AI22" s="27"/>
      <c r="AJ22" s="27"/>
      <c r="AK22" s="27"/>
      <c r="AL22" s="25"/>
      <c r="AM22" s="34"/>
      <c r="AN22" s="27"/>
      <c r="AO22" s="27"/>
      <c r="AP22" s="36"/>
      <c r="AQ22" s="37"/>
      <c r="AR22" s="32"/>
      <c r="AS22" s="25"/>
      <c r="AT22" s="27"/>
      <c r="AU22" s="27"/>
      <c r="AW22" s="25"/>
      <c r="AX22" s="27"/>
      <c r="AY22" s="27"/>
      <c r="AZ22" s="32"/>
      <c r="BA22" s="41"/>
    </row>
    <row r="23" spans="1:53" x14ac:dyDescent="0.2">
      <c r="A23" s="25">
        <v>7</v>
      </c>
      <c r="B23" s="26">
        <v>45426</v>
      </c>
      <c r="C23" s="27" t="s">
        <v>232</v>
      </c>
      <c r="D23" s="25"/>
      <c r="E23" s="28"/>
      <c r="F23" s="27"/>
      <c r="G23" s="28"/>
      <c r="H23" s="27"/>
      <c r="I23" s="28"/>
      <c r="J23" s="27">
        <v>6</v>
      </c>
      <c r="K23" s="29" t="s">
        <v>35</v>
      </c>
      <c r="L23" s="39"/>
      <c r="M23" s="31" t="s">
        <v>441</v>
      </c>
      <c r="N23" s="27" t="s">
        <v>240</v>
      </c>
      <c r="P23" s="32"/>
      <c r="Q23" s="25"/>
      <c r="R23" s="27"/>
      <c r="S23" s="27"/>
      <c r="T23" s="28"/>
      <c r="U23" s="27">
        <v>5</v>
      </c>
      <c r="V23" s="27"/>
      <c r="W23" s="28">
        <v>5</v>
      </c>
      <c r="X23" s="346"/>
      <c r="Y23" s="32"/>
      <c r="Z23" s="25"/>
      <c r="AA23" s="27"/>
      <c r="AB23" s="28"/>
      <c r="AC23" s="27">
        <v>3</v>
      </c>
      <c r="AD23" s="27">
        <v>2</v>
      </c>
      <c r="AE23" s="33"/>
      <c r="AG23" s="25"/>
      <c r="AH23" s="34"/>
      <c r="AI23" s="27"/>
      <c r="AJ23" s="27"/>
      <c r="AK23" s="27"/>
      <c r="AL23" s="25"/>
      <c r="AM23" s="34"/>
      <c r="AN23" s="27"/>
      <c r="AO23" s="27"/>
      <c r="AP23" s="36"/>
      <c r="AQ23" s="37"/>
      <c r="AR23" s="32"/>
      <c r="AS23" s="25"/>
      <c r="AT23" s="27"/>
      <c r="AU23" s="27"/>
      <c r="AW23" s="25"/>
      <c r="AX23" s="27"/>
      <c r="AY23" s="27"/>
      <c r="AZ23" s="32"/>
      <c r="BA23" s="41"/>
    </row>
    <row r="24" spans="1:53" x14ac:dyDescent="0.2">
      <c r="A24" s="25">
        <v>8</v>
      </c>
      <c r="B24" s="26">
        <v>45427</v>
      </c>
      <c r="C24" s="27" t="s">
        <v>227</v>
      </c>
      <c r="D24" s="25"/>
      <c r="E24" s="28"/>
      <c r="F24" s="27"/>
      <c r="G24" s="28"/>
      <c r="H24" s="27"/>
      <c r="I24" s="28"/>
      <c r="J24" s="27">
        <v>6</v>
      </c>
      <c r="K24" s="29" t="s">
        <v>35</v>
      </c>
      <c r="L24" s="39"/>
      <c r="M24" s="31"/>
      <c r="N24" s="27" t="s">
        <v>240</v>
      </c>
      <c r="P24" s="32"/>
      <c r="Q24" s="25"/>
      <c r="R24" s="27"/>
      <c r="S24" s="27"/>
      <c r="T24" s="28"/>
      <c r="U24" s="27">
        <v>5</v>
      </c>
      <c r="V24" s="27"/>
      <c r="W24" s="28">
        <v>5</v>
      </c>
      <c r="X24" s="346"/>
      <c r="Y24" s="32"/>
      <c r="Z24" s="25"/>
      <c r="AA24" s="27"/>
      <c r="AB24" s="28"/>
      <c r="AC24" s="27">
        <v>3</v>
      </c>
      <c r="AD24" s="27">
        <v>2</v>
      </c>
      <c r="AE24" s="33"/>
      <c r="AG24" s="25"/>
      <c r="AH24" s="34"/>
      <c r="AI24" s="27"/>
      <c r="AJ24" s="27"/>
      <c r="AK24" s="27"/>
      <c r="AL24" s="25"/>
      <c r="AM24" s="34"/>
      <c r="AN24" s="27"/>
      <c r="AO24" s="27"/>
      <c r="AP24" s="36"/>
      <c r="AQ24" s="37"/>
      <c r="AR24" s="32"/>
      <c r="AS24" s="25"/>
      <c r="AT24" s="27"/>
      <c r="AU24" s="27"/>
      <c r="AW24" s="25"/>
      <c r="AX24" s="27"/>
      <c r="AY24" s="27"/>
      <c r="AZ24" s="32"/>
      <c r="BA24" s="41"/>
    </row>
    <row r="25" spans="1:53" ht="16" thickBot="1" x14ac:dyDescent="0.25">
      <c r="A25" s="25">
        <v>9</v>
      </c>
      <c r="B25" s="26">
        <v>45428</v>
      </c>
      <c r="C25" s="27" t="s">
        <v>200</v>
      </c>
      <c r="D25" s="25"/>
      <c r="E25" s="28"/>
      <c r="F25" s="27"/>
      <c r="G25" s="28"/>
      <c r="H25" s="27"/>
      <c r="I25" s="28"/>
      <c r="J25" s="27">
        <v>6</v>
      </c>
      <c r="K25" s="29" t="s">
        <v>35</v>
      </c>
      <c r="L25" s="39"/>
      <c r="M25" s="31"/>
      <c r="N25" s="27" t="s">
        <v>240</v>
      </c>
      <c r="P25" s="32"/>
      <c r="Q25" s="25"/>
      <c r="R25" s="27"/>
      <c r="S25" s="27"/>
      <c r="T25" s="28"/>
      <c r="U25" s="27">
        <v>5</v>
      </c>
      <c r="V25" s="27"/>
      <c r="W25" s="28">
        <v>5</v>
      </c>
      <c r="X25" s="346"/>
      <c r="Y25" s="32"/>
      <c r="Z25" s="25"/>
      <c r="AA25" s="27"/>
      <c r="AB25" s="28"/>
      <c r="AC25" s="27">
        <v>3</v>
      </c>
      <c r="AD25" s="27">
        <v>2</v>
      </c>
      <c r="AE25" s="33"/>
      <c r="AG25" s="25"/>
      <c r="AH25" s="34"/>
      <c r="AI25" s="27"/>
      <c r="AJ25" s="27"/>
      <c r="AK25" s="27"/>
      <c r="AL25" s="25"/>
      <c r="AM25" s="34"/>
      <c r="AN25" s="27"/>
      <c r="AO25" s="27"/>
      <c r="AP25" s="36"/>
      <c r="AQ25" s="37"/>
      <c r="AR25" s="32"/>
      <c r="AS25" s="25"/>
      <c r="AT25" s="27"/>
      <c r="AU25" s="27"/>
      <c r="AW25" s="25"/>
      <c r="AX25" s="27"/>
      <c r="AY25" s="27"/>
      <c r="AZ25" s="32"/>
      <c r="BA25" s="41"/>
    </row>
    <row r="26" spans="1:53" ht="16" thickBot="1" x14ac:dyDescent="0.25">
      <c r="A26" s="25">
        <v>10</v>
      </c>
      <c r="B26" s="26">
        <v>45429</v>
      </c>
      <c r="C26" s="27" t="s">
        <v>200</v>
      </c>
      <c r="D26" s="25"/>
      <c r="E26" s="28"/>
      <c r="F26" s="27"/>
      <c r="G26" s="28"/>
      <c r="H26" s="27"/>
      <c r="I26" s="28"/>
      <c r="J26" s="27">
        <v>6</v>
      </c>
      <c r="K26" s="29" t="s">
        <v>35</v>
      </c>
      <c r="L26" s="39"/>
      <c r="M26" s="31"/>
      <c r="N26" s="27" t="s">
        <v>240</v>
      </c>
      <c r="O26" s="49"/>
      <c r="P26" s="32"/>
      <c r="Q26" s="25"/>
      <c r="R26" s="27"/>
      <c r="S26" s="27"/>
      <c r="T26" s="28"/>
      <c r="U26" s="27">
        <v>5</v>
      </c>
      <c r="V26" s="27"/>
      <c r="W26" s="28">
        <v>5</v>
      </c>
      <c r="X26" s="346"/>
      <c r="Y26" s="32"/>
      <c r="Z26" s="25"/>
      <c r="AA26" s="27"/>
      <c r="AB26" s="28"/>
      <c r="AC26" s="27">
        <v>5</v>
      </c>
      <c r="AD26" s="27">
        <v>5</v>
      </c>
      <c r="AE26" s="50" t="s">
        <v>343</v>
      </c>
      <c r="AG26" s="25"/>
      <c r="AH26" s="34"/>
      <c r="AI26" s="27"/>
      <c r="AJ26" s="27"/>
      <c r="AK26" s="27"/>
      <c r="AL26" s="25"/>
      <c r="AM26" s="34"/>
      <c r="AN26" s="27"/>
      <c r="AO26" s="27"/>
      <c r="AP26" s="36"/>
      <c r="AQ26" s="37"/>
      <c r="AR26" s="32"/>
      <c r="AS26" s="25"/>
      <c r="AT26" s="27"/>
      <c r="AU26" s="27"/>
      <c r="AW26" s="25"/>
      <c r="AX26" s="27"/>
      <c r="AY26" s="27"/>
      <c r="AZ26" s="32"/>
      <c r="BA26" s="41"/>
    </row>
    <row r="27" spans="1:53" ht="16" thickBot="1" x14ac:dyDescent="0.25">
      <c r="A27" s="25">
        <v>11</v>
      </c>
      <c r="B27" s="26">
        <v>45430</v>
      </c>
      <c r="C27" s="27" t="s">
        <v>200</v>
      </c>
      <c r="D27" s="25"/>
      <c r="E27" s="28"/>
      <c r="F27" s="27"/>
      <c r="G27" s="28"/>
      <c r="H27" s="27"/>
      <c r="I27" s="28"/>
      <c r="J27" s="27">
        <v>6</v>
      </c>
      <c r="K27" s="29" t="s">
        <v>35</v>
      </c>
      <c r="L27" s="52"/>
      <c r="M27" s="31"/>
      <c r="N27" s="27" t="s">
        <v>240</v>
      </c>
      <c r="P27" s="32"/>
      <c r="Q27" s="25"/>
      <c r="R27" s="27"/>
      <c r="S27" s="27"/>
      <c r="T27" s="28"/>
      <c r="U27" s="27">
        <v>5</v>
      </c>
      <c r="V27" s="27"/>
      <c r="W27" s="28">
        <v>5</v>
      </c>
      <c r="X27" s="347"/>
      <c r="Y27" s="32"/>
      <c r="Z27" s="25"/>
      <c r="AA27" s="27"/>
      <c r="AB27" s="28"/>
      <c r="AC27" s="27">
        <v>5</v>
      </c>
      <c r="AD27" s="27">
        <v>5</v>
      </c>
      <c r="AE27" s="33"/>
      <c r="AF27" s="32"/>
      <c r="AG27" s="25"/>
      <c r="AH27" s="34"/>
      <c r="AI27" s="27"/>
      <c r="AJ27" s="27"/>
      <c r="AK27" s="27"/>
      <c r="AL27" s="25"/>
      <c r="AM27" s="34"/>
      <c r="AN27" s="27"/>
      <c r="AO27" s="27"/>
      <c r="AP27" s="36"/>
      <c r="AQ27" s="37"/>
      <c r="AR27" s="32"/>
      <c r="AS27" s="25"/>
      <c r="AT27" s="27"/>
      <c r="AU27" s="27"/>
      <c r="AW27" s="25"/>
      <c r="AX27" s="27"/>
      <c r="AY27" s="27"/>
      <c r="AZ27" s="32"/>
      <c r="BA27" s="41"/>
    </row>
    <row r="28" spans="1:53" ht="16" thickBot="1" x14ac:dyDescent="0.25">
      <c r="A28" s="25">
        <v>12</v>
      </c>
      <c r="B28" s="26">
        <v>45431</v>
      </c>
      <c r="C28" s="27" t="s">
        <v>200</v>
      </c>
      <c r="D28" s="25"/>
      <c r="E28" s="28"/>
      <c r="F28" s="27"/>
      <c r="G28" s="28"/>
      <c r="H28" s="27"/>
      <c r="I28" s="28"/>
      <c r="J28" s="27">
        <v>6</v>
      </c>
      <c r="K28" s="29" t="s">
        <v>35</v>
      </c>
      <c r="L28" s="53"/>
      <c r="M28" s="31"/>
      <c r="N28" s="27" t="s">
        <v>240</v>
      </c>
      <c r="P28" s="32"/>
      <c r="Q28" s="25"/>
      <c r="R28" s="27"/>
      <c r="S28" s="27"/>
      <c r="T28" s="28"/>
      <c r="U28" s="27">
        <v>1</v>
      </c>
      <c r="V28" s="27"/>
      <c r="W28" s="28">
        <v>1</v>
      </c>
      <c r="X28" s="54" t="s">
        <v>49</v>
      </c>
      <c r="Y28" s="32"/>
      <c r="Z28" s="25"/>
      <c r="AA28" s="27"/>
      <c r="AB28" s="28"/>
      <c r="AC28" s="27">
        <v>10</v>
      </c>
      <c r="AD28" s="27">
        <v>5</v>
      </c>
      <c r="AE28" s="50" t="s">
        <v>344</v>
      </c>
      <c r="AG28" s="25"/>
      <c r="AH28" s="34"/>
      <c r="AI28" s="27"/>
      <c r="AJ28" s="27"/>
      <c r="AK28" s="27"/>
      <c r="AL28" s="25"/>
      <c r="AM28" s="34"/>
      <c r="AN28" s="27"/>
      <c r="AO28" s="27"/>
      <c r="AP28" s="36"/>
      <c r="AQ28" s="37"/>
      <c r="AR28" s="32"/>
      <c r="AS28" s="25"/>
      <c r="AT28" s="27"/>
      <c r="AU28" s="27"/>
      <c r="AW28" s="25"/>
      <c r="AX28" s="27"/>
      <c r="AY28" s="27"/>
      <c r="AZ28" s="32"/>
      <c r="BA28" s="41"/>
    </row>
    <row r="29" spans="1:53" ht="16" thickBot="1" x14ac:dyDescent="0.25">
      <c r="A29" s="25">
        <v>13</v>
      </c>
      <c r="B29" s="26">
        <v>45432</v>
      </c>
      <c r="C29" s="27" t="s">
        <v>200</v>
      </c>
      <c r="D29" s="25"/>
      <c r="E29" s="28"/>
      <c r="F29" s="27"/>
      <c r="G29" s="28"/>
      <c r="H29" s="27"/>
      <c r="I29" s="28"/>
      <c r="J29" s="27">
        <v>6</v>
      </c>
      <c r="K29" s="29" t="s">
        <v>35</v>
      </c>
      <c r="L29" s="39"/>
      <c r="M29" s="31"/>
      <c r="N29" s="27" t="s">
        <v>240</v>
      </c>
      <c r="P29" s="32"/>
      <c r="Q29" s="25"/>
      <c r="R29" s="27"/>
      <c r="S29" s="27"/>
      <c r="T29" s="28"/>
      <c r="U29" s="27">
        <v>1</v>
      </c>
      <c r="V29" s="27"/>
      <c r="W29" s="28">
        <v>1</v>
      </c>
      <c r="X29" s="33"/>
      <c r="Y29" s="32"/>
      <c r="Z29" s="55"/>
      <c r="AA29" s="56"/>
      <c r="AB29" s="57"/>
      <c r="AC29" s="27">
        <v>10</v>
      </c>
      <c r="AD29" s="27">
        <v>5</v>
      </c>
      <c r="AE29" s="33"/>
      <c r="AG29" s="25"/>
      <c r="AH29" s="34"/>
      <c r="AI29" s="27"/>
      <c r="AJ29" s="27"/>
      <c r="AK29" s="27"/>
      <c r="AL29" s="25"/>
      <c r="AM29" s="34"/>
      <c r="AN29" s="27"/>
      <c r="AO29" s="27"/>
      <c r="AP29" s="36"/>
      <c r="AQ29" s="37"/>
      <c r="AR29" s="32"/>
      <c r="AS29" s="25"/>
      <c r="AT29" s="27"/>
      <c r="AU29" s="201"/>
      <c r="AW29" s="25"/>
      <c r="AX29" s="27"/>
      <c r="AY29" s="27"/>
      <c r="AZ29" s="32"/>
      <c r="BA29" s="41"/>
    </row>
    <row r="30" spans="1:53" ht="16" thickBot="1" x14ac:dyDescent="0.25">
      <c r="A30" s="25">
        <v>14</v>
      </c>
      <c r="B30" s="26">
        <v>45433</v>
      </c>
      <c r="C30" s="27" t="s">
        <v>232</v>
      </c>
      <c r="D30" s="25"/>
      <c r="E30" s="28"/>
      <c r="F30" s="27"/>
      <c r="G30" s="28"/>
      <c r="H30" s="27"/>
      <c r="I30" s="28"/>
      <c r="J30" s="27">
        <v>6</v>
      </c>
      <c r="K30" s="29" t="s">
        <v>35</v>
      </c>
      <c r="L30" s="39"/>
      <c r="M30" s="31"/>
      <c r="N30" s="27" t="s">
        <v>240</v>
      </c>
      <c r="P30" s="32"/>
      <c r="Q30" s="25"/>
      <c r="R30" s="27"/>
      <c r="S30" s="27"/>
      <c r="T30" s="28"/>
      <c r="U30" s="27">
        <v>1</v>
      </c>
      <c r="V30" s="27"/>
      <c r="W30" s="28">
        <v>1</v>
      </c>
      <c r="X30" s="33"/>
      <c r="Y30" s="32"/>
      <c r="Z30" s="59"/>
      <c r="AA30" s="60"/>
      <c r="AB30" s="61"/>
      <c r="AC30" s="27">
        <v>10</v>
      </c>
      <c r="AD30" s="27">
        <v>5</v>
      </c>
      <c r="AE30" s="33"/>
      <c r="AG30" s="25"/>
      <c r="AH30" s="34"/>
      <c r="AI30" s="27"/>
      <c r="AJ30" s="27"/>
      <c r="AK30" s="27"/>
      <c r="AL30" s="25"/>
      <c r="AM30" s="34"/>
      <c r="AN30" s="27"/>
      <c r="AO30" s="27"/>
      <c r="AP30" s="36"/>
      <c r="AQ30" s="37"/>
      <c r="AR30" s="32"/>
      <c r="AS30" s="25"/>
      <c r="AT30" s="27"/>
      <c r="AW30" s="25"/>
      <c r="AX30" s="27"/>
      <c r="AY30" s="27"/>
      <c r="AZ30" s="32"/>
      <c r="BA30" s="62"/>
    </row>
    <row r="31" spans="1:53" ht="16" thickBot="1" x14ac:dyDescent="0.25">
      <c r="A31" s="25">
        <v>15</v>
      </c>
      <c r="B31" s="26">
        <v>45434</v>
      </c>
      <c r="C31" s="27" t="s">
        <v>232</v>
      </c>
      <c r="D31" s="25"/>
      <c r="E31" s="28"/>
      <c r="F31" s="27"/>
      <c r="G31" s="28"/>
      <c r="H31" s="27"/>
      <c r="I31" s="28"/>
      <c r="J31" s="27">
        <v>6</v>
      </c>
      <c r="K31" s="29" t="s">
        <v>35</v>
      </c>
      <c r="L31" s="39"/>
      <c r="M31" s="31"/>
      <c r="N31" s="27" t="s">
        <v>240</v>
      </c>
      <c r="P31" s="32"/>
      <c r="Q31" s="25"/>
      <c r="R31" s="27"/>
      <c r="S31" s="27"/>
      <c r="T31" s="28"/>
      <c r="U31" s="27">
        <v>1</v>
      </c>
      <c r="V31" s="27"/>
      <c r="W31" s="28">
        <v>1</v>
      </c>
      <c r="X31" s="33"/>
      <c r="Y31" s="32"/>
      <c r="Z31" s="25"/>
      <c r="AA31" s="27"/>
      <c r="AB31" s="28"/>
      <c r="AC31" s="27">
        <v>10</v>
      </c>
      <c r="AD31" s="27">
        <v>5</v>
      </c>
      <c r="AE31" s="33"/>
      <c r="AG31" s="25"/>
      <c r="AH31" s="34"/>
      <c r="AI31" s="27"/>
      <c r="AJ31" s="27"/>
      <c r="AK31" s="27"/>
      <c r="AL31" s="25"/>
      <c r="AM31" s="34"/>
      <c r="AN31" s="27"/>
      <c r="AO31" s="27"/>
      <c r="AP31" s="36"/>
      <c r="AQ31" s="37"/>
      <c r="AR31" s="32"/>
      <c r="AS31" s="25"/>
      <c r="AT31" s="27"/>
      <c r="AU31" s="201"/>
      <c r="AW31" s="25"/>
      <c r="AX31" s="27"/>
      <c r="AY31" s="27"/>
      <c r="AZ31" s="32"/>
      <c r="BA31" s="41"/>
    </row>
    <row r="32" spans="1:53" ht="16" thickBot="1" x14ac:dyDescent="0.25">
      <c r="A32" s="25">
        <v>16</v>
      </c>
      <c r="B32" s="26">
        <v>45435</v>
      </c>
      <c r="C32" s="27" t="s">
        <v>232</v>
      </c>
      <c r="D32" s="25"/>
      <c r="E32" s="28"/>
      <c r="F32" s="27"/>
      <c r="G32" s="28"/>
      <c r="H32" s="27"/>
      <c r="I32" s="28"/>
      <c r="J32" s="27">
        <v>6</v>
      </c>
      <c r="K32" s="29" t="s">
        <v>35</v>
      </c>
      <c r="L32" s="44" t="s">
        <v>288</v>
      </c>
      <c r="M32" s="31"/>
      <c r="N32" s="27" t="s">
        <v>240</v>
      </c>
      <c r="P32" s="32"/>
      <c r="Q32" s="25"/>
      <c r="R32" s="27"/>
      <c r="S32" s="27"/>
      <c r="T32" s="28"/>
      <c r="U32" s="27">
        <v>1</v>
      </c>
      <c r="V32" s="27"/>
      <c r="W32" s="28">
        <v>1</v>
      </c>
      <c r="X32" s="63" t="s">
        <v>60</v>
      </c>
      <c r="Y32" s="46" t="s">
        <v>61</v>
      </c>
      <c r="AB32" s="28"/>
      <c r="AC32" s="27">
        <v>10</v>
      </c>
      <c r="AD32" s="27">
        <v>5</v>
      </c>
      <c r="AE32" s="33"/>
      <c r="AG32" s="25"/>
      <c r="AH32" s="34"/>
      <c r="AI32" s="27"/>
      <c r="AJ32" s="27"/>
      <c r="AK32" s="27"/>
      <c r="AL32" s="25"/>
      <c r="AM32" s="34"/>
      <c r="AN32" s="27"/>
      <c r="AO32" s="27"/>
      <c r="AP32" s="36"/>
      <c r="AQ32" s="64"/>
      <c r="AR32" s="65"/>
      <c r="AS32" s="25"/>
      <c r="AT32" s="27"/>
      <c r="AU32" s="27"/>
      <c r="AW32" s="25"/>
      <c r="AX32" s="27"/>
      <c r="AY32" s="27"/>
      <c r="AZ32" s="32"/>
      <c r="BA32" s="41"/>
    </row>
    <row r="33" spans="1:54" x14ac:dyDescent="0.2">
      <c r="A33" s="25">
        <v>17</v>
      </c>
      <c r="B33" s="26">
        <v>45436</v>
      </c>
      <c r="C33" s="27" t="s">
        <v>200</v>
      </c>
      <c r="D33" s="25"/>
      <c r="E33" s="28"/>
      <c r="F33" s="27"/>
      <c r="G33" s="28"/>
      <c r="H33" s="27"/>
      <c r="I33" s="28"/>
      <c r="J33" s="27">
        <v>6</v>
      </c>
      <c r="K33" s="29" t="s">
        <v>35</v>
      </c>
      <c r="L33" s="39" t="s">
        <v>457</v>
      </c>
      <c r="M33" s="31"/>
      <c r="N33" s="27" t="s">
        <v>240</v>
      </c>
      <c r="P33" s="32"/>
      <c r="Q33" s="25"/>
      <c r="R33" s="27"/>
      <c r="S33" s="27"/>
      <c r="T33" s="28"/>
      <c r="U33" s="27"/>
      <c r="V33" s="27" t="s">
        <v>154</v>
      </c>
      <c r="W33" s="28"/>
      <c r="X33" s="33" t="s">
        <v>155</v>
      </c>
      <c r="Y33" s="32"/>
      <c r="Z33" s="25"/>
      <c r="AA33" s="27"/>
      <c r="AB33" s="28"/>
      <c r="AC33" s="27">
        <v>10</v>
      </c>
      <c r="AD33" s="27">
        <v>5</v>
      </c>
      <c r="AE33" s="33"/>
      <c r="AG33" s="25"/>
      <c r="AH33" s="34"/>
      <c r="AI33" s="27"/>
      <c r="AJ33" s="27"/>
      <c r="AK33" s="27"/>
      <c r="AL33" s="25"/>
      <c r="AM33" s="34"/>
      <c r="AN33" s="27"/>
      <c r="AO33" s="27"/>
      <c r="AP33" s="36"/>
      <c r="AQ33" s="37"/>
      <c r="AR33" s="32"/>
      <c r="AS33" s="25"/>
      <c r="AT33" s="27"/>
      <c r="AU33" s="27"/>
      <c r="AW33" s="25"/>
      <c r="AX33" s="27"/>
      <c r="AY33" s="27"/>
      <c r="AZ33" s="32"/>
      <c r="BA33" s="41"/>
    </row>
    <row r="34" spans="1:54" ht="16" thickBot="1" x14ac:dyDescent="0.25">
      <c r="A34" s="25">
        <v>18</v>
      </c>
      <c r="B34" s="26">
        <v>45437</v>
      </c>
      <c r="C34" s="27" t="s">
        <v>200</v>
      </c>
      <c r="D34" s="25"/>
      <c r="E34" s="28"/>
      <c r="F34" s="27"/>
      <c r="G34" s="28"/>
      <c r="H34" s="27"/>
      <c r="I34" s="28"/>
      <c r="J34" s="27">
        <v>6</v>
      </c>
      <c r="K34" s="29" t="s">
        <v>35</v>
      </c>
      <c r="L34" s="39"/>
      <c r="M34" s="31"/>
      <c r="N34" s="27" t="s">
        <v>240</v>
      </c>
      <c r="P34" s="66"/>
      <c r="Q34" s="25"/>
      <c r="R34" s="27"/>
      <c r="S34" s="27"/>
      <c r="T34" s="28"/>
      <c r="U34" s="27"/>
      <c r="V34" s="27" t="s">
        <v>154</v>
      </c>
      <c r="W34" s="28"/>
      <c r="X34" s="33"/>
      <c r="Y34" s="32"/>
      <c r="Z34" s="25"/>
      <c r="AA34" s="27"/>
      <c r="AB34" s="28"/>
      <c r="AC34" s="27">
        <v>10</v>
      </c>
      <c r="AD34" s="27">
        <v>5</v>
      </c>
      <c r="AE34" s="33"/>
      <c r="AG34" s="25"/>
      <c r="AH34" s="34"/>
      <c r="AI34" s="27">
        <v>2.5000000000000001E-2</v>
      </c>
      <c r="AJ34" s="27"/>
      <c r="AK34" s="27">
        <v>2.5000000000000001E-2</v>
      </c>
      <c r="AL34" s="25"/>
      <c r="AM34" s="34"/>
      <c r="AN34" s="27"/>
      <c r="AO34" s="27"/>
      <c r="AP34" s="36"/>
      <c r="AQ34" s="67" t="s">
        <v>65</v>
      </c>
      <c r="AR34" s="46" t="s">
        <v>350</v>
      </c>
      <c r="AS34" s="25"/>
      <c r="AT34" s="27"/>
      <c r="AW34" s="25"/>
      <c r="AX34" s="27"/>
      <c r="AY34" s="27"/>
      <c r="AZ34" s="32"/>
      <c r="BA34" s="41"/>
    </row>
    <row r="35" spans="1:54" ht="16" thickBot="1" x14ac:dyDescent="0.25">
      <c r="A35" s="25">
        <v>19</v>
      </c>
      <c r="B35" s="26">
        <v>45438</v>
      </c>
      <c r="C35" s="27" t="s">
        <v>232</v>
      </c>
      <c r="D35" s="25"/>
      <c r="E35" s="28"/>
      <c r="F35" s="27"/>
      <c r="G35" s="28"/>
      <c r="H35" s="27"/>
      <c r="I35" s="28"/>
      <c r="J35" s="27">
        <v>6</v>
      </c>
      <c r="K35" s="29" t="s">
        <v>35</v>
      </c>
      <c r="L35" s="39"/>
      <c r="M35" s="31"/>
      <c r="N35" s="27" t="s">
        <v>240</v>
      </c>
      <c r="P35" s="32"/>
      <c r="Q35" s="25"/>
      <c r="R35" s="27"/>
      <c r="S35" s="27"/>
      <c r="T35" s="28"/>
      <c r="U35" s="27"/>
      <c r="V35" s="27" t="s">
        <v>154</v>
      </c>
      <c r="W35" s="28"/>
      <c r="X35" s="33"/>
      <c r="Y35" s="32"/>
      <c r="Z35" s="25"/>
      <c r="AA35" s="27"/>
      <c r="AB35" s="28"/>
      <c r="AC35" s="27">
        <v>10</v>
      </c>
      <c r="AD35" s="27">
        <v>5</v>
      </c>
      <c r="AE35" s="33"/>
      <c r="AG35" s="25"/>
      <c r="AH35" s="34"/>
      <c r="AI35" s="27">
        <v>2.5000000000000001E-2</v>
      </c>
      <c r="AJ35" s="27"/>
      <c r="AK35" s="27">
        <v>2.5000000000000001E-2</v>
      </c>
      <c r="AL35" s="25"/>
      <c r="AM35" s="34"/>
      <c r="AN35" s="27"/>
      <c r="AO35" s="27"/>
      <c r="AP35" s="36"/>
      <c r="AQ35" s="203"/>
      <c r="AR35" s="32" t="s">
        <v>64</v>
      </c>
      <c r="AS35" s="25"/>
      <c r="AT35" s="27"/>
      <c r="AU35" s="27"/>
      <c r="AW35" s="25"/>
      <c r="AX35" s="27"/>
      <c r="AY35" s="27"/>
      <c r="AZ35" s="32"/>
      <c r="BA35" s="62"/>
    </row>
    <row r="36" spans="1:54" x14ac:dyDescent="0.2">
      <c r="A36" s="25">
        <v>20</v>
      </c>
      <c r="B36" s="26">
        <v>45439</v>
      </c>
      <c r="C36" s="27" t="s">
        <v>232</v>
      </c>
      <c r="D36" s="25"/>
      <c r="E36" s="28"/>
      <c r="F36" s="27"/>
      <c r="G36" s="28"/>
      <c r="H36" s="27"/>
      <c r="I36" s="28"/>
      <c r="J36" s="27">
        <v>6</v>
      </c>
      <c r="K36" s="29" t="s">
        <v>35</v>
      </c>
      <c r="L36" s="39"/>
      <c r="M36" s="197"/>
      <c r="N36" s="27" t="s">
        <v>240</v>
      </c>
      <c r="O36" s="306" t="s">
        <v>66</v>
      </c>
      <c r="P36" s="32"/>
      <c r="Q36" s="25"/>
      <c r="R36" s="27"/>
      <c r="S36" s="27"/>
      <c r="T36" s="28"/>
      <c r="U36" s="27"/>
      <c r="V36" s="27" t="s">
        <v>154</v>
      </c>
      <c r="W36" s="28"/>
      <c r="X36" s="33"/>
      <c r="Y36" s="32"/>
      <c r="Z36" s="25"/>
      <c r="AA36" s="27"/>
      <c r="AB36" s="28"/>
      <c r="AC36" s="27">
        <v>10</v>
      </c>
      <c r="AD36" s="27">
        <v>5</v>
      </c>
      <c r="AE36" s="33"/>
      <c r="AG36" s="25"/>
      <c r="AH36" s="34"/>
      <c r="AI36" s="27">
        <v>2.5000000000000001E-2</v>
      </c>
      <c r="AJ36" s="27"/>
      <c r="AK36" s="27">
        <v>2.5000000000000001E-2</v>
      </c>
      <c r="AL36" s="25"/>
      <c r="AM36" s="34"/>
      <c r="AN36" s="27"/>
      <c r="AO36" s="27"/>
      <c r="AP36" s="36"/>
      <c r="AQ36" s="37"/>
      <c r="AR36" s="32" t="s">
        <v>64</v>
      </c>
      <c r="AS36" s="25"/>
      <c r="AT36" s="27"/>
      <c r="AU36" s="27"/>
      <c r="AW36" s="25"/>
      <c r="AX36" s="27"/>
      <c r="AY36" s="27"/>
      <c r="AZ36" s="32"/>
      <c r="BA36" s="41"/>
    </row>
    <row r="37" spans="1:54" ht="16" thickBot="1" x14ac:dyDescent="0.25">
      <c r="A37" s="70">
        <v>21</v>
      </c>
      <c r="B37" s="26">
        <v>45440</v>
      </c>
      <c r="C37" s="71" t="s">
        <v>232</v>
      </c>
      <c r="D37" s="70"/>
      <c r="E37" s="72"/>
      <c r="F37" s="71"/>
      <c r="G37" s="72"/>
      <c r="H37" s="71"/>
      <c r="I37" s="72"/>
      <c r="J37" s="27">
        <v>6</v>
      </c>
      <c r="K37" s="29" t="s">
        <v>35</v>
      </c>
      <c r="L37" s="39"/>
      <c r="M37" s="198"/>
      <c r="N37" s="27" t="s">
        <v>240</v>
      </c>
      <c r="O37" s="307"/>
      <c r="P37" s="74"/>
      <c r="Q37" s="70"/>
      <c r="R37" s="71"/>
      <c r="S37" s="71"/>
      <c r="T37" s="72"/>
      <c r="U37" s="71"/>
      <c r="V37" s="71" t="s">
        <v>154</v>
      </c>
      <c r="W37" s="72"/>
      <c r="X37" s="33"/>
      <c r="Y37" s="75"/>
      <c r="Z37" s="70"/>
      <c r="AA37" s="71"/>
      <c r="AB37" s="72"/>
      <c r="AC37" s="27">
        <v>10</v>
      </c>
      <c r="AD37" s="71">
        <v>5</v>
      </c>
      <c r="AE37" s="33"/>
      <c r="AF37" s="76"/>
      <c r="AG37" s="70"/>
      <c r="AH37" s="77"/>
      <c r="AI37" s="27">
        <v>2.5000000000000001E-2</v>
      </c>
      <c r="AJ37" s="27"/>
      <c r="AK37" s="27">
        <v>2.5000000000000001E-2</v>
      </c>
      <c r="AL37" s="70"/>
      <c r="AM37" s="77"/>
      <c r="AN37" s="27"/>
      <c r="AO37" s="71"/>
      <c r="AP37" s="78"/>
      <c r="AQ37" s="37"/>
      <c r="AR37" s="32" t="s">
        <v>64</v>
      </c>
      <c r="AS37" s="70"/>
      <c r="AT37" s="27"/>
      <c r="AU37" s="71"/>
      <c r="AV37" s="76"/>
      <c r="AW37" s="70"/>
      <c r="AX37" s="71"/>
      <c r="AY37" s="71"/>
      <c r="AZ37" s="75"/>
      <c r="BA37" s="79"/>
    </row>
    <row r="38" spans="1:54" ht="16" thickBot="1" x14ac:dyDescent="0.25">
      <c r="A38" s="25">
        <v>22</v>
      </c>
      <c r="B38" s="26">
        <v>45441</v>
      </c>
      <c r="C38" s="27" t="s">
        <v>232</v>
      </c>
      <c r="D38" s="25"/>
      <c r="E38" s="28"/>
      <c r="F38" s="27"/>
      <c r="G38" s="28"/>
      <c r="H38" s="27"/>
      <c r="I38" s="28"/>
      <c r="J38" s="27">
        <v>6</v>
      </c>
      <c r="K38" s="29" t="s">
        <v>35</v>
      </c>
      <c r="L38" s="39"/>
      <c r="M38" s="197"/>
      <c r="N38" s="27" t="s">
        <v>240</v>
      </c>
      <c r="O38" s="307"/>
      <c r="P38" s="46"/>
      <c r="Q38" s="43"/>
      <c r="R38" s="27"/>
      <c r="S38" s="27"/>
      <c r="T38" s="28"/>
      <c r="U38" s="27"/>
      <c r="V38" s="27" t="s">
        <v>154</v>
      </c>
      <c r="W38" s="28"/>
      <c r="X38" s="33"/>
      <c r="Y38" s="32"/>
      <c r="Z38" s="60"/>
      <c r="AA38" s="60"/>
      <c r="AB38" s="61"/>
      <c r="AC38" s="27">
        <v>10</v>
      </c>
      <c r="AD38" s="27">
        <v>5</v>
      </c>
      <c r="AE38" s="33"/>
      <c r="AG38" s="25"/>
      <c r="AH38" s="34"/>
      <c r="AI38" s="27">
        <v>2.5000000000000001E-2</v>
      </c>
      <c r="AJ38" s="27"/>
      <c r="AK38" s="27">
        <v>2.5000000000000001E-2</v>
      </c>
      <c r="AL38" s="25"/>
      <c r="AM38" s="34"/>
      <c r="AN38" s="27"/>
      <c r="AO38" s="27"/>
      <c r="AP38" s="36"/>
      <c r="AQ38" s="37"/>
      <c r="AR38" s="32" t="s">
        <v>64</v>
      </c>
      <c r="AS38" s="25"/>
      <c r="AT38" s="27"/>
      <c r="AU38" s="27"/>
      <c r="AW38" s="25"/>
      <c r="AX38" s="27"/>
      <c r="AY38" s="27"/>
      <c r="AZ38" s="32"/>
      <c r="BA38" s="80" t="s">
        <v>68</v>
      </c>
    </row>
    <row r="39" spans="1:54" ht="16" thickBot="1" x14ac:dyDescent="0.25">
      <c r="A39" s="25">
        <v>23</v>
      </c>
      <c r="B39" s="26">
        <v>45442</v>
      </c>
      <c r="C39" s="27" t="s">
        <v>232</v>
      </c>
      <c r="D39" s="25"/>
      <c r="E39" s="28"/>
      <c r="F39" s="27"/>
      <c r="G39" s="28"/>
      <c r="H39" s="27"/>
      <c r="I39" s="28"/>
      <c r="J39" s="27">
        <v>6</v>
      </c>
      <c r="K39" s="29" t="s">
        <v>35</v>
      </c>
      <c r="L39" s="39"/>
      <c r="M39" s="31"/>
      <c r="N39" s="27" t="s">
        <v>240</v>
      </c>
      <c r="O39" s="307"/>
      <c r="P39" s="32"/>
      <c r="Q39" s="25"/>
      <c r="R39" s="27"/>
      <c r="S39" s="27"/>
      <c r="T39" s="28"/>
      <c r="U39" s="27"/>
      <c r="V39" s="27" t="s">
        <v>154</v>
      </c>
      <c r="W39" s="28"/>
      <c r="X39" s="33"/>
      <c r="Y39" s="32"/>
      <c r="Z39" s="25"/>
      <c r="AA39" s="27"/>
      <c r="AB39" s="28"/>
      <c r="AC39" s="27">
        <v>10</v>
      </c>
      <c r="AD39" s="27">
        <v>5</v>
      </c>
      <c r="AE39" s="33"/>
      <c r="AG39" s="25"/>
      <c r="AH39" s="34"/>
      <c r="AI39" s="27">
        <v>2.5000000000000001E-2</v>
      </c>
      <c r="AJ39" s="27"/>
      <c r="AK39" s="27">
        <v>2.5000000000000001E-2</v>
      </c>
      <c r="AL39" s="25"/>
      <c r="AM39" s="34"/>
      <c r="AN39" s="27"/>
      <c r="AO39" s="27"/>
      <c r="AP39" s="36"/>
      <c r="AQ39" s="37"/>
      <c r="AR39" s="32" t="s">
        <v>64</v>
      </c>
      <c r="AS39" s="25"/>
      <c r="AT39" s="27"/>
      <c r="AU39" s="201"/>
      <c r="AW39" s="25"/>
      <c r="AX39" s="27"/>
      <c r="AY39" s="27"/>
      <c r="AZ39" s="32"/>
      <c r="BA39" s="41" t="s">
        <v>465</v>
      </c>
      <c r="BB39" t="s">
        <v>466</v>
      </c>
    </row>
    <row r="40" spans="1:54" ht="16" thickBot="1" x14ac:dyDescent="0.25">
      <c r="A40" s="25">
        <v>24</v>
      </c>
      <c r="B40" s="26">
        <v>45443</v>
      </c>
      <c r="C40" s="27" t="s">
        <v>200</v>
      </c>
      <c r="D40" s="25"/>
      <c r="E40" s="28"/>
      <c r="F40" s="27"/>
      <c r="G40" s="28"/>
      <c r="H40" s="27"/>
      <c r="I40" s="28"/>
      <c r="J40" s="27">
        <v>6</v>
      </c>
      <c r="K40" s="29" t="s">
        <v>35</v>
      </c>
      <c r="L40" s="44" t="s">
        <v>289</v>
      </c>
      <c r="M40" s="31"/>
      <c r="N40" s="27" t="s">
        <v>240</v>
      </c>
      <c r="O40" s="307"/>
      <c r="P40" s="32"/>
      <c r="Q40" s="25"/>
      <c r="R40" s="27"/>
      <c r="S40" s="27"/>
      <c r="T40" s="28"/>
      <c r="U40" s="27"/>
      <c r="V40" s="27" t="s">
        <v>154</v>
      </c>
      <c r="W40" s="28"/>
      <c r="X40" s="33"/>
      <c r="Y40" s="32"/>
      <c r="Z40" s="25"/>
      <c r="AA40" s="27"/>
      <c r="AB40" s="28"/>
      <c r="AC40" s="27">
        <v>10</v>
      </c>
      <c r="AD40" s="27">
        <v>5</v>
      </c>
      <c r="AF40" s="46" t="s">
        <v>290</v>
      </c>
      <c r="AG40" s="25"/>
      <c r="AH40" s="34"/>
      <c r="AI40" s="27">
        <v>2.5000000000000001E-2</v>
      </c>
      <c r="AJ40" s="27"/>
      <c r="AK40" s="27">
        <v>2.5000000000000001E-2</v>
      </c>
      <c r="AL40" s="25"/>
      <c r="AM40" s="34"/>
      <c r="AN40" s="27"/>
      <c r="AO40" s="27"/>
      <c r="AP40" s="36"/>
      <c r="AQ40" s="37"/>
      <c r="AR40" s="46" t="s">
        <v>351</v>
      </c>
      <c r="AS40" s="25" t="s">
        <v>72</v>
      </c>
      <c r="AT40" s="27" t="s">
        <v>52</v>
      </c>
      <c r="AU40" s="58" t="s">
        <v>295</v>
      </c>
      <c r="AW40" s="25"/>
      <c r="AX40" s="27"/>
      <c r="AY40" s="27"/>
      <c r="AZ40" s="32"/>
      <c r="BA40" s="41">
        <v>24</v>
      </c>
    </row>
    <row r="41" spans="1:54" ht="16" thickBot="1" x14ac:dyDescent="0.25">
      <c r="A41" s="25">
        <v>25</v>
      </c>
      <c r="B41" s="26">
        <v>45444</v>
      </c>
      <c r="C41" s="27" t="s">
        <v>200</v>
      </c>
      <c r="D41" s="25"/>
      <c r="E41" s="28"/>
      <c r="F41" s="27"/>
      <c r="G41" s="28"/>
      <c r="H41" s="27"/>
      <c r="I41" s="28"/>
      <c r="J41" s="27">
        <v>6</v>
      </c>
      <c r="K41" s="29" t="s">
        <v>35</v>
      </c>
      <c r="L41" s="39"/>
      <c r="M41" s="31"/>
      <c r="N41" s="27" t="s">
        <v>240</v>
      </c>
      <c r="O41" s="307"/>
      <c r="P41" s="81"/>
      <c r="Q41" s="43"/>
      <c r="R41" s="27"/>
      <c r="S41" s="27"/>
      <c r="T41" s="28"/>
      <c r="U41" s="27"/>
      <c r="V41" s="27" t="s">
        <v>154</v>
      </c>
      <c r="W41" s="28"/>
      <c r="X41" s="33"/>
      <c r="Y41" s="32"/>
      <c r="Z41" s="27"/>
      <c r="AA41" s="27"/>
      <c r="AB41" s="28"/>
      <c r="AC41" s="27"/>
      <c r="AD41" s="27"/>
      <c r="AE41" s="27"/>
      <c r="AG41" s="25"/>
      <c r="AH41" s="34"/>
      <c r="AI41" s="27">
        <v>0.1</v>
      </c>
      <c r="AJ41" s="27">
        <v>0.1</v>
      </c>
      <c r="AK41" s="27">
        <v>0.1</v>
      </c>
      <c r="AL41" s="25"/>
      <c r="AM41" s="34"/>
      <c r="AN41" s="27"/>
      <c r="AO41" s="27"/>
      <c r="AP41" s="36"/>
      <c r="AQ41" s="37"/>
      <c r="AR41" s="32" t="s">
        <v>75</v>
      </c>
      <c r="AS41" s="25" t="s">
        <v>72</v>
      </c>
      <c r="AT41" s="27" t="s">
        <v>52</v>
      </c>
      <c r="AW41" s="25"/>
      <c r="AX41" s="27"/>
      <c r="AY41" s="27"/>
      <c r="AZ41" s="32"/>
      <c r="BA41" s="41">
        <v>33</v>
      </c>
    </row>
    <row r="42" spans="1:54" ht="16" thickBot="1" x14ac:dyDescent="0.25">
      <c r="A42" s="25">
        <v>26</v>
      </c>
      <c r="B42" s="26">
        <v>45445</v>
      </c>
      <c r="C42" s="27" t="s">
        <v>232</v>
      </c>
      <c r="D42" s="25"/>
      <c r="E42" s="28"/>
      <c r="F42" s="27"/>
      <c r="G42" s="28"/>
      <c r="H42" s="27"/>
      <c r="I42" s="28"/>
      <c r="J42" s="27">
        <v>6</v>
      </c>
      <c r="K42" s="29" t="s">
        <v>35</v>
      </c>
      <c r="L42" s="39"/>
      <c r="M42" s="31"/>
      <c r="N42" s="27" t="s">
        <v>240</v>
      </c>
      <c r="O42" s="307"/>
      <c r="P42" s="32"/>
      <c r="Q42" s="25"/>
      <c r="R42" s="27"/>
      <c r="S42" s="27"/>
      <c r="T42" s="28"/>
      <c r="U42" s="27"/>
      <c r="V42" s="27" t="s">
        <v>154</v>
      </c>
      <c r="W42" s="28"/>
      <c r="X42" s="33"/>
      <c r="Y42" s="32"/>
      <c r="Z42" s="25"/>
      <c r="AA42" s="27"/>
      <c r="AB42" s="28"/>
      <c r="AC42" s="27"/>
      <c r="AD42" s="27"/>
      <c r="AE42" s="33"/>
      <c r="AG42" s="25"/>
      <c r="AH42" s="34"/>
      <c r="AI42" s="27">
        <v>0.1</v>
      </c>
      <c r="AJ42" s="27">
        <v>0.1</v>
      </c>
      <c r="AK42" s="27">
        <v>0.1</v>
      </c>
      <c r="AL42" s="25"/>
      <c r="AM42" s="34"/>
      <c r="AN42" s="27"/>
      <c r="AO42" s="27"/>
      <c r="AP42" s="36"/>
      <c r="AQ42" s="37"/>
      <c r="AR42" s="32" t="s">
        <v>75</v>
      </c>
      <c r="AS42" s="25" t="s">
        <v>72</v>
      </c>
      <c r="AT42" s="27" t="s">
        <v>52</v>
      </c>
      <c r="AW42" s="25"/>
      <c r="AX42" s="27"/>
      <c r="AY42" s="27"/>
      <c r="AZ42" s="32"/>
      <c r="BA42" s="41">
        <v>45</v>
      </c>
    </row>
    <row r="43" spans="1:54" ht="16" thickBot="1" x14ac:dyDescent="0.25">
      <c r="A43" s="25">
        <v>27</v>
      </c>
      <c r="B43" s="26">
        <v>45446</v>
      </c>
      <c r="C43" s="27" t="s">
        <v>232</v>
      </c>
      <c r="D43" s="25"/>
      <c r="E43" s="28"/>
      <c r="F43" s="27"/>
      <c r="G43" s="28"/>
      <c r="H43" s="27"/>
      <c r="I43" s="28"/>
      <c r="J43" s="27">
        <v>6</v>
      </c>
      <c r="K43" s="29" t="s">
        <v>35</v>
      </c>
      <c r="L43" s="39"/>
      <c r="M43" s="31"/>
      <c r="N43" s="27" t="s">
        <v>240</v>
      </c>
      <c r="O43" s="307"/>
      <c r="P43" s="32"/>
      <c r="Q43" s="25"/>
      <c r="R43" s="27"/>
      <c r="S43" s="27"/>
      <c r="T43" s="28"/>
      <c r="U43" s="27"/>
      <c r="V43" s="27" t="s">
        <v>154</v>
      </c>
      <c r="W43" s="28"/>
      <c r="X43" s="33"/>
      <c r="Y43" s="32"/>
      <c r="Z43" s="25"/>
      <c r="AA43" s="27"/>
      <c r="AB43" s="28"/>
      <c r="AC43" s="27"/>
      <c r="AD43" s="27"/>
      <c r="AE43" s="33"/>
      <c r="AG43" s="25"/>
      <c r="AH43" s="34"/>
      <c r="AI43" s="27">
        <v>0.1</v>
      </c>
      <c r="AJ43" s="27">
        <v>0.1</v>
      </c>
      <c r="AK43" s="27">
        <v>0.1</v>
      </c>
      <c r="AL43" s="25"/>
      <c r="AM43" s="34"/>
      <c r="AN43" s="27"/>
      <c r="AO43" s="27"/>
      <c r="AP43" s="36"/>
      <c r="AQ43" s="82" t="s">
        <v>292</v>
      </c>
      <c r="AR43" s="32" t="s">
        <v>352</v>
      </c>
      <c r="AS43" s="25" t="s">
        <v>72</v>
      </c>
      <c r="AT43" s="27" t="s">
        <v>52</v>
      </c>
      <c r="AU43" s="27"/>
      <c r="AW43" s="25"/>
      <c r="AX43" s="27"/>
      <c r="AY43" s="27"/>
      <c r="AZ43" s="32"/>
      <c r="BA43" s="41">
        <v>13</v>
      </c>
    </row>
    <row r="44" spans="1:54" x14ac:dyDescent="0.2">
      <c r="A44" s="25">
        <v>28</v>
      </c>
      <c r="B44" s="26">
        <v>45447</v>
      </c>
      <c r="C44" s="27" t="s">
        <v>227</v>
      </c>
      <c r="D44" s="25"/>
      <c r="E44" s="28"/>
      <c r="F44" s="27"/>
      <c r="G44" s="28"/>
      <c r="H44" s="27"/>
      <c r="I44" s="28"/>
      <c r="J44" s="27">
        <v>6</v>
      </c>
      <c r="K44" s="29" t="s">
        <v>35</v>
      </c>
      <c r="L44" s="39"/>
      <c r="M44" s="31"/>
      <c r="N44" s="27" t="s">
        <v>240</v>
      </c>
      <c r="O44" s="307"/>
      <c r="P44" s="32"/>
      <c r="Q44" s="25"/>
      <c r="R44" s="27"/>
      <c r="S44" s="27"/>
      <c r="T44" s="28"/>
      <c r="U44" s="27"/>
      <c r="V44" s="27" t="s">
        <v>154</v>
      </c>
      <c r="W44" s="28"/>
      <c r="Y44" s="32"/>
      <c r="Z44" s="25"/>
      <c r="AA44" s="27"/>
      <c r="AB44" s="28"/>
      <c r="AC44" s="27"/>
      <c r="AD44" s="27"/>
      <c r="AE44" s="33"/>
      <c r="AG44" s="25"/>
      <c r="AH44" s="34"/>
      <c r="AI44" s="27">
        <v>0.1</v>
      </c>
      <c r="AJ44" s="27">
        <v>0.1</v>
      </c>
      <c r="AK44" s="27">
        <v>0.1</v>
      </c>
      <c r="AL44" s="25"/>
      <c r="AM44" s="34"/>
      <c r="AN44" s="27">
        <v>2.5000000000000001E-2</v>
      </c>
      <c r="AO44" s="27"/>
      <c r="AP44" s="36">
        <v>2.5000000000000001E-2</v>
      </c>
      <c r="AR44" s="32" t="s">
        <v>293</v>
      </c>
      <c r="AS44" s="25" t="s">
        <v>72</v>
      </c>
      <c r="AT44" s="27" t="s">
        <v>52</v>
      </c>
      <c r="AU44" s="27"/>
      <c r="AW44" s="25"/>
      <c r="AX44" s="27"/>
      <c r="AY44" s="27"/>
      <c r="AZ44" s="32"/>
      <c r="BA44" s="41">
        <v>16</v>
      </c>
    </row>
    <row r="45" spans="1:54" ht="17.25" customHeight="1" thickBot="1" x14ac:dyDescent="0.25">
      <c r="A45" s="25">
        <v>29</v>
      </c>
      <c r="B45" s="26">
        <v>45448</v>
      </c>
      <c r="C45" s="27" t="s">
        <v>227</v>
      </c>
      <c r="D45" s="25"/>
      <c r="E45" s="28"/>
      <c r="F45" s="27"/>
      <c r="G45" s="28"/>
      <c r="H45" s="27"/>
      <c r="I45" s="28"/>
      <c r="J45" s="27">
        <v>6</v>
      </c>
      <c r="K45" s="29" t="s">
        <v>345</v>
      </c>
      <c r="L45" s="39"/>
      <c r="M45" s="153" t="s">
        <v>487</v>
      </c>
      <c r="N45" s="27" t="s">
        <v>240</v>
      </c>
      <c r="O45" s="307"/>
      <c r="P45" s="32"/>
      <c r="Q45" s="25"/>
      <c r="R45" s="27"/>
      <c r="S45" s="27"/>
      <c r="T45" s="28"/>
      <c r="U45" s="27"/>
      <c r="V45" s="27" t="s">
        <v>154</v>
      </c>
      <c r="W45" s="28"/>
      <c r="X45" s="33"/>
      <c r="Y45" s="32"/>
      <c r="Z45" s="25"/>
      <c r="AA45" s="27"/>
      <c r="AB45" s="28"/>
      <c r="AC45" s="27"/>
      <c r="AD45" s="27"/>
      <c r="AE45" s="33"/>
      <c r="AG45" s="25"/>
      <c r="AH45" s="34"/>
      <c r="AI45" s="27">
        <v>0.1</v>
      </c>
      <c r="AJ45" s="27">
        <v>0.1</v>
      </c>
      <c r="AK45" s="27">
        <v>0.1</v>
      </c>
      <c r="AL45" s="25"/>
      <c r="AM45" s="34"/>
      <c r="AN45" s="27">
        <v>2.5000000000000001E-2</v>
      </c>
      <c r="AO45" s="27"/>
      <c r="AP45" s="36">
        <v>2.5000000000000001E-2</v>
      </c>
      <c r="AQ45" s="37"/>
      <c r="AR45" s="32" t="s">
        <v>293</v>
      </c>
      <c r="AS45" s="25" t="s">
        <v>72</v>
      </c>
      <c r="AT45" s="27" t="s">
        <v>52</v>
      </c>
      <c r="AU45" s="27"/>
      <c r="AW45" s="25"/>
      <c r="AX45" s="27"/>
      <c r="AY45" s="27"/>
      <c r="AZ45" s="32"/>
      <c r="BA45" s="41">
        <v>7</v>
      </c>
    </row>
    <row r="46" spans="1:54" s="87" customFormat="1" ht="16" thickBot="1" x14ac:dyDescent="0.25">
      <c r="A46" s="25">
        <v>30</v>
      </c>
      <c r="B46" s="26">
        <v>45449</v>
      </c>
      <c r="C46" s="27" t="s">
        <v>227</v>
      </c>
      <c r="D46" s="25"/>
      <c r="E46" s="28"/>
      <c r="F46" s="27"/>
      <c r="G46" s="28"/>
      <c r="H46" s="27"/>
      <c r="I46" s="28"/>
      <c r="J46" s="27">
        <v>6</v>
      </c>
      <c r="K46" s="29" t="s">
        <v>346</v>
      </c>
      <c r="L46" s="39"/>
      <c r="M46" s="31"/>
      <c r="N46" s="27" t="s">
        <v>240</v>
      </c>
      <c r="O46" s="307"/>
      <c r="Q46" s="83"/>
      <c r="R46" s="83"/>
      <c r="S46" s="83"/>
      <c r="T46" s="83"/>
      <c r="U46" s="83"/>
      <c r="V46" s="83" t="s">
        <v>481</v>
      </c>
      <c r="W46" s="83"/>
      <c r="X46" s="83"/>
      <c r="Y46" s="87" t="s">
        <v>482</v>
      </c>
      <c r="Z46" s="83"/>
      <c r="AA46" s="83"/>
      <c r="AB46" s="83"/>
      <c r="AC46" s="83"/>
      <c r="AD46" s="83"/>
      <c r="AE46" s="83"/>
      <c r="AG46" s="83"/>
      <c r="AH46" s="83"/>
      <c r="AI46" s="83">
        <v>0.1</v>
      </c>
      <c r="AJ46" s="83"/>
      <c r="AK46" s="83">
        <v>0.1</v>
      </c>
      <c r="AL46" s="83"/>
      <c r="AM46" s="83"/>
      <c r="AN46" s="83">
        <v>0.05</v>
      </c>
      <c r="AO46" s="83">
        <v>0.05</v>
      </c>
      <c r="AP46" s="83">
        <v>0.05</v>
      </c>
      <c r="AR46" s="190" t="s">
        <v>294</v>
      </c>
      <c r="AS46" s="83" t="s">
        <v>72</v>
      </c>
      <c r="AT46" s="83" t="s">
        <v>52</v>
      </c>
      <c r="AU46" s="83"/>
      <c r="AW46" s="83"/>
      <c r="AX46" s="83"/>
      <c r="AY46" s="83"/>
      <c r="BA46" s="83">
        <v>9</v>
      </c>
    </row>
    <row r="47" spans="1:54" x14ac:dyDescent="0.2">
      <c r="A47" s="25">
        <v>31</v>
      </c>
      <c r="B47" s="26">
        <v>45450</v>
      </c>
      <c r="C47" s="27" t="s">
        <v>200</v>
      </c>
      <c r="D47" s="25"/>
      <c r="E47" s="28"/>
      <c r="F47" s="27"/>
      <c r="G47" s="28"/>
      <c r="H47" s="27"/>
      <c r="I47" s="28"/>
      <c r="J47" s="202">
        <v>45357</v>
      </c>
      <c r="K47" s="29" t="s">
        <v>347</v>
      </c>
      <c r="L47" s="39" t="s">
        <v>484</v>
      </c>
      <c r="M47" s="31"/>
      <c r="N47" s="27" t="s">
        <v>272</v>
      </c>
      <c r="O47" s="307"/>
      <c r="P47" s="32"/>
      <c r="Q47" s="25"/>
      <c r="R47" s="27"/>
      <c r="S47" s="27"/>
      <c r="T47" s="28"/>
      <c r="U47" s="27"/>
      <c r="V47" s="27" t="s">
        <v>154</v>
      </c>
      <c r="W47" s="28"/>
      <c r="X47" s="33"/>
      <c r="Y47" s="32"/>
      <c r="Z47" s="25"/>
      <c r="AA47" s="27"/>
      <c r="AB47" s="28"/>
      <c r="AC47" s="27"/>
      <c r="AD47" s="27"/>
      <c r="AE47" s="33"/>
      <c r="AG47" s="25"/>
      <c r="AH47" s="34"/>
      <c r="AI47" s="27">
        <v>0.1</v>
      </c>
      <c r="AJ47" s="27"/>
      <c r="AK47" s="27">
        <v>0.1</v>
      </c>
      <c r="AL47" s="25"/>
      <c r="AM47" s="34"/>
      <c r="AN47" s="27">
        <v>0.05</v>
      </c>
      <c r="AO47" s="27">
        <v>0.05</v>
      </c>
      <c r="AP47" s="36">
        <v>0.05</v>
      </c>
      <c r="AQ47" s="37"/>
      <c r="AR47" s="66"/>
      <c r="AS47" s="25" t="s">
        <v>72</v>
      </c>
      <c r="AT47" s="27" t="s">
        <v>52</v>
      </c>
      <c r="AU47" s="27"/>
      <c r="AW47" s="25"/>
      <c r="AX47" s="27"/>
      <c r="AY47" s="27"/>
      <c r="AZ47" s="32"/>
      <c r="BA47" s="41">
        <v>14</v>
      </c>
    </row>
    <row r="48" spans="1:54" x14ac:dyDescent="0.2">
      <c r="A48" s="25">
        <v>32</v>
      </c>
      <c r="B48" s="26">
        <v>45451</v>
      </c>
      <c r="C48" s="27" t="s">
        <v>200</v>
      </c>
      <c r="D48" s="25"/>
      <c r="E48" s="28"/>
      <c r="F48" s="27"/>
      <c r="G48" s="28"/>
      <c r="H48" s="27"/>
      <c r="I48" s="28"/>
      <c r="J48" s="202">
        <v>45357</v>
      </c>
      <c r="K48" s="29" t="s">
        <v>35</v>
      </c>
      <c r="L48" s="39"/>
      <c r="M48" s="31"/>
      <c r="N48" s="27" t="s">
        <v>272</v>
      </c>
      <c r="O48" s="307"/>
      <c r="P48" s="32"/>
      <c r="Q48" s="25"/>
      <c r="R48" s="27"/>
      <c r="S48" s="27"/>
      <c r="T48" s="28"/>
      <c r="U48" s="27"/>
      <c r="V48" s="27" t="s">
        <v>154</v>
      </c>
      <c r="W48" s="28"/>
      <c r="X48" s="33"/>
      <c r="Y48" s="32"/>
      <c r="Z48" s="25"/>
      <c r="AA48" s="27"/>
      <c r="AB48" s="28"/>
      <c r="AC48" s="27"/>
      <c r="AD48" s="27"/>
      <c r="AE48" s="33"/>
      <c r="AG48" s="25"/>
      <c r="AH48" s="34"/>
      <c r="AI48" s="27"/>
      <c r="AJ48" s="27"/>
      <c r="AK48" s="27"/>
      <c r="AL48" s="25"/>
      <c r="AM48" s="34"/>
      <c r="AN48" s="27">
        <v>0.1</v>
      </c>
      <c r="AO48" s="27">
        <v>0.1</v>
      </c>
      <c r="AP48" s="36">
        <v>0.1</v>
      </c>
      <c r="AQ48" s="37"/>
      <c r="AR48" s="32"/>
      <c r="AS48" s="25" t="s">
        <v>72</v>
      </c>
      <c r="AT48" s="27" t="s">
        <v>52</v>
      </c>
      <c r="AU48" s="27"/>
      <c r="AW48" s="27" t="s">
        <v>325</v>
      </c>
      <c r="AX48" s="27" t="s">
        <v>95</v>
      </c>
      <c r="AY48" s="27"/>
      <c r="AZ48" s="32"/>
      <c r="BA48" s="41">
        <v>3</v>
      </c>
    </row>
    <row r="49" spans="1:53" x14ac:dyDescent="0.2">
      <c r="A49" s="25">
        <v>33</v>
      </c>
      <c r="B49" s="26">
        <v>45452</v>
      </c>
      <c r="C49" s="27" t="s">
        <v>232</v>
      </c>
      <c r="D49" s="25"/>
      <c r="E49" s="28"/>
      <c r="F49" s="27"/>
      <c r="G49" s="28"/>
      <c r="H49" s="27"/>
      <c r="I49" s="28"/>
      <c r="J49" s="202">
        <v>45357</v>
      </c>
      <c r="K49" s="29" t="s">
        <v>35</v>
      </c>
      <c r="L49" s="39"/>
      <c r="M49" s="31"/>
      <c r="N49" s="27" t="s">
        <v>272</v>
      </c>
      <c r="O49" s="307"/>
      <c r="P49" s="32"/>
      <c r="Q49" s="25"/>
      <c r="R49" s="27"/>
      <c r="S49" s="27"/>
      <c r="T49" s="28"/>
      <c r="U49" s="27"/>
      <c r="V49" s="27" t="s">
        <v>154</v>
      </c>
      <c r="W49" s="28"/>
      <c r="X49" s="33"/>
      <c r="Y49" s="32"/>
      <c r="Z49" s="25"/>
      <c r="AA49" s="27"/>
      <c r="AB49" s="28"/>
      <c r="AC49" s="27"/>
      <c r="AD49" s="27"/>
      <c r="AE49" s="33"/>
      <c r="AG49" s="25"/>
      <c r="AH49" s="34"/>
      <c r="AI49" s="27"/>
      <c r="AJ49" s="27"/>
      <c r="AK49" s="27"/>
      <c r="AL49" s="25"/>
      <c r="AM49" s="34"/>
      <c r="AN49" s="27">
        <v>0.1</v>
      </c>
      <c r="AO49" s="27">
        <v>0.1</v>
      </c>
      <c r="AP49" s="36">
        <v>0.1</v>
      </c>
      <c r="AQ49" s="37"/>
      <c r="AR49" s="32"/>
      <c r="AS49" s="25" t="s">
        <v>72</v>
      </c>
      <c r="AT49" s="27" t="s">
        <v>52</v>
      </c>
      <c r="AW49" s="27" t="s">
        <v>325</v>
      </c>
      <c r="AX49" s="27" t="s">
        <v>95</v>
      </c>
      <c r="AY49" s="27"/>
      <c r="AZ49" s="32"/>
      <c r="BA49" s="41">
        <v>2</v>
      </c>
    </row>
    <row r="50" spans="1:53" ht="16" thickBot="1" x14ac:dyDescent="0.25">
      <c r="A50" s="25">
        <v>34</v>
      </c>
      <c r="B50" s="26">
        <v>45453</v>
      </c>
      <c r="C50" s="27" t="s">
        <v>232</v>
      </c>
      <c r="D50" s="25"/>
      <c r="E50" s="28"/>
      <c r="F50" s="27"/>
      <c r="G50" s="28"/>
      <c r="H50" s="27"/>
      <c r="I50" s="28"/>
      <c r="J50" s="202">
        <v>45357</v>
      </c>
      <c r="K50" s="29" t="s">
        <v>35</v>
      </c>
      <c r="L50" s="39"/>
      <c r="M50" s="31"/>
      <c r="N50" s="27" t="s">
        <v>272</v>
      </c>
      <c r="O50" s="307"/>
      <c r="P50" s="32" t="s">
        <v>488</v>
      </c>
      <c r="Q50" s="25"/>
      <c r="R50" s="27"/>
      <c r="S50" s="27"/>
      <c r="T50" s="28"/>
      <c r="U50" s="27"/>
      <c r="V50" s="27" t="s">
        <v>154</v>
      </c>
      <c r="W50" s="28"/>
      <c r="X50" s="33"/>
      <c r="Y50" s="32"/>
      <c r="Z50" s="25"/>
      <c r="AA50" s="27"/>
      <c r="AB50" s="28"/>
      <c r="AC50" s="27"/>
      <c r="AD50" s="27"/>
      <c r="AE50" s="33"/>
      <c r="AG50" s="25"/>
      <c r="AH50" s="34"/>
      <c r="AI50" s="27"/>
      <c r="AJ50" s="27"/>
      <c r="AK50" s="27"/>
      <c r="AL50" s="25"/>
      <c r="AM50" s="34"/>
      <c r="AN50" s="27">
        <v>0.1</v>
      </c>
      <c r="AO50" s="27">
        <v>0.1</v>
      </c>
      <c r="AP50" s="36">
        <v>0.1</v>
      </c>
      <c r="AQ50" s="37"/>
      <c r="AR50" s="32"/>
      <c r="AS50" s="25" t="s">
        <v>72</v>
      </c>
      <c r="AT50" s="27" t="s">
        <v>52</v>
      </c>
      <c r="AU50" s="27"/>
      <c r="AW50" s="27" t="s">
        <v>325</v>
      </c>
      <c r="AX50" s="27" t="s">
        <v>95</v>
      </c>
      <c r="AY50" s="27"/>
      <c r="AZ50" s="32"/>
      <c r="BA50" s="41">
        <v>8</v>
      </c>
    </row>
    <row r="51" spans="1:53" ht="16" thickBot="1" x14ac:dyDescent="0.25">
      <c r="A51" s="25">
        <v>35</v>
      </c>
      <c r="B51" s="26">
        <v>45454</v>
      </c>
      <c r="C51" s="27" t="s">
        <v>227</v>
      </c>
      <c r="D51" s="25"/>
      <c r="E51" s="28"/>
      <c r="F51" s="27"/>
      <c r="G51" s="28"/>
      <c r="H51" s="27"/>
      <c r="I51" s="28"/>
      <c r="J51" s="202">
        <v>45357</v>
      </c>
      <c r="K51" s="29" t="s">
        <v>35</v>
      </c>
      <c r="L51" s="39"/>
      <c r="M51" s="31"/>
      <c r="N51" s="27" t="s">
        <v>240</v>
      </c>
      <c r="O51" s="307"/>
      <c r="P51" s="32" t="s">
        <v>490</v>
      </c>
      <c r="Q51" s="25"/>
      <c r="R51" s="27"/>
      <c r="S51" s="27"/>
      <c r="T51" s="28"/>
      <c r="U51" s="27"/>
      <c r="V51" s="27" t="s">
        <v>154</v>
      </c>
      <c r="W51" s="28"/>
      <c r="X51" s="33"/>
      <c r="Y51" s="32"/>
      <c r="Z51" s="25"/>
      <c r="AA51" s="27"/>
      <c r="AB51" s="28"/>
      <c r="AC51" s="27"/>
      <c r="AD51" s="27"/>
      <c r="AE51" s="33"/>
      <c r="AG51" s="25"/>
      <c r="AH51" s="34"/>
      <c r="AI51" s="27"/>
      <c r="AJ51" s="27"/>
      <c r="AK51" s="27"/>
      <c r="AL51" s="25"/>
      <c r="AM51" s="34"/>
      <c r="AN51" s="27">
        <v>0.1</v>
      </c>
      <c r="AO51" s="27">
        <v>0.1</v>
      </c>
      <c r="AP51" s="36">
        <v>0.1</v>
      </c>
      <c r="AQ51" s="37"/>
      <c r="AR51" s="32" t="s">
        <v>489</v>
      </c>
      <c r="AS51" s="25" t="s">
        <v>72</v>
      </c>
      <c r="AT51" s="27" t="s">
        <v>52</v>
      </c>
      <c r="AU51" s="58" t="s">
        <v>77</v>
      </c>
      <c r="AW51" s="27" t="s">
        <v>325</v>
      </c>
      <c r="AX51" s="27" t="s">
        <v>91</v>
      </c>
      <c r="AY51" s="27"/>
      <c r="AZ51" s="32"/>
      <c r="BA51" s="41">
        <v>9</v>
      </c>
    </row>
    <row r="52" spans="1:53" ht="16" thickBot="1" x14ac:dyDescent="0.25">
      <c r="A52" s="25">
        <v>36</v>
      </c>
      <c r="B52" s="26">
        <v>45455</v>
      </c>
      <c r="C52" s="27" t="s">
        <v>227</v>
      </c>
      <c r="D52" s="25"/>
      <c r="E52" s="28"/>
      <c r="F52" s="27"/>
      <c r="G52" s="28"/>
      <c r="H52" s="27"/>
      <c r="I52" s="28"/>
      <c r="J52" s="202">
        <v>45357</v>
      </c>
      <c r="K52" s="29" t="s">
        <v>35</v>
      </c>
      <c r="L52" s="53"/>
      <c r="M52" s="31"/>
      <c r="N52" s="27" t="s">
        <v>272</v>
      </c>
      <c r="O52" s="307"/>
      <c r="P52" s="32" t="s">
        <v>497</v>
      </c>
      <c r="Q52" s="25"/>
      <c r="R52" s="27"/>
      <c r="S52" s="27"/>
      <c r="T52" s="28"/>
      <c r="U52" s="27"/>
      <c r="V52" s="27" t="s">
        <v>154</v>
      </c>
      <c r="W52" s="28"/>
      <c r="X52" s="33"/>
      <c r="Y52" s="32"/>
      <c r="Z52" s="25"/>
      <c r="AA52" s="27"/>
      <c r="AB52" s="28"/>
      <c r="AC52" s="27"/>
      <c r="AD52" s="27"/>
      <c r="AE52" s="33"/>
      <c r="AG52" s="25"/>
      <c r="AH52" s="34"/>
      <c r="AI52" s="27"/>
      <c r="AJ52" s="27"/>
      <c r="AK52" s="27"/>
      <c r="AL52" s="25"/>
      <c r="AM52" s="34"/>
      <c r="AN52" s="27">
        <v>0.1</v>
      </c>
      <c r="AO52" s="27">
        <v>0.1</v>
      </c>
      <c r="AP52" s="36">
        <v>0.1</v>
      </c>
      <c r="AQ52" s="37"/>
      <c r="AR52" s="32"/>
      <c r="AS52" s="25" t="s">
        <v>78</v>
      </c>
      <c r="AT52" s="27" t="s">
        <v>52</v>
      </c>
      <c r="AW52" s="27" t="s">
        <v>325</v>
      </c>
      <c r="AX52" s="27" t="s">
        <v>91</v>
      </c>
      <c r="AY52" s="27"/>
      <c r="AZ52" s="32"/>
      <c r="BA52" s="41">
        <v>13</v>
      </c>
    </row>
    <row r="53" spans="1:53" ht="16" thickBot="1" x14ac:dyDescent="0.25">
      <c r="A53" s="25">
        <v>37</v>
      </c>
      <c r="B53" s="26">
        <v>45456</v>
      </c>
      <c r="C53" s="27" t="s">
        <v>232</v>
      </c>
      <c r="D53" s="25"/>
      <c r="E53" s="28"/>
      <c r="F53" s="27"/>
      <c r="G53" s="28"/>
      <c r="H53" s="27"/>
      <c r="I53" s="28"/>
      <c r="J53" s="202">
        <v>45357</v>
      </c>
      <c r="K53" s="29" t="s">
        <v>35</v>
      </c>
      <c r="L53" s="53"/>
      <c r="M53" s="31"/>
      <c r="N53" s="27" t="s">
        <v>272</v>
      </c>
      <c r="O53" s="307"/>
      <c r="P53" s="32"/>
      <c r="Q53" s="25"/>
      <c r="R53" s="27"/>
      <c r="S53" s="27"/>
      <c r="T53" s="28"/>
      <c r="U53" s="27"/>
      <c r="V53" s="27" t="s">
        <v>154</v>
      </c>
      <c r="W53" s="28"/>
      <c r="X53" s="33"/>
      <c r="Y53" s="32"/>
      <c r="Z53" s="59"/>
      <c r="AA53" s="60"/>
      <c r="AB53" s="61"/>
      <c r="AC53" s="27"/>
      <c r="AD53" s="27"/>
      <c r="AE53" s="33"/>
      <c r="AG53" s="25"/>
      <c r="AH53" s="34"/>
      <c r="AI53" s="27"/>
      <c r="AJ53" s="27"/>
      <c r="AK53" s="27"/>
      <c r="AL53" s="25"/>
      <c r="AM53" s="34"/>
      <c r="AN53" s="27">
        <v>0.1</v>
      </c>
      <c r="AO53" s="27">
        <v>0.1</v>
      </c>
      <c r="AP53" s="36">
        <v>0.1</v>
      </c>
      <c r="AQ53" s="37"/>
      <c r="AR53" s="32"/>
      <c r="AS53" s="25" t="s">
        <v>78</v>
      </c>
      <c r="AT53" s="27" t="s">
        <v>52</v>
      </c>
      <c r="AU53" s="27"/>
      <c r="AW53" s="27" t="s">
        <v>325</v>
      </c>
      <c r="AX53" s="27" t="s">
        <v>91</v>
      </c>
      <c r="AY53" s="27"/>
      <c r="AZ53" s="32"/>
      <c r="BA53" s="41">
        <v>11</v>
      </c>
    </row>
    <row r="54" spans="1:53" x14ac:dyDescent="0.2">
      <c r="A54" s="25">
        <v>38</v>
      </c>
      <c r="B54" s="26">
        <v>45457</v>
      </c>
      <c r="C54" s="27" t="s">
        <v>200</v>
      </c>
      <c r="D54" s="25"/>
      <c r="E54" s="28"/>
      <c r="F54" s="27"/>
      <c r="G54" s="28"/>
      <c r="H54" s="27"/>
      <c r="I54" s="28"/>
      <c r="J54" s="202">
        <v>45357</v>
      </c>
      <c r="K54" s="29" t="s">
        <v>35</v>
      </c>
      <c r="L54" s="39"/>
      <c r="M54" s="31"/>
      <c r="N54" s="27" t="s">
        <v>272</v>
      </c>
      <c r="O54" s="307"/>
      <c r="P54" s="32"/>
      <c r="Q54" s="25"/>
      <c r="R54" s="27"/>
      <c r="S54" s="27"/>
      <c r="T54" s="28"/>
      <c r="U54" s="27"/>
      <c r="V54" s="27" t="s">
        <v>502</v>
      </c>
      <c r="W54" s="28"/>
      <c r="X54" s="33" t="s">
        <v>503</v>
      </c>
      <c r="Y54" s="32"/>
      <c r="Z54" s="25"/>
      <c r="AA54" s="27"/>
      <c r="AB54" s="28"/>
      <c r="AC54" s="27"/>
      <c r="AD54" s="27"/>
      <c r="AE54" s="33"/>
      <c r="AG54" s="25"/>
      <c r="AH54" s="34"/>
      <c r="AI54" s="27"/>
      <c r="AJ54" s="27"/>
      <c r="AK54" s="27"/>
      <c r="AL54" s="25"/>
      <c r="AM54" s="34"/>
      <c r="AN54" s="27" t="s">
        <v>500</v>
      </c>
      <c r="AO54" s="27" t="s">
        <v>501</v>
      </c>
      <c r="AP54" s="36">
        <v>0.1</v>
      </c>
      <c r="AQ54" s="37"/>
      <c r="AR54" s="32"/>
      <c r="AS54" s="25" t="s">
        <v>78</v>
      </c>
      <c r="AT54" s="27" t="s">
        <v>52</v>
      </c>
      <c r="AU54" s="27"/>
      <c r="AW54" s="27" t="s">
        <v>325</v>
      </c>
      <c r="AX54" s="27" t="s">
        <v>91</v>
      </c>
      <c r="AY54" s="27"/>
      <c r="AZ54" s="32"/>
      <c r="BA54" s="41">
        <v>21</v>
      </c>
    </row>
    <row r="55" spans="1:53" ht="16" thickBot="1" x14ac:dyDescent="0.25">
      <c r="A55" s="25">
        <v>39</v>
      </c>
      <c r="B55" s="26">
        <v>45458</v>
      </c>
      <c r="C55" s="27" t="s">
        <v>200</v>
      </c>
      <c r="D55" s="25"/>
      <c r="E55" s="28"/>
      <c r="F55" s="27"/>
      <c r="G55" s="28"/>
      <c r="H55" s="27"/>
      <c r="I55" s="28"/>
      <c r="J55" s="202">
        <v>45357</v>
      </c>
      <c r="K55" s="29" t="s">
        <v>35</v>
      </c>
      <c r="L55" t="s">
        <v>504</v>
      </c>
      <c r="M55" s="31"/>
      <c r="N55" s="27" t="s">
        <v>272</v>
      </c>
      <c r="O55" s="307"/>
      <c r="P55" s="32"/>
      <c r="Q55" s="25"/>
      <c r="R55" s="27"/>
      <c r="S55" s="27"/>
      <c r="T55" s="28"/>
      <c r="U55" s="27"/>
      <c r="V55" s="27" t="s">
        <v>154</v>
      </c>
      <c r="W55" s="28"/>
      <c r="X55" s="33"/>
      <c r="Y55" s="32"/>
      <c r="Z55" s="25"/>
      <c r="AA55" s="27"/>
      <c r="AB55" s="28"/>
      <c r="AC55" s="27"/>
      <c r="AD55" s="27"/>
      <c r="AE55" s="33"/>
      <c r="AG55" s="25"/>
      <c r="AH55" s="34"/>
      <c r="AI55" s="27"/>
      <c r="AJ55" s="27"/>
      <c r="AK55" s="27"/>
      <c r="AL55" s="25"/>
      <c r="AM55" s="34"/>
      <c r="AN55" s="27">
        <v>0.1</v>
      </c>
      <c r="AO55" s="27">
        <v>0.1</v>
      </c>
      <c r="AP55" s="36">
        <v>0.1</v>
      </c>
      <c r="AQ55" s="37"/>
      <c r="AR55" s="32"/>
      <c r="AS55" s="25" t="s">
        <v>78</v>
      </c>
      <c r="AT55" s="27" t="s">
        <v>52</v>
      </c>
      <c r="AU55" s="27"/>
      <c r="AW55" s="27" t="s">
        <v>325</v>
      </c>
      <c r="AX55" s="27" t="s">
        <v>91</v>
      </c>
      <c r="AY55" s="27"/>
      <c r="AZ55" s="32"/>
      <c r="BA55" s="41">
        <v>19</v>
      </c>
    </row>
    <row r="56" spans="1:53" ht="16" thickBot="1" x14ac:dyDescent="0.25">
      <c r="A56" s="25">
        <v>40</v>
      </c>
      <c r="B56" s="26">
        <v>45459</v>
      </c>
      <c r="C56" s="27" t="s">
        <v>232</v>
      </c>
      <c r="D56" s="25"/>
      <c r="E56" s="28"/>
      <c r="F56" s="27"/>
      <c r="G56" s="28"/>
      <c r="H56" s="27"/>
      <c r="I56" s="28"/>
      <c r="J56" s="202">
        <v>45357</v>
      </c>
      <c r="K56" s="29" t="s">
        <v>35</v>
      </c>
      <c r="L56" s="53"/>
      <c r="M56" s="31"/>
      <c r="N56" s="27" t="s">
        <v>272</v>
      </c>
      <c r="O56" s="308"/>
      <c r="Q56" s="25"/>
      <c r="R56" s="27"/>
      <c r="S56" s="27"/>
      <c r="T56" s="28"/>
      <c r="U56" s="27"/>
      <c r="V56" s="27" t="s">
        <v>154</v>
      </c>
      <c r="W56" s="28"/>
      <c r="X56" s="33"/>
      <c r="Y56" s="32"/>
      <c r="Z56" s="59"/>
      <c r="AA56" s="60"/>
      <c r="AB56" s="61"/>
      <c r="AC56" s="27"/>
      <c r="AD56" s="27"/>
      <c r="AE56" s="33"/>
      <c r="AG56" s="25"/>
      <c r="AH56" s="34"/>
      <c r="AI56" s="27"/>
      <c r="AJ56" s="27"/>
      <c r="AK56" s="27"/>
      <c r="AL56" s="25"/>
      <c r="AM56" s="34"/>
      <c r="AN56" s="27">
        <v>0.1</v>
      </c>
      <c r="AO56" s="27">
        <v>0.1</v>
      </c>
      <c r="AP56" s="36">
        <v>0.1</v>
      </c>
      <c r="AQ56" s="37"/>
      <c r="AR56" s="32"/>
      <c r="AS56" s="25" t="s">
        <v>79</v>
      </c>
      <c r="AT56" s="27" t="s">
        <v>52</v>
      </c>
      <c r="AU56" s="58" t="s">
        <v>80</v>
      </c>
      <c r="AW56" s="27" t="s">
        <v>325</v>
      </c>
      <c r="AX56" s="27" t="s">
        <v>91</v>
      </c>
      <c r="AY56" s="27"/>
      <c r="AZ56" s="32"/>
      <c r="BA56" s="41">
        <v>14</v>
      </c>
    </row>
    <row r="57" spans="1:53" x14ac:dyDescent="0.2">
      <c r="A57" s="25">
        <v>41</v>
      </c>
      <c r="B57" s="26">
        <v>45460</v>
      </c>
      <c r="C57" s="27" t="s">
        <v>232</v>
      </c>
      <c r="D57" s="25"/>
      <c r="E57" s="28"/>
      <c r="F57" s="27"/>
      <c r="G57" s="28"/>
      <c r="H57" s="27"/>
      <c r="I57" s="28"/>
      <c r="J57" s="202">
        <v>45357</v>
      </c>
      <c r="K57" s="29" t="s">
        <v>35</v>
      </c>
      <c r="M57" s="31"/>
      <c r="N57" s="27" t="s">
        <v>272</v>
      </c>
      <c r="P57" s="32"/>
      <c r="Q57" s="25"/>
      <c r="R57" s="27"/>
      <c r="S57" s="27"/>
      <c r="T57" s="28"/>
      <c r="U57" s="27"/>
      <c r="V57" s="27" t="s">
        <v>154</v>
      </c>
      <c r="W57" s="28"/>
      <c r="X57" s="33"/>
      <c r="Y57" s="32"/>
      <c r="Z57" s="25"/>
      <c r="AA57" s="27"/>
      <c r="AB57" s="28"/>
      <c r="AC57" s="27"/>
      <c r="AD57" s="27"/>
      <c r="AE57" s="33"/>
      <c r="AG57" s="25"/>
      <c r="AH57" s="34"/>
      <c r="AI57" s="27"/>
      <c r="AJ57" s="27"/>
      <c r="AK57" s="27"/>
      <c r="AL57" s="25"/>
      <c r="AM57" s="34"/>
      <c r="AN57" s="27">
        <v>0.1</v>
      </c>
      <c r="AO57" s="27">
        <v>0.1</v>
      </c>
      <c r="AP57" s="36">
        <v>0.1</v>
      </c>
      <c r="AQ57" s="37"/>
      <c r="AR57" s="32"/>
      <c r="AS57" s="25" t="s">
        <v>79</v>
      </c>
      <c r="AT57" s="27" t="s">
        <v>52</v>
      </c>
      <c r="AU57" s="27"/>
      <c r="AW57" s="27" t="s">
        <v>325</v>
      </c>
      <c r="AX57" s="27" t="s">
        <v>91</v>
      </c>
      <c r="AY57" s="27"/>
      <c r="AZ57" s="32"/>
      <c r="BA57" s="41">
        <v>13</v>
      </c>
    </row>
    <row r="58" spans="1:53" x14ac:dyDescent="0.2">
      <c r="A58" s="25">
        <v>42</v>
      </c>
      <c r="B58" s="26">
        <v>45461</v>
      </c>
      <c r="C58" s="27" t="s">
        <v>232</v>
      </c>
      <c r="D58" s="25"/>
      <c r="E58" s="28"/>
      <c r="F58" s="27"/>
      <c r="G58" s="28"/>
      <c r="H58" s="27"/>
      <c r="I58" s="28"/>
      <c r="J58" s="202">
        <v>45357</v>
      </c>
      <c r="K58" s="29" t="s">
        <v>35</v>
      </c>
      <c r="L58" s="39"/>
      <c r="M58" s="31"/>
      <c r="N58" s="27" t="s">
        <v>272</v>
      </c>
      <c r="P58" s="32"/>
      <c r="Q58" s="25"/>
      <c r="R58" s="27"/>
      <c r="S58" s="27"/>
      <c r="T58" s="28"/>
      <c r="U58" s="27"/>
      <c r="V58" s="27" t="s">
        <v>154</v>
      </c>
      <c r="W58" s="28"/>
      <c r="X58" s="33"/>
      <c r="Y58" s="32"/>
      <c r="Z58" s="25"/>
      <c r="AA58" s="27"/>
      <c r="AB58" s="28"/>
      <c r="AC58" s="27"/>
      <c r="AD58" s="27"/>
      <c r="AE58" s="33"/>
      <c r="AG58" s="25"/>
      <c r="AH58" s="34"/>
      <c r="AI58" s="27"/>
      <c r="AJ58" s="27"/>
      <c r="AK58" s="27"/>
      <c r="AL58" s="25"/>
      <c r="AM58" s="34"/>
      <c r="AN58" s="27">
        <v>0.1</v>
      </c>
      <c r="AO58" s="27">
        <v>0.1</v>
      </c>
      <c r="AP58" s="36">
        <v>0.1</v>
      </c>
      <c r="AQ58" s="37"/>
      <c r="AR58" s="32"/>
      <c r="AS58" s="25" t="s">
        <v>79</v>
      </c>
      <c r="AT58" s="27" t="s">
        <v>52</v>
      </c>
      <c r="AU58" s="27"/>
      <c r="AW58" s="27" t="s">
        <v>325</v>
      </c>
      <c r="AX58" s="27" t="s">
        <v>91</v>
      </c>
      <c r="AY58" s="27"/>
      <c r="AZ58" s="32"/>
      <c r="BA58" s="41">
        <v>20</v>
      </c>
    </row>
    <row r="59" spans="1:53" ht="16" thickBot="1" x14ac:dyDescent="0.25">
      <c r="A59" s="25">
        <v>43</v>
      </c>
      <c r="B59" s="26">
        <v>45462</v>
      </c>
      <c r="C59" s="27" t="s">
        <v>227</v>
      </c>
      <c r="D59" s="25"/>
      <c r="E59" s="28"/>
      <c r="F59" s="27"/>
      <c r="G59" s="28"/>
      <c r="H59" s="27"/>
      <c r="I59" s="28"/>
      <c r="J59" s="202">
        <v>45357</v>
      </c>
      <c r="K59" s="29" t="s">
        <v>35</v>
      </c>
      <c r="L59" s="39"/>
      <c r="M59" s="31"/>
      <c r="N59" s="27" t="s">
        <v>272</v>
      </c>
      <c r="P59" s="32"/>
      <c r="Q59" s="25"/>
      <c r="R59" s="27"/>
      <c r="S59" s="27"/>
      <c r="T59" s="28"/>
      <c r="U59" s="27"/>
      <c r="V59" s="27" t="s">
        <v>154</v>
      </c>
      <c r="W59" s="28"/>
      <c r="X59" s="33"/>
      <c r="Y59" s="32"/>
      <c r="Z59" s="25"/>
      <c r="AA59" s="27"/>
      <c r="AB59" s="28"/>
      <c r="AC59" s="27"/>
      <c r="AD59" s="27"/>
      <c r="AE59" s="33"/>
      <c r="AG59" s="25"/>
      <c r="AH59" s="34"/>
      <c r="AI59" s="27"/>
      <c r="AJ59" s="27"/>
      <c r="AK59" s="27"/>
      <c r="AL59" s="25"/>
      <c r="AM59" s="34"/>
      <c r="AN59" s="27">
        <v>0.1</v>
      </c>
      <c r="AO59" s="27">
        <v>0.1</v>
      </c>
      <c r="AP59" s="36">
        <v>0.1</v>
      </c>
      <c r="AQ59" s="37"/>
      <c r="AR59" s="32"/>
      <c r="AS59" s="25" t="s">
        <v>79</v>
      </c>
      <c r="AT59" s="27" t="s">
        <v>52</v>
      </c>
      <c r="AU59" s="27"/>
      <c r="AW59" s="27" t="s">
        <v>325</v>
      </c>
      <c r="AX59" s="27" t="s">
        <v>91</v>
      </c>
      <c r="AY59" s="27"/>
      <c r="AZ59" s="32"/>
      <c r="BA59" s="41">
        <v>13</v>
      </c>
    </row>
    <row r="60" spans="1:53" ht="16" thickBot="1" x14ac:dyDescent="0.25">
      <c r="A60" s="25">
        <v>44</v>
      </c>
      <c r="B60" s="26">
        <v>45463</v>
      </c>
      <c r="C60" s="27" t="s">
        <v>227</v>
      </c>
      <c r="D60" s="25"/>
      <c r="E60" s="28"/>
      <c r="F60" s="27"/>
      <c r="G60" s="28"/>
      <c r="H60" s="27"/>
      <c r="I60" s="28"/>
      <c r="J60" s="202">
        <v>45357</v>
      </c>
      <c r="K60" s="29" t="s">
        <v>35</v>
      </c>
      <c r="L60" s="39"/>
      <c r="M60" s="31"/>
      <c r="N60" s="27" t="s">
        <v>272</v>
      </c>
      <c r="P60" s="32"/>
      <c r="Q60" s="27"/>
      <c r="R60" s="27"/>
      <c r="S60" s="27"/>
      <c r="T60" s="28"/>
      <c r="U60" s="27"/>
      <c r="V60" s="27" t="s">
        <v>154</v>
      </c>
      <c r="W60" s="28"/>
      <c r="X60" s="33"/>
      <c r="Y60" s="32"/>
      <c r="Z60" s="59"/>
      <c r="AA60" s="60"/>
      <c r="AB60" s="61"/>
      <c r="AC60" s="27"/>
      <c r="AD60" s="27"/>
      <c r="AE60" s="33"/>
      <c r="AG60" s="25"/>
      <c r="AH60" s="34"/>
      <c r="AI60" s="27"/>
      <c r="AJ60" s="27"/>
      <c r="AK60" s="27"/>
      <c r="AL60" s="25"/>
      <c r="AM60" s="34"/>
      <c r="AN60" s="27">
        <v>0.1</v>
      </c>
      <c r="AO60" s="27">
        <v>0.1</v>
      </c>
      <c r="AP60" s="36">
        <v>0.1</v>
      </c>
      <c r="AQ60" s="37"/>
      <c r="AR60" s="32" t="s">
        <v>509</v>
      </c>
      <c r="AS60" s="25" t="s">
        <v>79</v>
      </c>
      <c r="AT60" s="27" t="s">
        <v>52</v>
      </c>
      <c r="AU60" s="58" t="s">
        <v>81</v>
      </c>
      <c r="AV60" s="27" t="s">
        <v>510</v>
      </c>
      <c r="AW60" s="27" t="s">
        <v>325</v>
      </c>
      <c r="AX60" s="27" t="s">
        <v>303</v>
      </c>
      <c r="AY60" s="27"/>
      <c r="AZ60" s="32"/>
      <c r="BA60" s="41">
        <v>15</v>
      </c>
    </row>
    <row r="61" spans="1:53" x14ac:dyDescent="0.2">
      <c r="A61" s="25">
        <v>45</v>
      </c>
      <c r="B61" s="26">
        <v>45464</v>
      </c>
      <c r="C61" s="27" t="s">
        <v>200</v>
      </c>
      <c r="D61" s="25"/>
      <c r="E61" s="28"/>
      <c r="F61" s="27"/>
      <c r="G61" s="28"/>
      <c r="H61" s="27"/>
      <c r="I61" s="28"/>
      <c r="J61" s="202">
        <v>45357</v>
      </c>
      <c r="K61" s="29" t="s">
        <v>35</v>
      </c>
      <c r="L61" s="39"/>
      <c r="M61" s="31"/>
      <c r="N61" s="27" t="s">
        <v>272</v>
      </c>
      <c r="P61" s="32"/>
      <c r="Q61" s="25"/>
      <c r="R61" s="27"/>
      <c r="S61" s="27"/>
      <c r="T61" s="28"/>
      <c r="U61" s="27"/>
      <c r="V61" s="27" t="s">
        <v>154</v>
      </c>
      <c r="W61" s="28"/>
      <c r="X61" s="33"/>
      <c r="Y61" s="32"/>
      <c r="Z61" s="25"/>
      <c r="AA61" s="27"/>
      <c r="AB61" s="28"/>
      <c r="AC61" s="27"/>
      <c r="AD61" s="27"/>
      <c r="AE61" s="33"/>
      <c r="AG61" s="25"/>
      <c r="AH61" s="34"/>
      <c r="AI61" s="27"/>
      <c r="AJ61" s="27"/>
      <c r="AK61" s="27"/>
      <c r="AL61" s="25"/>
      <c r="AM61" s="34"/>
      <c r="AN61" s="27">
        <v>0.1</v>
      </c>
      <c r="AO61" s="27">
        <v>0.1</v>
      </c>
      <c r="AP61" s="36">
        <v>0.1</v>
      </c>
      <c r="AQ61" s="37"/>
      <c r="AR61" s="32" t="s">
        <v>52</v>
      </c>
      <c r="AS61" s="25" t="s">
        <v>79</v>
      </c>
      <c r="AT61" s="27" t="s">
        <v>52</v>
      </c>
      <c r="AW61" s="27" t="s">
        <v>325</v>
      </c>
      <c r="AX61" s="27" t="s">
        <v>303</v>
      </c>
      <c r="AY61" s="27"/>
      <c r="AZ61" s="32"/>
      <c r="BA61" s="41">
        <v>11</v>
      </c>
    </row>
    <row r="62" spans="1:53" x14ac:dyDescent="0.2">
      <c r="A62" s="25">
        <v>46</v>
      </c>
      <c r="B62" s="26">
        <v>45465</v>
      </c>
      <c r="C62" s="27" t="s">
        <v>200</v>
      </c>
      <c r="D62" s="25"/>
      <c r="E62" s="28"/>
      <c r="F62" s="27"/>
      <c r="G62" s="28"/>
      <c r="H62" s="27"/>
      <c r="I62" s="28"/>
      <c r="J62" s="202">
        <v>45357</v>
      </c>
      <c r="K62" s="29" t="s">
        <v>35</v>
      </c>
      <c r="L62" s="39" t="s">
        <v>512</v>
      </c>
      <c r="M62" s="31"/>
      <c r="N62" s="27" t="s">
        <v>272</v>
      </c>
      <c r="P62" s="32"/>
      <c r="Q62" s="25"/>
      <c r="R62" s="27"/>
      <c r="S62" s="27"/>
      <c r="T62" s="28"/>
      <c r="U62" s="27"/>
      <c r="V62" s="27" t="s">
        <v>154</v>
      </c>
      <c r="W62" s="28"/>
      <c r="X62" s="33"/>
      <c r="Y62" s="32"/>
      <c r="Z62" s="25"/>
      <c r="AA62" s="27"/>
      <c r="AB62" s="28"/>
      <c r="AC62" s="27"/>
      <c r="AD62" s="27"/>
      <c r="AE62" s="33"/>
      <c r="AG62" s="25"/>
      <c r="AH62" s="34"/>
      <c r="AI62" s="27"/>
      <c r="AJ62" s="27"/>
      <c r="AK62" s="27"/>
      <c r="AL62" s="25"/>
      <c r="AM62" s="34"/>
      <c r="AN62" s="27">
        <v>0.1</v>
      </c>
      <c r="AO62" s="27">
        <v>0.1</v>
      </c>
      <c r="AP62" s="36">
        <v>0.1</v>
      </c>
      <c r="AQ62" s="37"/>
      <c r="AR62" s="32"/>
      <c r="AS62" s="25" t="s">
        <v>82</v>
      </c>
      <c r="AT62" s="27" t="s">
        <v>52</v>
      </c>
      <c r="AU62" s="27"/>
      <c r="AW62" s="27" t="s">
        <v>325</v>
      </c>
      <c r="AX62" s="27" t="s">
        <v>303</v>
      </c>
      <c r="AY62" s="27"/>
      <c r="AZ62" s="32"/>
      <c r="BA62" s="41">
        <v>9</v>
      </c>
    </row>
    <row r="63" spans="1:53" x14ac:dyDescent="0.2">
      <c r="A63" s="25">
        <v>47</v>
      </c>
      <c r="B63" s="26">
        <v>45466</v>
      </c>
      <c r="C63" s="27" t="s">
        <v>232</v>
      </c>
      <c r="D63" s="25"/>
      <c r="E63" s="28"/>
      <c r="F63" s="27"/>
      <c r="G63" s="28"/>
      <c r="H63" s="27"/>
      <c r="I63" s="28"/>
      <c r="J63" s="202">
        <v>45357</v>
      </c>
      <c r="K63" s="29" t="s">
        <v>35</v>
      </c>
      <c r="L63" s="39"/>
      <c r="M63" s="31"/>
      <c r="N63" s="27" t="s">
        <v>272</v>
      </c>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v>0.1</v>
      </c>
      <c r="AO63" s="27">
        <v>0.1</v>
      </c>
      <c r="AP63" s="36">
        <v>0.1</v>
      </c>
      <c r="AQ63" s="37"/>
      <c r="AR63" s="32"/>
      <c r="AS63" s="25" t="s">
        <v>82</v>
      </c>
      <c r="AT63" s="27" t="s">
        <v>52</v>
      </c>
      <c r="AU63" s="27"/>
      <c r="AW63" s="27" t="s">
        <v>325</v>
      </c>
      <c r="AX63" s="27" t="s">
        <v>303</v>
      </c>
      <c r="AY63" s="27"/>
      <c r="AZ63" s="32"/>
      <c r="BA63" s="41">
        <v>9</v>
      </c>
    </row>
    <row r="64" spans="1:53" x14ac:dyDescent="0.2">
      <c r="A64" s="25">
        <v>48</v>
      </c>
      <c r="B64" s="26">
        <v>45467</v>
      </c>
      <c r="C64" s="27" t="s">
        <v>232</v>
      </c>
      <c r="D64" s="25"/>
      <c r="E64" s="28"/>
      <c r="F64" s="27"/>
      <c r="G64" s="28"/>
      <c r="H64" s="27"/>
      <c r="I64" s="28"/>
      <c r="J64" s="202">
        <v>45357</v>
      </c>
      <c r="K64" s="29" t="s">
        <v>35</v>
      </c>
      <c r="M64" s="31"/>
      <c r="N64" s="27" t="s">
        <v>272</v>
      </c>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v>0.1</v>
      </c>
      <c r="AO64" s="27">
        <v>0.1</v>
      </c>
      <c r="AP64" s="36">
        <v>0.1</v>
      </c>
      <c r="AQ64" s="37"/>
      <c r="AR64" s="32"/>
      <c r="AS64" s="25" t="s">
        <v>82</v>
      </c>
      <c r="AT64" s="27" t="s">
        <v>52</v>
      </c>
      <c r="AU64" s="27"/>
      <c r="AW64" s="27" t="s">
        <v>325</v>
      </c>
      <c r="AX64" s="27" t="s">
        <v>303</v>
      </c>
      <c r="AY64" s="27"/>
      <c r="AZ64" s="32"/>
      <c r="BA64" s="41">
        <v>9</v>
      </c>
    </row>
    <row r="65" spans="1:53" ht="16" thickBot="1" x14ac:dyDescent="0.25">
      <c r="A65" s="25">
        <v>49</v>
      </c>
      <c r="B65" s="26">
        <v>45468</v>
      </c>
      <c r="C65" s="27" t="s">
        <v>200</v>
      </c>
      <c r="D65" s="25"/>
      <c r="E65" s="28"/>
      <c r="F65" s="27"/>
      <c r="G65" s="28"/>
      <c r="H65" s="27"/>
      <c r="I65" s="28"/>
      <c r="J65" s="202">
        <v>45357</v>
      </c>
      <c r="K65" s="29" t="s">
        <v>35</v>
      </c>
      <c r="L65" s="39"/>
      <c r="M65" s="31"/>
      <c r="N65" s="27" t="s">
        <v>272</v>
      </c>
      <c r="P65" s="32"/>
      <c r="Q65" s="25"/>
      <c r="R65" s="27"/>
      <c r="S65" s="27"/>
      <c r="T65" s="28"/>
      <c r="U65" s="27"/>
      <c r="V65" s="27" t="s">
        <v>154</v>
      </c>
      <c r="W65" s="28"/>
      <c r="X65" s="33"/>
      <c r="Y65" s="32"/>
      <c r="Z65" s="25"/>
      <c r="AA65" s="27"/>
      <c r="AB65" s="28"/>
      <c r="AC65" s="27"/>
      <c r="AD65" s="27"/>
      <c r="AE65" s="33"/>
      <c r="AG65" s="25"/>
      <c r="AH65" s="34"/>
      <c r="AI65" s="27"/>
      <c r="AJ65" s="27"/>
      <c r="AK65" s="27"/>
      <c r="AL65" s="25"/>
      <c r="AM65" s="34"/>
      <c r="AN65" s="27">
        <v>0.1</v>
      </c>
      <c r="AO65" s="27">
        <v>0.1</v>
      </c>
      <c r="AP65" s="36">
        <v>0.1</v>
      </c>
      <c r="AQ65" s="37"/>
      <c r="AR65" s="32"/>
      <c r="AS65" s="25" t="s">
        <v>82</v>
      </c>
      <c r="AT65" s="27" t="s">
        <v>52</v>
      </c>
      <c r="AU65" s="27"/>
      <c r="AW65" s="27" t="s">
        <v>325</v>
      </c>
      <c r="AX65" s="27" t="s">
        <v>303</v>
      </c>
      <c r="AY65" s="27"/>
      <c r="AZ65" s="32"/>
      <c r="BA65" s="41">
        <v>4</v>
      </c>
    </row>
    <row r="66" spans="1:53" ht="16" thickBot="1" x14ac:dyDescent="0.25">
      <c r="A66" s="25">
        <v>50</v>
      </c>
      <c r="B66" s="26">
        <v>45469</v>
      </c>
      <c r="C66" s="27" t="s">
        <v>227</v>
      </c>
      <c r="D66" s="25"/>
      <c r="E66" s="28"/>
      <c r="F66" s="27"/>
      <c r="G66" s="28"/>
      <c r="H66" s="27"/>
      <c r="I66" s="28"/>
      <c r="J66" s="202">
        <v>45357</v>
      </c>
      <c r="K66" s="29" t="s">
        <v>35</v>
      </c>
      <c r="L66" s="44" t="s">
        <v>83</v>
      </c>
      <c r="M66" s="31" t="s">
        <v>517</v>
      </c>
      <c r="N66" s="27" t="s">
        <v>367</v>
      </c>
      <c r="O66" s="45" t="s">
        <v>349</v>
      </c>
      <c r="P66" s="46" t="s">
        <v>61</v>
      </c>
      <c r="Q66" s="25"/>
      <c r="R66" s="27"/>
      <c r="S66" s="27"/>
      <c r="T66" s="28"/>
      <c r="U66" s="27"/>
      <c r="V66" s="27" t="s">
        <v>154</v>
      </c>
      <c r="W66" s="28"/>
      <c r="X66" s="33"/>
      <c r="Y66" s="32"/>
      <c r="Z66" s="25"/>
      <c r="AA66" s="27"/>
      <c r="AB66" s="28"/>
      <c r="AC66" s="27"/>
      <c r="AD66" s="27"/>
      <c r="AE66" s="33"/>
      <c r="AG66" s="25"/>
      <c r="AH66" s="34"/>
      <c r="AI66" s="27"/>
      <c r="AJ66" s="27"/>
      <c r="AK66" s="27"/>
      <c r="AL66" s="25"/>
      <c r="AM66" s="34"/>
      <c r="AN66" s="27">
        <v>0.1</v>
      </c>
      <c r="AO66" s="27">
        <v>0.1</v>
      </c>
      <c r="AP66" s="36">
        <v>0.1</v>
      </c>
      <c r="AQ66" s="37"/>
      <c r="AR66" s="32" t="s">
        <v>489</v>
      </c>
      <c r="AS66" s="25" t="s">
        <v>386</v>
      </c>
      <c r="AT66" s="27" t="s">
        <v>87</v>
      </c>
      <c r="AU66" s="58" t="s">
        <v>88</v>
      </c>
      <c r="AW66" s="27" t="s">
        <v>325</v>
      </c>
      <c r="AX66" s="27" t="s">
        <v>303</v>
      </c>
      <c r="AY66" s="27"/>
      <c r="AZ66" s="32"/>
      <c r="BA66" s="41">
        <v>2</v>
      </c>
    </row>
    <row r="67" spans="1:53" ht="16" thickBot="1" x14ac:dyDescent="0.25">
      <c r="A67" s="25">
        <v>51</v>
      </c>
      <c r="B67" s="26">
        <v>45470</v>
      </c>
      <c r="C67" s="27" t="s">
        <v>227</v>
      </c>
      <c r="D67" s="25"/>
      <c r="E67" s="28"/>
      <c r="F67" s="27"/>
      <c r="G67" s="28"/>
      <c r="H67" s="27"/>
      <c r="I67" s="28"/>
      <c r="J67" s="27">
        <v>8</v>
      </c>
      <c r="K67" s="29" t="s">
        <v>35</v>
      </c>
      <c r="L67" s="88" t="s">
        <v>348</v>
      </c>
      <c r="M67" s="31" t="s">
        <v>518</v>
      </c>
      <c r="N67" s="27" t="s">
        <v>367</v>
      </c>
      <c r="P67" s="46"/>
      <c r="Q67" s="27"/>
      <c r="R67" s="27"/>
      <c r="S67" s="27"/>
      <c r="T67" s="28"/>
      <c r="U67" s="27"/>
      <c r="V67" s="27" t="s">
        <v>154</v>
      </c>
      <c r="W67" s="28"/>
      <c r="X67" s="33"/>
      <c r="Y67" s="32"/>
      <c r="Z67" s="25"/>
      <c r="AA67" s="27"/>
      <c r="AB67" s="28"/>
      <c r="AC67" s="27"/>
      <c r="AD67" s="27"/>
      <c r="AE67" s="33"/>
      <c r="AG67" s="25"/>
      <c r="AH67" s="34"/>
      <c r="AI67" s="27"/>
      <c r="AJ67" s="27"/>
      <c r="AK67" s="27"/>
      <c r="AL67" s="25"/>
      <c r="AM67" s="34"/>
      <c r="AN67" s="27">
        <v>0.1</v>
      </c>
      <c r="AO67" s="27">
        <v>0.1</v>
      </c>
      <c r="AP67" s="36">
        <v>0.1</v>
      </c>
      <c r="AQ67" s="37"/>
      <c r="AR67" s="32"/>
      <c r="AS67" s="25" t="s">
        <v>486</v>
      </c>
      <c r="AT67" s="27" t="s">
        <v>87</v>
      </c>
      <c r="AU67" s="27"/>
      <c r="AW67" s="27" t="s">
        <v>325</v>
      </c>
      <c r="AX67" s="27" t="s">
        <v>303</v>
      </c>
      <c r="AY67" s="27"/>
      <c r="AZ67" s="32"/>
      <c r="BA67" s="41">
        <v>5</v>
      </c>
    </row>
    <row r="68" spans="1:53" ht="16" thickBot="1" x14ac:dyDescent="0.25">
      <c r="A68" s="25">
        <v>52</v>
      </c>
      <c r="B68" s="26">
        <v>45471</v>
      </c>
      <c r="C68" s="27" t="s">
        <v>200</v>
      </c>
      <c r="D68" s="25"/>
      <c r="E68" s="28"/>
      <c r="F68" s="27"/>
      <c r="G68" s="28"/>
      <c r="H68" s="27"/>
      <c r="I68" s="28"/>
      <c r="J68" s="27">
        <v>8</v>
      </c>
      <c r="K68" s="29" t="s">
        <v>35</v>
      </c>
      <c r="L68" s="39"/>
      <c r="M68" s="31"/>
      <c r="N68" s="27" t="s">
        <v>367</v>
      </c>
      <c r="P68" s="32" t="s">
        <v>520</v>
      </c>
      <c r="Q68" s="25"/>
      <c r="R68" s="27"/>
      <c r="S68" s="27"/>
      <c r="T68" s="28"/>
      <c r="U68" s="27"/>
      <c r="V68" s="27" t="s">
        <v>154</v>
      </c>
      <c r="W68" s="28"/>
      <c r="X68" s="33"/>
      <c r="Y68" s="32"/>
      <c r="Z68" s="25"/>
      <c r="AA68" s="27"/>
      <c r="AB68" s="28"/>
      <c r="AC68" s="27"/>
      <c r="AD68" s="27"/>
      <c r="AE68" s="33"/>
      <c r="AG68" s="25"/>
      <c r="AH68" s="34"/>
      <c r="AI68" s="27"/>
      <c r="AJ68" s="27"/>
      <c r="AK68" s="27"/>
      <c r="AL68" s="25"/>
      <c r="AM68" s="34"/>
      <c r="AN68" s="27">
        <v>0.1</v>
      </c>
      <c r="AO68" s="27">
        <v>0.1</v>
      </c>
      <c r="AP68" s="36">
        <v>0.1</v>
      </c>
      <c r="AQ68" s="37"/>
      <c r="AR68" s="32"/>
      <c r="AS68" s="25" t="s">
        <v>486</v>
      </c>
      <c r="AT68" s="27" t="s">
        <v>87</v>
      </c>
      <c r="AW68" s="27" t="s">
        <v>325</v>
      </c>
      <c r="AX68" s="27" t="s">
        <v>303</v>
      </c>
      <c r="AY68" s="27"/>
      <c r="AZ68" s="32"/>
      <c r="BA68" s="41">
        <v>5</v>
      </c>
    </row>
    <row r="69" spans="1:53" ht="16" thickBot="1" x14ac:dyDescent="0.25">
      <c r="A69" s="25">
        <v>53</v>
      </c>
      <c r="B69" s="26">
        <v>45472</v>
      </c>
      <c r="C69" s="27" t="s">
        <v>200</v>
      </c>
      <c r="D69" s="25"/>
      <c r="E69" s="28"/>
      <c r="F69" s="27"/>
      <c r="G69" s="28"/>
      <c r="H69" s="27"/>
      <c r="I69" s="28"/>
      <c r="J69" s="27">
        <v>8</v>
      </c>
      <c r="K69" s="29" t="s">
        <v>35</v>
      </c>
      <c r="L69" s="39"/>
      <c r="M69" s="31"/>
      <c r="N69" s="27" t="s">
        <v>367</v>
      </c>
      <c r="P69" s="32"/>
      <c r="Q69" s="25"/>
      <c r="R69" s="27"/>
      <c r="S69" s="27"/>
      <c r="T69" s="28"/>
      <c r="U69" s="27"/>
      <c r="V69" s="27" t="s">
        <v>154</v>
      </c>
      <c r="W69" s="28"/>
      <c r="X69" s="33"/>
      <c r="Y69" s="32"/>
      <c r="Z69" s="25"/>
      <c r="AA69" s="27"/>
      <c r="AB69" s="28"/>
      <c r="AC69" s="27"/>
      <c r="AD69" s="27"/>
      <c r="AE69" s="33"/>
      <c r="AG69" s="25"/>
      <c r="AH69" s="34"/>
      <c r="AI69" s="27"/>
      <c r="AJ69" s="27"/>
      <c r="AK69" s="27"/>
      <c r="AL69" s="25"/>
      <c r="AM69" s="34"/>
      <c r="AN69" s="27">
        <v>0.1</v>
      </c>
      <c r="AO69" s="27">
        <v>0.1</v>
      </c>
      <c r="AP69" s="36">
        <v>0.1</v>
      </c>
      <c r="AQ69" s="37"/>
      <c r="AR69" s="32"/>
      <c r="AS69" s="25" t="s">
        <v>486</v>
      </c>
      <c r="AT69" s="27" t="s">
        <v>87</v>
      </c>
      <c r="AU69" s="27"/>
      <c r="AW69" s="25" t="s">
        <v>325</v>
      </c>
      <c r="AX69" s="27" t="s">
        <v>91</v>
      </c>
      <c r="AY69" s="89" t="s">
        <v>92</v>
      </c>
      <c r="AZ69" s="32"/>
      <c r="BA69" s="41">
        <v>6</v>
      </c>
    </row>
    <row r="70" spans="1:53" ht="16" thickBot="1" x14ac:dyDescent="0.25">
      <c r="A70" s="25">
        <v>54</v>
      </c>
      <c r="B70" s="26">
        <v>45473</v>
      </c>
      <c r="C70" s="27" t="s">
        <v>232</v>
      </c>
      <c r="D70" s="25"/>
      <c r="E70" s="28"/>
      <c r="F70" s="27"/>
      <c r="G70" s="28"/>
      <c r="H70" s="27"/>
      <c r="I70" s="28"/>
      <c r="J70" s="27">
        <v>8</v>
      </c>
      <c r="K70" s="29" t="s">
        <v>35</v>
      </c>
      <c r="L70" s="39"/>
      <c r="M70" s="31"/>
      <c r="N70" s="27" t="s">
        <v>367</v>
      </c>
      <c r="P70" s="32"/>
      <c r="Q70" s="25"/>
      <c r="R70" s="27"/>
      <c r="S70" s="27"/>
      <c r="T70" s="28"/>
      <c r="U70" s="27"/>
      <c r="V70" s="27" t="s">
        <v>154</v>
      </c>
      <c r="W70" s="28"/>
      <c r="X70" s="33"/>
      <c r="Y70" s="32"/>
      <c r="Z70" s="25"/>
      <c r="AA70" s="27"/>
      <c r="AB70" s="28"/>
      <c r="AC70" s="27"/>
      <c r="AD70" s="27"/>
      <c r="AE70" s="33"/>
      <c r="AG70" s="25"/>
      <c r="AH70" s="34"/>
      <c r="AI70" s="27"/>
      <c r="AJ70" s="27"/>
      <c r="AK70" s="27"/>
      <c r="AL70" s="25"/>
      <c r="AM70" s="34"/>
      <c r="AN70" s="27">
        <v>0.1</v>
      </c>
      <c r="AO70" s="27">
        <v>0.1</v>
      </c>
      <c r="AP70" s="36">
        <v>0.1</v>
      </c>
      <c r="AQ70" s="37"/>
      <c r="AR70" s="32"/>
      <c r="AS70" s="25" t="s">
        <v>486</v>
      </c>
      <c r="AT70" s="27" t="s">
        <v>87</v>
      </c>
      <c r="AU70" s="27"/>
      <c r="AW70" s="25" t="s">
        <v>325</v>
      </c>
      <c r="AX70" s="27" t="s">
        <v>91</v>
      </c>
      <c r="AY70" s="27"/>
      <c r="AZ70" s="32" t="s">
        <v>258</v>
      </c>
      <c r="BA70" s="41">
        <v>4</v>
      </c>
    </row>
    <row r="71" spans="1:53" ht="16" thickBot="1" x14ac:dyDescent="0.25">
      <c r="A71" s="25">
        <v>55</v>
      </c>
      <c r="B71" s="26">
        <v>45474</v>
      </c>
      <c r="C71" s="27" t="s">
        <v>112</v>
      </c>
      <c r="D71" s="25"/>
      <c r="E71" s="28"/>
      <c r="F71" s="27"/>
      <c r="G71" s="28"/>
      <c r="H71" s="27"/>
      <c r="I71" s="28"/>
      <c r="J71" s="27">
        <v>8</v>
      </c>
      <c r="K71" s="29" t="s">
        <v>35</v>
      </c>
      <c r="L71" s="39"/>
      <c r="M71" s="31"/>
      <c r="N71" s="27" t="s">
        <v>367</v>
      </c>
      <c r="P71" s="32"/>
      <c r="Q71" s="25"/>
      <c r="R71" s="27"/>
      <c r="S71" s="27"/>
      <c r="T71" s="28"/>
      <c r="U71" s="27"/>
      <c r="V71" s="27" t="s">
        <v>154</v>
      </c>
      <c r="W71" s="28"/>
      <c r="X71" s="33"/>
      <c r="Y71" s="32"/>
      <c r="Z71" s="25"/>
      <c r="AA71" s="27"/>
      <c r="AB71" s="28"/>
      <c r="AC71" s="27"/>
      <c r="AD71" s="27"/>
      <c r="AE71" s="33"/>
      <c r="AG71" s="25"/>
      <c r="AH71" s="34"/>
      <c r="AI71" s="27"/>
      <c r="AJ71" s="27"/>
      <c r="AK71" s="27"/>
      <c r="AL71" s="25"/>
      <c r="AM71" s="34"/>
      <c r="AN71" s="27">
        <v>0.1</v>
      </c>
      <c r="AO71" s="27">
        <v>0.1</v>
      </c>
      <c r="AP71" s="36">
        <v>0.1</v>
      </c>
      <c r="AQ71" s="82"/>
      <c r="AR71" s="32"/>
      <c r="AS71" s="25" t="s">
        <v>486</v>
      </c>
      <c r="AT71" s="27" t="s">
        <v>87</v>
      </c>
      <c r="AW71" s="25" t="s">
        <v>473</v>
      </c>
      <c r="AX71" s="27" t="s">
        <v>91</v>
      </c>
      <c r="AY71" s="27"/>
      <c r="AZ71" s="32"/>
      <c r="BA71" s="41">
        <v>3</v>
      </c>
    </row>
    <row r="72" spans="1:53" x14ac:dyDescent="0.2">
      <c r="A72" s="25">
        <v>56</v>
      </c>
      <c r="B72" s="26">
        <v>45475</v>
      </c>
      <c r="C72" s="27" t="s">
        <v>227</v>
      </c>
      <c r="D72" s="25"/>
      <c r="E72" s="28"/>
      <c r="F72" s="27"/>
      <c r="G72" s="28"/>
      <c r="H72" s="27"/>
      <c r="I72" s="28"/>
      <c r="J72" s="27">
        <v>8</v>
      </c>
      <c r="K72" s="29" t="s">
        <v>35</v>
      </c>
      <c r="L72" s="39"/>
      <c r="M72" s="31"/>
      <c r="N72" s="27" t="s">
        <v>367</v>
      </c>
      <c r="P72" s="32"/>
      <c r="Q72" s="25"/>
      <c r="R72" s="27"/>
      <c r="S72" s="27"/>
      <c r="T72" s="28"/>
      <c r="U72" s="27"/>
      <c r="V72" s="27" t="s">
        <v>154</v>
      </c>
      <c r="W72" s="28"/>
      <c r="X72" s="33"/>
      <c r="Y72" s="32"/>
      <c r="Z72" s="25"/>
      <c r="AA72" s="27"/>
      <c r="AB72" s="28"/>
      <c r="AC72" s="27"/>
      <c r="AD72" s="27"/>
      <c r="AE72" s="33"/>
      <c r="AG72" s="25"/>
      <c r="AH72" s="34"/>
      <c r="AI72" s="27"/>
      <c r="AJ72" s="27"/>
      <c r="AK72" s="27"/>
      <c r="AL72" s="25"/>
      <c r="AM72" s="34"/>
      <c r="AN72" s="27">
        <v>0.1</v>
      </c>
      <c r="AO72" s="27">
        <v>0.1</v>
      </c>
      <c r="AP72" s="36">
        <v>0.1</v>
      </c>
      <c r="AQ72" s="37"/>
      <c r="AR72" s="32"/>
      <c r="AS72" s="25" t="s">
        <v>86</v>
      </c>
      <c r="AT72" s="27" t="s">
        <v>87</v>
      </c>
      <c r="AU72" s="27"/>
      <c r="AW72" s="25" t="s">
        <v>473</v>
      </c>
      <c r="AX72" s="27" t="s">
        <v>91</v>
      </c>
      <c r="AY72" s="27"/>
      <c r="AZ72" s="32"/>
      <c r="BA72" s="41">
        <v>0</v>
      </c>
    </row>
    <row r="73" spans="1:53" ht="16" thickBot="1" x14ac:dyDescent="0.25">
      <c r="A73" s="25">
        <v>57</v>
      </c>
      <c r="B73" s="26">
        <v>45476</v>
      </c>
      <c r="C73" s="27" t="s">
        <v>227</v>
      </c>
      <c r="D73" s="25"/>
      <c r="E73" s="28"/>
      <c r="F73" s="27"/>
      <c r="G73" s="28"/>
      <c r="H73" s="27"/>
      <c r="I73" s="28"/>
      <c r="J73" s="27">
        <v>8</v>
      </c>
      <c r="K73" s="29" t="s">
        <v>35</v>
      </c>
      <c r="L73" s="39"/>
      <c r="M73" s="31"/>
      <c r="N73" s="27" t="s">
        <v>367</v>
      </c>
      <c r="P73" s="32"/>
      <c r="Q73" s="25"/>
      <c r="R73" s="27"/>
      <c r="S73" s="27"/>
      <c r="T73" s="28"/>
      <c r="U73" s="27"/>
      <c r="V73" s="27" t="s">
        <v>481</v>
      </c>
      <c r="W73" s="28"/>
      <c r="X73" s="33"/>
      <c r="Y73" s="32" t="s">
        <v>524</v>
      </c>
      <c r="Z73" s="25"/>
      <c r="AA73" s="27"/>
      <c r="AB73" s="28"/>
      <c r="AC73" s="27"/>
      <c r="AD73" s="27"/>
      <c r="AE73" s="33"/>
      <c r="AG73" s="25"/>
      <c r="AH73" s="34"/>
      <c r="AI73" s="27"/>
      <c r="AJ73" s="27"/>
      <c r="AK73" s="27"/>
      <c r="AL73" s="25"/>
      <c r="AM73" s="34"/>
      <c r="AN73" s="27">
        <v>0.1</v>
      </c>
      <c r="AO73" s="27">
        <v>0.1</v>
      </c>
      <c r="AP73" s="36">
        <v>0.1</v>
      </c>
      <c r="AQ73" s="37"/>
      <c r="AR73" s="32"/>
      <c r="AS73" s="25" t="s">
        <v>86</v>
      </c>
      <c r="AT73" s="27" t="s">
        <v>87</v>
      </c>
      <c r="AU73" s="27"/>
      <c r="AW73" s="25" t="s">
        <v>473</v>
      </c>
      <c r="AX73" s="27" t="s">
        <v>91</v>
      </c>
      <c r="AY73" s="27"/>
      <c r="AZ73" s="32"/>
      <c r="BA73" s="41">
        <v>1</v>
      </c>
    </row>
    <row r="74" spans="1:53" ht="16" thickBot="1" x14ac:dyDescent="0.25">
      <c r="A74" s="25">
        <v>58</v>
      </c>
      <c r="B74" s="26">
        <v>45477</v>
      </c>
      <c r="C74" s="27" t="s">
        <v>227</v>
      </c>
      <c r="D74" s="25"/>
      <c r="E74" s="28"/>
      <c r="F74" s="27"/>
      <c r="G74" s="28"/>
      <c r="H74" s="27"/>
      <c r="I74" s="28"/>
      <c r="J74" s="27">
        <v>8</v>
      </c>
      <c r="K74" s="29" t="s">
        <v>35</v>
      </c>
      <c r="L74" s="39"/>
      <c r="M74" s="31"/>
      <c r="N74" s="27" t="s">
        <v>367</v>
      </c>
      <c r="P74" s="32"/>
      <c r="Q74" s="25"/>
      <c r="R74" s="27"/>
      <c r="S74" s="27"/>
      <c r="T74" s="28"/>
      <c r="U74" s="27"/>
      <c r="V74" s="27"/>
      <c r="W74" s="28"/>
      <c r="X74" s="33"/>
      <c r="Y74" s="32"/>
      <c r="Z74" s="25"/>
      <c r="AA74" s="27"/>
      <c r="AB74" s="28"/>
      <c r="AC74" s="27"/>
      <c r="AD74" s="27"/>
      <c r="AE74" s="33"/>
      <c r="AG74" s="25"/>
      <c r="AH74" s="34"/>
      <c r="AI74" s="27"/>
      <c r="AJ74" s="27"/>
      <c r="AK74" s="27"/>
      <c r="AL74" s="25"/>
      <c r="AM74" s="34"/>
      <c r="AN74" s="27">
        <v>0.1</v>
      </c>
      <c r="AO74" s="27">
        <v>0.1</v>
      </c>
      <c r="AP74" s="36">
        <v>0.1</v>
      </c>
      <c r="AQ74" s="37"/>
      <c r="AR74" s="32"/>
      <c r="AS74" s="25" t="s">
        <v>86</v>
      </c>
      <c r="AT74" s="27" t="s">
        <v>87</v>
      </c>
      <c r="AU74" s="27"/>
      <c r="AW74" s="25" t="s">
        <v>473</v>
      </c>
      <c r="AX74" s="27" t="s">
        <v>91</v>
      </c>
      <c r="AY74" s="89" t="s">
        <v>94</v>
      </c>
      <c r="AZ74" s="32"/>
      <c r="BA74" s="41">
        <v>0</v>
      </c>
    </row>
    <row r="75" spans="1:53" ht="16" thickBot="1" x14ac:dyDescent="0.25">
      <c r="A75" s="25">
        <v>59</v>
      </c>
      <c r="B75" s="26">
        <v>45478</v>
      </c>
      <c r="C75" s="27" t="s">
        <v>200</v>
      </c>
      <c r="D75" s="25"/>
      <c r="E75" s="28"/>
      <c r="F75" s="27"/>
      <c r="G75" s="28"/>
      <c r="H75" s="27"/>
      <c r="I75" s="28"/>
      <c r="J75" s="27">
        <v>8</v>
      </c>
      <c r="K75" s="29" t="s">
        <v>35</v>
      </c>
      <c r="L75" s="39"/>
      <c r="M75" s="31"/>
      <c r="N75" s="27" t="s">
        <v>367</v>
      </c>
      <c r="P75" s="32"/>
      <c r="Q75" s="25"/>
      <c r="R75" s="27"/>
      <c r="S75" s="27"/>
      <c r="T75" s="28"/>
      <c r="U75" s="27"/>
      <c r="V75" s="27"/>
      <c r="W75" s="28"/>
      <c r="X75" s="33"/>
      <c r="Y75" s="32"/>
      <c r="Z75" s="25"/>
      <c r="AA75" s="27"/>
      <c r="AB75" s="28"/>
      <c r="AC75" s="27"/>
      <c r="AD75" s="27"/>
      <c r="AE75" s="33"/>
      <c r="AG75" s="25"/>
      <c r="AH75" s="34"/>
      <c r="AI75" s="27"/>
      <c r="AJ75" s="27"/>
      <c r="AK75" s="27"/>
      <c r="AL75" s="25"/>
      <c r="AM75" s="34"/>
      <c r="AN75" s="27">
        <v>0.1</v>
      </c>
      <c r="AO75" s="27">
        <v>0.1</v>
      </c>
      <c r="AP75" s="36">
        <v>0.1</v>
      </c>
      <c r="AQ75" s="37"/>
      <c r="AR75" s="32"/>
      <c r="AS75" s="25" t="s">
        <v>86</v>
      </c>
      <c r="AT75" s="27" t="s">
        <v>87</v>
      </c>
      <c r="AU75" s="27"/>
      <c r="AV75" t="s">
        <v>525</v>
      </c>
      <c r="AW75" s="25" t="s">
        <v>473</v>
      </c>
      <c r="AX75" s="27" t="s">
        <v>95</v>
      </c>
      <c r="AY75" s="27"/>
      <c r="AZ75" s="32"/>
      <c r="BA75" s="41">
        <v>3</v>
      </c>
    </row>
    <row r="76" spans="1:53" ht="16" thickBot="1" x14ac:dyDescent="0.25">
      <c r="A76" s="25">
        <v>60</v>
      </c>
      <c r="B76" s="26">
        <v>45479</v>
      </c>
      <c r="C76" s="27" t="s">
        <v>200</v>
      </c>
      <c r="D76" s="25"/>
      <c r="E76" s="28"/>
      <c r="F76" s="27"/>
      <c r="G76" s="28"/>
      <c r="H76" s="27"/>
      <c r="I76" s="28"/>
      <c r="J76" s="27">
        <v>8</v>
      </c>
      <c r="K76" s="29" t="s">
        <v>35</v>
      </c>
      <c r="L76" s="39"/>
      <c r="M76" s="31"/>
      <c r="N76" s="27" t="s">
        <v>367</v>
      </c>
      <c r="O76" t="s">
        <v>527</v>
      </c>
      <c r="P76" s="32"/>
      <c r="Q76" s="25"/>
      <c r="R76" s="27"/>
      <c r="S76" s="27"/>
      <c r="T76" s="28"/>
      <c r="U76" s="27"/>
      <c r="V76" s="27"/>
      <c r="W76" s="28"/>
      <c r="X76" s="33"/>
      <c r="Y76" s="32"/>
      <c r="Z76" s="25"/>
      <c r="AA76" s="27"/>
      <c r="AB76" s="28"/>
      <c r="AC76" s="27"/>
      <c r="AD76" s="27"/>
      <c r="AE76" s="33"/>
      <c r="AG76" s="25"/>
      <c r="AH76" s="34"/>
      <c r="AI76" s="27"/>
      <c r="AJ76" s="27"/>
      <c r="AK76" s="27"/>
      <c r="AL76" s="25"/>
      <c r="AM76" s="34"/>
      <c r="AN76" s="27">
        <v>0.1</v>
      </c>
      <c r="AO76" s="27">
        <v>0.1</v>
      </c>
      <c r="AP76" s="36">
        <v>0.1</v>
      </c>
      <c r="AQ76" s="37"/>
      <c r="AR76" s="32"/>
      <c r="AS76" s="25" t="s">
        <v>86</v>
      </c>
      <c r="AT76" s="27" t="s">
        <v>87</v>
      </c>
      <c r="AU76" s="58" t="s">
        <v>97</v>
      </c>
      <c r="AW76" s="25" t="s">
        <v>473</v>
      </c>
      <c r="AX76" s="27" t="s">
        <v>95</v>
      </c>
      <c r="AY76" s="27"/>
      <c r="AZ76" s="32"/>
      <c r="BA76" s="41">
        <v>12</v>
      </c>
    </row>
    <row r="77" spans="1:53" x14ac:dyDescent="0.2">
      <c r="A77" s="25">
        <v>61</v>
      </c>
      <c r="B77" s="26">
        <v>45480</v>
      </c>
      <c r="C77" s="27" t="s">
        <v>232</v>
      </c>
      <c r="D77" s="25"/>
      <c r="E77" s="28"/>
      <c r="F77" s="27"/>
      <c r="G77" s="28"/>
      <c r="H77" s="27"/>
      <c r="I77" s="28"/>
      <c r="J77" s="27">
        <v>8</v>
      </c>
      <c r="K77" s="29" t="s">
        <v>35</v>
      </c>
      <c r="L77" s="39"/>
      <c r="M77" s="31" t="s">
        <v>534</v>
      </c>
      <c r="N77" s="27" t="s">
        <v>533</v>
      </c>
      <c r="P77" s="32"/>
      <c r="Q77" s="25"/>
      <c r="R77" s="27"/>
      <c r="S77" s="27"/>
      <c r="T77" s="28"/>
      <c r="U77" s="27"/>
      <c r="V77" s="27"/>
      <c r="W77" s="28"/>
      <c r="X77" s="33"/>
      <c r="Y77" s="32"/>
      <c r="Z77" s="25"/>
      <c r="AA77" s="27"/>
      <c r="AB77" s="28"/>
      <c r="AC77" s="27"/>
      <c r="AD77" s="27"/>
      <c r="AE77" s="33"/>
      <c r="AG77" s="25"/>
      <c r="AH77" s="34"/>
      <c r="AI77" s="27"/>
      <c r="AJ77" s="27"/>
      <c r="AK77" s="27"/>
      <c r="AL77" s="25"/>
      <c r="AM77" s="34"/>
      <c r="AN77" s="27">
        <v>0.1</v>
      </c>
      <c r="AO77" s="27">
        <v>0.1</v>
      </c>
      <c r="AP77" s="36">
        <v>0.1</v>
      </c>
      <c r="AQ77" s="37"/>
      <c r="AR77" s="32"/>
      <c r="AS77" s="25" t="s">
        <v>86</v>
      </c>
      <c r="AT77" s="27" t="s">
        <v>87</v>
      </c>
      <c r="AU77" s="27"/>
      <c r="AW77" s="25" t="s">
        <v>473</v>
      </c>
      <c r="AX77" s="27" t="s">
        <v>95</v>
      </c>
      <c r="AY77" s="27"/>
      <c r="AZ77" s="32"/>
      <c r="BA77" s="41">
        <v>23</v>
      </c>
    </row>
    <row r="78" spans="1:53" x14ac:dyDescent="0.2">
      <c r="A78" s="25">
        <v>62</v>
      </c>
      <c r="B78" s="26">
        <v>45481</v>
      </c>
      <c r="C78" s="27" t="s">
        <v>232</v>
      </c>
      <c r="D78" s="25"/>
      <c r="E78" s="28"/>
      <c r="F78" s="27"/>
      <c r="G78" s="28"/>
      <c r="H78" s="27"/>
      <c r="I78" s="28"/>
      <c r="J78" s="27">
        <v>8</v>
      </c>
      <c r="K78" s="29" t="s">
        <v>35</v>
      </c>
      <c r="L78" s="39" t="s">
        <v>518</v>
      </c>
      <c r="M78" s="31"/>
      <c r="N78" s="27" t="s">
        <v>533</v>
      </c>
      <c r="P78" s="32"/>
      <c r="Q78" s="25"/>
      <c r="R78" s="27"/>
      <c r="S78" s="27"/>
      <c r="T78" s="28"/>
      <c r="U78" s="27"/>
      <c r="V78" s="27"/>
      <c r="W78" s="28"/>
      <c r="X78" s="33"/>
      <c r="Y78" s="32"/>
      <c r="Z78" s="25"/>
      <c r="AA78" s="27"/>
      <c r="AB78" s="28"/>
      <c r="AC78" s="27"/>
      <c r="AD78" s="27"/>
      <c r="AE78" s="33"/>
      <c r="AG78" s="25"/>
      <c r="AH78" s="34"/>
      <c r="AI78" s="27"/>
      <c r="AJ78" s="27"/>
      <c r="AK78" s="27"/>
      <c r="AL78" s="25"/>
      <c r="AM78" s="34"/>
      <c r="AN78" s="27">
        <v>0.1</v>
      </c>
      <c r="AO78" s="27">
        <v>0.1</v>
      </c>
      <c r="AP78" s="36">
        <v>0.1</v>
      </c>
      <c r="AQ78" s="37"/>
      <c r="AR78" s="32"/>
      <c r="AS78" s="25" t="s">
        <v>86</v>
      </c>
      <c r="AT78" s="27" t="s">
        <v>87</v>
      </c>
      <c r="AU78" s="27"/>
      <c r="AW78" s="25" t="s">
        <v>473</v>
      </c>
      <c r="AX78" s="27" t="s">
        <v>95</v>
      </c>
      <c r="AY78" s="27"/>
      <c r="AZ78" s="32"/>
      <c r="BA78" s="41">
        <v>1</v>
      </c>
    </row>
    <row r="79" spans="1:53" x14ac:dyDescent="0.2">
      <c r="A79" s="25">
        <v>63</v>
      </c>
      <c r="B79" s="26">
        <v>45482</v>
      </c>
      <c r="C79" s="27" t="s">
        <v>314</v>
      </c>
      <c r="D79" s="25"/>
      <c r="E79" s="28"/>
      <c r="F79" s="27"/>
      <c r="G79" s="28"/>
      <c r="H79" s="27"/>
      <c r="I79" s="28"/>
      <c r="J79" s="27">
        <v>8</v>
      </c>
      <c r="K79" s="29" t="s">
        <v>35</v>
      </c>
      <c r="L79" s="39"/>
      <c r="M79" s="31"/>
      <c r="N79" s="27" t="s">
        <v>533</v>
      </c>
      <c r="P79" s="32"/>
      <c r="Q79" s="25"/>
      <c r="R79" s="27"/>
      <c r="S79" s="27"/>
      <c r="T79" s="28"/>
      <c r="U79" s="27"/>
      <c r="V79" s="27"/>
      <c r="W79" s="28"/>
      <c r="X79" s="33"/>
      <c r="Y79" s="32"/>
      <c r="Z79" s="25"/>
      <c r="AA79" s="27"/>
      <c r="AB79" s="28"/>
      <c r="AC79" s="27"/>
      <c r="AD79" s="27"/>
      <c r="AE79" s="33"/>
      <c r="AG79" s="25"/>
      <c r="AH79" s="34"/>
      <c r="AI79" s="27"/>
      <c r="AJ79" s="27"/>
      <c r="AK79" s="27"/>
      <c r="AL79" s="25"/>
      <c r="AM79" s="34"/>
      <c r="AN79" s="27">
        <v>0.1</v>
      </c>
      <c r="AO79" s="27">
        <v>0.1</v>
      </c>
      <c r="AP79" s="36">
        <v>0.1</v>
      </c>
      <c r="AQ79" s="37"/>
      <c r="AR79" s="32"/>
      <c r="AS79" s="25" t="s">
        <v>86</v>
      </c>
      <c r="AT79" s="27" t="s">
        <v>87</v>
      </c>
      <c r="AU79" s="27"/>
      <c r="AW79" s="25" t="s">
        <v>473</v>
      </c>
      <c r="AX79" s="27" t="s">
        <v>95</v>
      </c>
      <c r="AY79" s="27"/>
      <c r="AZ79" s="32"/>
      <c r="BA79" s="41">
        <v>6</v>
      </c>
    </row>
    <row r="80" spans="1:53" x14ac:dyDescent="0.2">
      <c r="A80" s="25">
        <v>64</v>
      </c>
      <c r="B80" s="26">
        <v>45483</v>
      </c>
      <c r="C80" s="27" t="s">
        <v>232</v>
      </c>
      <c r="D80" s="25"/>
      <c r="E80" s="28"/>
      <c r="F80" s="27"/>
      <c r="G80" s="28"/>
      <c r="H80" s="27"/>
      <c r="I80" s="28"/>
      <c r="J80" s="27">
        <v>8</v>
      </c>
      <c r="K80" s="29" t="s">
        <v>35</v>
      </c>
      <c r="L80" s="39"/>
      <c r="M80" s="31"/>
      <c r="N80" s="27"/>
      <c r="P80" s="32"/>
      <c r="Q80" s="25"/>
      <c r="R80" s="27"/>
      <c r="S80" s="27"/>
      <c r="T80" s="28"/>
      <c r="U80" s="27"/>
      <c r="V80" s="27"/>
      <c r="W80" s="28"/>
      <c r="X80" s="33"/>
      <c r="Y80" s="32"/>
      <c r="Z80" s="25"/>
      <c r="AA80" s="27"/>
      <c r="AB80" s="28"/>
      <c r="AC80" s="27"/>
      <c r="AD80" s="27"/>
      <c r="AE80" s="33"/>
      <c r="AG80" s="25"/>
      <c r="AH80" s="34"/>
      <c r="AI80" s="27"/>
      <c r="AJ80" s="27"/>
      <c r="AK80" s="27"/>
      <c r="AL80" s="25"/>
      <c r="AM80" s="34"/>
      <c r="AN80" s="27">
        <v>0.1</v>
      </c>
      <c r="AO80" s="27">
        <v>0.1</v>
      </c>
      <c r="AP80" s="36">
        <v>0.1</v>
      </c>
      <c r="AQ80" s="37"/>
      <c r="AR80" s="32"/>
      <c r="AS80" s="25" t="s">
        <v>86</v>
      </c>
      <c r="AT80" s="27" t="s">
        <v>87</v>
      </c>
      <c r="AU80" s="27"/>
      <c r="AW80" s="25" t="s">
        <v>473</v>
      </c>
      <c r="AX80" s="27" t="s">
        <v>95</v>
      </c>
      <c r="AY80" s="27"/>
      <c r="AZ80" s="32"/>
      <c r="BA80" s="41">
        <v>7</v>
      </c>
    </row>
    <row r="81" spans="1:53" x14ac:dyDescent="0.2">
      <c r="A81" s="25">
        <v>65</v>
      </c>
      <c r="B81" s="26">
        <v>45484</v>
      </c>
      <c r="C81" s="27" t="s">
        <v>543</v>
      </c>
      <c r="D81" s="25"/>
      <c r="E81" s="28"/>
      <c r="F81" s="27"/>
      <c r="G81" s="28"/>
      <c r="H81" s="27"/>
      <c r="I81" s="28"/>
      <c r="J81" s="27">
        <v>8</v>
      </c>
      <c r="K81" s="29" t="s">
        <v>35</v>
      </c>
      <c r="L81" s="39"/>
      <c r="M81" s="31"/>
      <c r="N81" s="27"/>
      <c r="P81" s="32"/>
      <c r="Q81" s="25"/>
      <c r="R81" s="27"/>
      <c r="S81" s="27"/>
      <c r="T81" s="28"/>
      <c r="U81" s="27"/>
      <c r="V81" s="27"/>
      <c r="W81" s="28"/>
      <c r="X81" s="33"/>
      <c r="Y81" s="32"/>
      <c r="Z81" s="25"/>
      <c r="AA81" s="27"/>
      <c r="AB81" s="28"/>
      <c r="AC81" s="27"/>
      <c r="AD81" s="27"/>
      <c r="AE81" s="33"/>
      <c r="AG81" s="25"/>
      <c r="AH81" s="34"/>
      <c r="AI81" s="27"/>
      <c r="AJ81" s="27"/>
      <c r="AK81" s="27"/>
      <c r="AL81" s="25"/>
      <c r="AM81" s="34"/>
      <c r="AN81" s="27">
        <v>0.1</v>
      </c>
      <c r="AO81" s="27">
        <v>0.1</v>
      </c>
      <c r="AP81" s="36">
        <v>0.1</v>
      </c>
      <c r="AQ81" s="37"/>
      <c r="AR81" s="32"/>
      <c r="AS81" s="25" t="s">
        <v>86</v>
      </c>
      <c r="AT81" s="27" t="s">
        <v>87</v>
      </c>
      <c r="AU81" s="27"/>
      <c r="AW81" s="25" t="s">
        <v>473</v>
      </c>
      <c r="AX81" s="27" t="s">
        <v>95</v>
      </c>
      <c r="AY81" s="27"/>
      <c r="AZ81" s="32"/>
      <c r="BA81" s="41">
        <v>3</v>
      </c>
    </row>
    <row r="82" spans="1:53" x14ac:dyDescent="0.2">
      <c r="A82" s="25">
        <v>66</v>
      </c>
      <c r="B82" s="26">
        <v>45485</v>
      </c>
      <c r="C82" s="27" t="s">
        <v>200</v>
      </c>
      <c r="D82" s="25"/>
      <c r="E82" s="28"/>
      <c r="F82" s="27"/>
      <c r="G82" s="28"/>
      <c r="H82" s="27"/>
      <c r="I82" s="28"/>
      <c r="J82" s="27">
        <v>8</v>
      </c>
      <c r="K82" s="29" t="s">
        <v>35</v>
      </c>
      <c r="L82" s="39"/>
      <c r="M82" s="31"/>
      <c r="N82" s="27"/>
      <c r="P82" s="32"/>
      <c r="Q82" s="25"/>
      <c r="R82" s="27"/>
      <c r="S82" s="27"/>
      <c r="T82" s="28"/>
      <c r="U82" s="27"/>
      <c r="V82" s="27"/>
      <c r="W82" s="28"/>
      <c r="X82" s="33"/>
      <c r="Y82" s="32"/>
      <c r="Z82" s="25"/>
      <c r="AA82" s="27"/>
      <c r="AB82" s="28"/>
      <c r="AC82" s="27"/>
      <c r="AD82" s="27"/>
      <c r="AE82" s="33"/>
      <c r="AG82" s="25"/>
      <c r="AH82" s="34"/>
      <c r="AI82" s="27"/>
      <c r="AJ82" s="27"/>
      <c r="AK82" s="27"/>
      <c r="AL82" s="25"/>
      <c r="AM82" s="34"/>
      <c r="AN82" s="27">
        <v>0.1</v>
      </c>
      <c r="AO82" s="27">
        <v>0.1</v>
      </c>
      <c r="AP82" s="36">
        <v>0.1</v>
      </c>
      <c r="AQ82" s="37"/>
      <c r="AR82" s="32"/>
      <c r="AS82" s="25" t="s">
        <v>86</v>
      </c>
      <c r="AT82" s="27" t="s">
        <v>87</v>
      </c>
      <c r="AU82" s="27"/>
      <c r="AW82" s="25" t="s">
        <v>473</v>
      </c>
      <c r="AX82" s="27" t="s">
        <v>95</v>
      </c>
      <c r="AY82" s="27"/>
      <c r="AZ82" s="32"/>
      <c r="BA82" s="41">
        <v>5</v>
      </c>
    </row>
    <row r="83" spans="1:53" x14ac:dyDescent="0.2">
      <c r="A83" s="25">
        <v>67</v>
      </c>
      <c r="B83" s="26">
        <v>45486</v>
      </c>
      <c r="C83" s="27" t="s">
        <v>200</v>
      </c>
      <c r="D83" s="25"/>
      <c r="E83" s="28"/>
      <c r="F83" s="27"/>
      <c r="G83" s="28"/>
      <c r="H83" s="27"/>
      <c r="I83" s="28"/>
      <c r="J83" s="27">
        <v>8</v>
      </c>
      <c r="K83" s="29" t="s">
        <v>35</v>
      </c>
      <c r="L83" s="39" t="s">
        <v>548</v>
      </c>
      <c r="M83" s="31"/>
      <c r="N83" s="27"/>
      <c r="P83" s="32"/>
      <c r="Q83" s="25"/>
      <c r="R83" s="27"/>
      <c r="S83" s="27"/>
      <c r="T83" s="28"/>
      <c r="U83" s="27"/>
      <c r="V83" s="27"/>
      <c r="W83" s="28"/>
      <c r="X83" s="33"/>
      <c r="Y83" s="32"/>
      <c r="Z83" s="25"/>
      <c r="AA83" s="27"/>
      <c r="AB83" s="28"/>
      <c r="AC83" s="27"/>
      <c r="AD83" s="27"/>
      <c r="AE83" s="33"/>
      <c r="AG83" s="25"/>
      <c r="AH83" s="34"/>
      <c r="AI83" s="27"/>
      <c r="AJ83" s="27"/>
      <c r="AK83" s="27"/>
      <c r="AL83" s="25"/>
      <c r="AM83" s="34"/>
      <c r="AN83" s="27">
        <v>0.1</v>
      </c>
      <c r="AO83" s="27">
        <v>0.1</v>
      </c>
      <c r="AP83" s="36">
        <v>0.1</v>
      </c>
      <c r="AQ83" s="37"/>
      <c r="AR83" s="32"/>
      <c r="AS83" s="25" t="s">
        <v>86</v>
      </c>
      <c r="AT83" s="27" t="s">
        <v>87</v>
      </c>
      <c r="AU83" s="27"/>
      <c r="AW83" s="25" t="s">
        <v>473</v>
      </c>
      <c r="AX83" s="27" t="s">
        <v>95</v>
      </c>
      <c r="AY83" s="27"/>
      <c r="AZ83" s="32"/>
      <c r="BA83" s="41">
        <v>3</v>
      </c>
    </row>
    <row r="84" spans="1:53" x14ac:dyDescent="0.2">
      <c r="A84" s="25">
        <v>68</v>
      </c>
      <c r="B84" s="26">
        <v>45487</v>
      </c>
      <c r="C84" s="27" t="s">
        <v>232</v>
      </c>
      <c r="D84" s="25"/>
      <c r="E84" s="28"/>
      <c r="F84" s="27"/>
      <c r="G84" s="28"/>
      <c r="H84" s="27"/>
      <c r="I84" s="28"/>
      <c r="J84" s="27">
        <v>8</v>
      </c>
      <c r="K84" s="29" t="s">
        <v>35</v>
      </c>
      <c r="L84" s="39"/>
      <c r="M84" s="31"/>
      <c r="N84" s="27"/>
      <c r="P84" s="32"/>
      <c r="Q84" s="25"/>
      <c r="R84" s="27"/>
      <c r="S84" s="27"/>
      <c r="T84" s="28"/>
      <c r="U84" s="27"/>
      <c r="V84" s="27"/>
      <c r="W84" s="28"/>
      <c r="X84" s="33"/>
      <c r="Y84" s="32"/>
      <c r="Z84" s="25"/>
      <c r="AA84" s="27"/>
      <c r="AB84" s="28"/>
      <c r="AC84" s="27"/>
      <c r="AD84" s="27"/>
      <c r="AE84" s="33"/>
      <c r="AG84" s="25"/>
      <c r="AH84" s="34"/>
      <c r="AI84" s="27"/>
      <c r="AJ84" s="27"/>
      <c r="AK84" s="27"/>
      <c r="AL84" s="25"/>
      <c r="AM84" s="34"/>
      <c r="AN84" s="27">
        <v>0.1</v>
      </c>
      <c r="AO84" s="27">
        <v>0.1</v>
      </c>
      <c r="AP84" s="36">
        <v>0.1</v>
      </c>
      <c r="AQ84" s="37"/>
      <c r="AR84" s="32"/>
      <c r="AS84" s="25" t="s">
        <v>86</v>
      </c>
      <c r="AT84" s="27" t="s">
        <v>87</v>
      </c>
      <c r="AU84" s="27"/>
      <c r="AW84" s="25" t="s">
        <v>473</v>
      </c>
      <c r="AX84" s="27" t="s">
        <v>95</v>
      </c>
      <c r="AY84" s="27"/>
      <c r="AZ84" s="32"/>
      <c r="BA84" s="41">
        <v>3</v>
      </c>
    </row>
    <row r="85" spans="1:53" x14ac:dyDescent="0.2">
      <c r="A85" s="25">
        <v>69</v>
      </c>
      <c r="B85" s="26">
        <v>45488</v>
      </c>
      <c r="C85" s="27" t="s">
        <v>232</v>
      </c>
      <c r="D85" s="25"/>
      <c r="E85" s="28"/>
      <c r="F85" s="27"/>
      <c r="G85" s="28"/>
      <c r="H85" s="27"/>
      <c r="I85" s="28"/>
      <c r="J85" s="27">
        <v>8</v>
      </c>
      <c r="K85" s="29" t="s">
        <v>35</v>
      </c>
      <c r="L85" s="39"/>
      <c r="M85" s="31"/>
      <c r="N85" s="27"/>
      <c r="P85" s="32"/>
      <c r="Q85" s="25"/>
      <c r="R85" s="27"/>
      <c r="S85" s="27"/>
      <c r="T85" s="28"/>
      <c r="U85" s="27"/>
      <c r="V85" s="27"/>
      <c r="W85" s="28"/>
      <c r="X85" s="33"/>
      <c r="Y85" s="32"/>
      <c r="Z85" s="25"/>
      <c r="AA85" s="27"/>
      <c r="AB85" s="28"/>
      <c r="AC85" s="27"/>
      <c r="AD85" s="27"/>
      <c r="AE85" s="33"/>
      <c r="AG85" s="25"/>
      <c r="AH85" s="34"/>
      <c r="AI85" s="27"/>
      <c r="AJ85" s="27"/>
      <c r="AK85" s="27"/>
      <c r="AL85" s="25"/>
      <c r="AM85" s="34"/>
      <c r="AN85" s="27">
        <v>0.1</v>
      </c>
      <c r="AO85" s="27">
        <v>0.1</v>
      </c>
      <c r="AP85" s="36">
        <v>0.1</v>
      </c>
      <c r="AQ85" s="37"/>
      <c r="AR85" s="32"/>
      <c r="AS85" s="25" t="s">
        <v>86</v>
      </c>
      <c r="AT85" s="27" t="s">
        <v>87</v>
      </c>
      <c r="AU85" s="27"/>
      <c r="AW85" s="25" t="s">
        <v>473</v>
      </c>
      <c r="AX85" s="27" t="s">
        <v>95</v>
      </c>
      <c r="AY85" s="27"/>
      <c r="AZ85" s="32"/>
      <c r="BA85" s="41">
        <v>0</v>
      </c>
    </row>
    <row r="86" spans="1:53" x14ac:dyDescent="0.2">
      <c r="A86" s="25">
        <v>70</v>
      </c>
      <c r="B86" s="26">
        <v>45489</v>
      </c>
      <c r="C86" s="27" t="s">
        <v>227</v>
      </c>
      <c r="D86" s="25"/>
      <c r="E86" s="28"/>
      <c r="F86" s="27"/>
      <c r="G86" s="28"/>
      <c r="H86" s="27"/>
      <c r="I86" s="28"/>
      <c r="J86" s="27">
        <v>8</v>
      </c>
      <c r="K86" s="29" t="s">
        <v>35</v>
      </c>
      <c r="L86" s="39"/>
      <c r="M86" s="31"/>
      <c r="N86" s="27"/>
      <c r="P86" s="32"/>
      <c r="Q86" s="25"/>
      <c r="R86" s="27"/>
      <c r="S86" s="27"/>
      <c r="T86" s="28"/>
      <c r="U86" s="27"/>
      <c r="V86" s="27"/>
      <c r="W86" s="28"/>
      <c r="X86" s="33"/>
      <c r="Y86" s="32"/>
      <c r="Z86" s="25"/>
      <c r="AA86" s="27"/>
      <c r="AB86" s="28"/>
      <c r="AC86" s="27"/>
      <c r="AD86" s="27"/>
      <c r="AE86" s="33"/>
      <c r="AG86" s="25"/>
      <c r="AH86" s="34"/>
      <c r="AI86" s="27"/>
      <c r="AJ86" s="27"/>
      <c r="AK86" s="27"/>
      <c r="AL86" s="25"/>
      <c r="AM86" s="34"/>
      <c r="AN86" s="27">
        <v>0.1</v>
      </c>
      <c r="AO86" s="27">
        <v>0.1</v>
      </c>
      <c r="AP86" s="36">
        <v>0.1</v>
      </c>
      <c r="AQ86" s="37"/>
      <c r="AR86" s="32"/>
      <c r="AS86" s="25" t="s">
        <v>86</v>
      </c>
      <c r="AT86" s="27" t="s">
        <v>87</v>
      </c>
      <c r="AU86" s="27"/>
      <c r="AW86" s="25" t="s">
        <v>473</v>
      </c>
      <c r="AX86" s="27" t="s">
        <v>95</v>
      </c>
      <c r="AY86" s="27"/>
      <c r="AZ86" s="32"/>
      <c r="BA86" s="41">
        <v>1</v>
      </c>
    </row>
    <row r="87" spans="1:53" x14ac:dyDescent="0.2">
      <c r="A87" s="25">
        <v>71</v>
      </c>
      <c r="B87" s="26">
        <v>45490</v>
      </c>
      <c r="C87" s="27" t="s">
        <v>227</v>
      </c>
      <c r="D87" s="25"/>
      <c r="E87" s="28"/>
      <c r="F87" s="27"/>
      <c r="G87" s="28"/>
      <c r="H87" s="27"/>
      <c r="I87" s="28"/>
      <c r="J87" s="27">
        <v>8</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v>0.1</v>
      </c>
      <c r="AO87" s="27">
        <v>0.1</v>
      </c>
      <c r="AP87" s="36">
        <v>0.1</v>
      </c>
      <c r="AQ87" s="37"/>
      <c r="AS87" s="25" t="s">
        <v>86</v>
      </c>
      <c r="AT87" s="27" t="s">
        <v>87</v>
      </c>
      <c r="AU87" s="27"/>
      <c r="AW87" s="25" t="s">
        <v>473</v>
      </c>
      <c r="AX87" s="27" t="s">
        <v>95</v>
      </c>
      <c r="AY87" s="27"/>
      <c r="AZ87" s="32"/>
      <c r="BA87" s="41">
        <v>2</v>
      </c>
    </row>
    <row r="88" spans="1:53" x14ac:dyDescent="0.2">
      <c r="A88" s="25">
        <v>72</v>
      </c>
      <c r="B88" s="26">
        <v>45491</v>
      </c>
      <c r="C88" s="27" t="s">
        <v>200</v>
      </c>
      <c r="D88" s="25"/>
      <c r="E88" s="28"/>
      <c r="F88" s="27"/>
      <c r="G88" s="28"/>
      <c r="H88" s="27"/>
      <c r="I88" s="28"/>
      <c r="J88" s="27">
        <v>8</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v>0.1</v>
      </c>
      <c r="AO88" s="27">
        <v>0.1</v>
      </c>
      <c r="AP88" s="36">
        <v>0.1</v>
      </c>
      <c r="AQ88" s="37"/>
      <c r="AS88" s="25" t="s">
        <v>486</v>
      </c>
      <c r="AT88" s="27" t="s">
        <v>87</v>
      </c>
      <c r="AU88" s="27"/>
      <c r="AW88" s="25" t="s">
        <v>473</v>
      </c>
      <c r="AX88" s="27" t="s">
        <v>95</v>
      </c>
      <c r="AY88" s="27"/>
      <c r="AZ88" s="32"/>
      <c r="BA88" s="41">
        <v>3</v>
      </c>
    </row>
    <row r="89" spans="1:53" x14ac:dyDescent="0.2">
      <c r="A89" s="25">
        <v>73</v>
      </c>
      <c r="B89" s="26">
        <v>45492</v>
      </c>
      <c r="C89" s="27" t="s">
        <v>200</v>
      </c>
      <c r="D89" s="25"/>
      <c r="E89" s="28"/>
      <c r="F89" s="27"/>
      <c r="G89" s="28"/>
      <c r="H89" s="27"/>
      <c r="I89" s="28"/>
      <c r="J89" s="27">
        <v>8</v>
      </c>
      <c r="K89" s="29" t="s">
        <v>35</v>
      </c>
      <c r="L89" s="173"/>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v>0.1</v>
      </c>
      <c r="AO89" s="27">
        <v>0.1</v>
      </c>
      <c r="AP89" s="36">
        <v>0.1</v>
      </c>
      <c r="AQ89" s="37"/>
      <c r="AS89" s="25" t="s">
        <v>554</v>
      </c>
      <c r="AT89" s="27" t="s">
        <v>87</v>
      </c>
      <c r="AU89" s="27"/>
      <c r="AW89" s="25" t="s">
        <v>473</v>
      </c>
      <c r="AX89" s="27" t="s">
        <v>95</v>
      </c>
      <c r="AY89" s="27"/>
      <c r="AZ89" s="32"/>
      <c r="BA89" s="41">
        <v>1</v>
      </c>
    </row>
    <row r="90" spans="1:53" x14ac:dyDescent="0.2">
      <c r="A90" s="25">
        <v>74</v>
      </c>
      <c r="B90" s="26">
        <v>45493</v>
      </c>
      <c r="C90" s="27" t="s">
        <v>232</v>
      </c>
      <c r="D90" s="25"/>
      <c r="E90" s="28"/>
      <c r="F90" s="27"/>
      <c r="G90" s="28"/>
      <c r="H90" s="27"/>
      <c r="I90" s="28"/>
      <c r="J90" s="27">
        <v>8</v>
      </c>
      <c r="K90" s="29" t="s">
        <v>35</v>
      </c>
      <c r="L90" s="173"/>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v>0.1</v>
      </c>
      <c r="AO90" s="27">
        <v>0.1</v>
      </c>
      <c r="AP90" s="36">
        <v>0.1</v>
      </c>
      <c r="AQ90" s="37"/>
      <c r="AS90" s="25" t="s">
        <v>486</v>
      </c>
      <c r="AT90" s="27" t="s">
        <v>87</v>
      </c>
      <c r="AU90" s="27"/>
      <c r="AW90" s="25" t="s">
        <v>473</v>
      </c>
      <c r="AX90" s="27" t="s">
        <v>95</v>
      </c>
      <c r="AY90" s="27"/>
      <c r="AZ90" s="32"/>
      <c r="BA90" s="41">
        <v>0</v>
      </c>
    </row>
    <row r="91" spans="1:53" x14ac:dyDescent="0.2">
      <c r="A91" s="25">
        <v>75</v>
      </c>
      <c r="B91" s="26">
        <v>45494</v>
      </c>
      <c r="C91" s="27" t="s">
        <v>232</v>
      </c>
      <c r="D91" s="25"/>
      <c r="E91" s="28"/>
      <c r="F91" s="27"/>
      <c r="G91" s="28"/>
      <c r="H91" s="27"/>
      <c r="I91" s="28"/>
      <c r="J91" s="27">
        <v>8</v>
      </c>
      <c r="K91" s="29" t="s">
        <v>35</v>
      </c>
      <c r="L91" s="173" t="s">
        <v>557</v>
      </c>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v>0.1</v>
      </c>
      <c r="AO91" s="27">
        <v>0.1</v>
      </c>
      <c r="AP91" s="36">
        <v>0.1</v>
      </c>
      <c r="AQ91" s="37"/>
      <c r="AR91" s="32" t="s">
        <v>558</v>
      </c>
      <c r="AS91" s="25" t="s">
        <v>386</v>
      </c>
      <c r="AT91" s="27" t="s">
        <v>87</v>
      </c>
      <c r="AU91" s="27"/>
      <c r="AV91" s="27" t="s">
        <v>559</v>
      </c>
      <c r="AW91" s="25" t="s">
        <v>473</v>
      </c>
      <c r="AX91" s="27" t="s">
        <v>95</v>
      </c>
      <c r="AY91" s="27"/>
      <c r="AZ91" s="32" t="s">
        <v>559</v>
      </c>
      <c r="BA91" s="41">
        <v>1</v>
      </c>
    </row>
    <row r="92" spans="1:53" x14ac:dyDescent="0.2">
      <c r="A92" s="25">
        <v>76</v>
      </c>
      <c r="B92" s="26">
        <v>45495</v>
      </c>
      <c r="C92" s="27" t="s">
        <v>232</v>
      </c>
      <c r="D92" s="25"/>
      <c r="E92" s="28"/>
      <c r="F92" s="27"/>
      <c r="G92" s="28"/>
      <c r="H92" s="27"/>
      <c r="I92" s="28"/>
      <c r="J92" s="27">
        <v>8</v>
      </c>
      <c r="K92" s="29" t="s">
        <v>35</v>
      </c>
      <c r="L92" s="173"/>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v>0.1</v>
      </c>
      <c r="AO92" s="27">
        <v>0.1</v>
      </c>
      <c r="AP92" s="36">
        <v>0.1</v>
      </c>
      <c r="AQ92" s="37"/>
      <c r="AR92" s="32"/>
      <c r="AS92" s="25" t="s">
        <v>386</v>
      </c>
      <c r="AT92" s="27" t="s">
        <v>87</v>
      </c>
      <c r="AU92" s="27"/>
      <c r="AW92" s="25" t="s">
        <v>473</v>
      </c>
      <c r="AX92" s="27" t="s">
        <v>95</v>
      </c>
      <c r="AY92" s="27"/>
      <c r="AZ92" s="32"/>
      <c r="BA92" s="41">
        <v>1</v>
      </c>
    </row>
    <row r="93" spans="1:53" x14ac:dyDescent="0.2">
      <c r="A93" s="25">
        <v>77</v>
      </c>
      <c r="B93" s="26">
        <v>45496</v>
      </c>
      <c r="C93" s="27" t="s">
        <v>232</v>
      </c>
      <c r="D93" s="25"/>
      <c r="E93" s="28"/>
      <c r="F93" s="27"/>
      <c r="G93" s="28"/>
      <c r="H93" s="27"/>
      <c r="I93" s="28"/>
      <c r="J93" s="27">
        <v>8</v>
      </c>
      <c r="K93" s="29" t="s">
        <v>35</v>
      </c>
      <c r="L93" s="173"/>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v>0.1</v>
      </c>
      <c r="AO93" s="27">
        <v>0.1</v>
      </c>
      <c r="AP93" s="36">
        <v>0.1</v>
      </c>
      <c r="AQ93" s="37"/>
      <c r="AR93" s="32"/>
      <c r="AS93" s="25" t="s">
        <v>386</v>
      </c>
      <c r="AT93" s="27" t="s">
        <v>87</v>
      </c>
      <c r="AU93" s="27"/>
      <c r="AW93" s="25" t="s">
        <v>473</v>
      </c>
      <c r="AX93" s="27" t="s">
        <v>95</v>
      </c>
      <c r="AY93" s="27"/>
      <c r="AZ93" s="32"/>
      <c r="BA93" s="41">
        <v>0</v>
      </c>
    </row>
    <row r="94" spans="1:53" x14ac:dyDescent="0.2">
      <c r="A94" s="25">
        <v>78</v>
      </c>
      <c r="B94" s="26">
        <v>45497</v>
      </c>
      <c r="C94" s="27" t="s">
        <v>227</v>
      </c>
      <c r="D94" s="25"/>
      <c r="E94" s="28"/>
      <c r="F94" s="27"/>
      <c r="G94" s="28"/>
      <c r="H94" s="27"/>
      <c r="I94" s="28"/>
      <c r="J94" s="27">
        <v>8</v>
      </c>
      <c r="K94" s="29" t="s">
        <v>35</v>
      </c>
      <c r="L94" s="173"/>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v>0.1</v>
      </c>
      <c r="AO94" s="27">
        <v>0.1</v>
      </c>
      <c r="AP94" s="36">
        <v>0.1</v>
      </c>
      <c r="AQ94" s="37"/>
      <c r="AR94" s="32" t="s">
        <v>566</v>
      </c>
      <c r="AS94" s="25" t="s">
        <v>386</v>
      </c>
      <c r="AT94" s="27" t="s">
        <v>87</v>
      </c>
      <c r="AU94" s="27"/>
      <c r="AV94" s="27" t="s">
        <v>559</v>
      </c>
      <c r="AW94" s="25" t="s">
        <v>473</v>
      </c>
      <c r="AX94" s="27" t="s">
        <v>95</v>
      </c>
      <c r="AY94" s="27"/>
      <c r="AZ94" s="32" t="s">
        <v>559</v>
      </c>
      <c r="BA94" s="41">
        <v>0</v>
      </c>
    </row>
    <row r="95" spans="1:53" x14ac:dyDescent="0.2">
      <c r="A95" s="25">
        <v>79</v>
      </c>
      <c r="B95" s="26">
        <v>45498</v>
      </c>
      <c r="C95" s="27" t="s">
        <v>227</v>
      </c>
      <c r="D95" s="25"/>
      <c r="E95" s="28"/>
      <c r="F95" s="27"/>
      <c r="G95" s="28"/>
      <c r="H95" s="27"/>
      <c r="I95" s="28"/>
      <c r="J95" s="27">
        <v>8</v>
      </c>
      <c r="K95" s="29" t="s">
        <v>35</v>
      </c>
      <c r="L95" s="173"/>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v>0.1</v>
      </c>
      <c r="AO95" s="27">
        <v>0.1</v>
      </c>
      <c r="AP95" s="36">
        <v>0.1</v>
      </c>
      <c r="AQ95" s="37"/>
      <c r="AR95" s="32" t="s">
        <v>489</v>
      </c>
      <c r="AS95" s="25" t="s">
        <v>386</v>
      </c>
      <c r="AT95" s="27" t="s">
        <v>87</v>
      </c>
      <c r="AU95" s="27"/>
      <c r="AV95" s="27" t="s">
        <v>559</v>
      </c>
      <c r="AW95" s="25" t="s">
        <v>473</v>
      </c>
      <c r="AX95" s="27" t="s">
        <v>95</v>
      </c>
      <c r="AY95" s="27"/>
      <c r="AZ95" s="32" t="s">
        <v>559</v>
      </c>
      <c r="BA95" s="41">
        <v>0</v>
      </c>
    </row>
    <row r="96" spans="1:53" x14ac:dyDescent="0.2">
      <c r="A96" s="25">
        <v>80</v>
      </c>
      <c r="B96" s="26">
        <v>45499</v>
      </c>
      <c r="C96" s="27" t="s">
        <v>200</v>
      </c>
      <c r="D96" s="25"/>
      <c r="E96" s="28"/>
      <c r="F96" s="27"/>
      <c r="G96" s="28"/>
      <c r="H96" s="27"/>
      <c r="I96" s="28"/>
      <c r="J96" s="27">
        <v>8</v>
      </c>
      <c r="K96" s="29" t="s">
        <v>35</v>
      </c>
      <c r="L96" s="173"/>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v>0.1</v>
      </c>
      <c r="AO96" s="27">
        <v>0.1</v>
      </c>
      <c r="AP96" s="36">
        <v>0.1</v>
      </c>
      <c r="AQ96" s="37"/>
      <c r="AR96" s="32" t="s">
        <v>570</v>
      </c>
      <c r="AS96" s="25" t="s">
        <v>486</v>
      </c>
      <c r="AT96" s="27" t="s">
        <v>87</v>
      </c>
      <c r="AU96" s="27"/>
      <c r="AV96" s="27" t="s">
        <v>525</v>
      </c>
      <c r="AW96" s="25" t="s">
        <v>473</v>
      </c>
      <c r="AX96" s="27" t="s">
        <v>95</v>
      </c>
      <c r="AY96" s="27"/>
      <c r="AZ96" s="32"/>
      <c r="BA96" s="41">
        <v>0</v>
      </c>
    </row>
    <row r="97" spans="1:53" x14ac:dyDescent="0.2">
      <c r="A97" s="25">
        <v>81</v>
      </c>
      <c r="B97" s="26">
        <v>45500</v>
      </c>
      <c r="C97" s="27" t="s">
        <v>200</v>
      </c>
      <c r="D97" s="25"/>
      <c r="E97" s="28"/>
      <c r="F97" s="27"/>
      <c r="G97" s="28"/>
      <c r="H97" s="27"/>
      <c r="I97" s="28"/>
      <c r="J97" s="27">
        <v>8</v>
      </c>
      <c r="K97" s="29" t="s">
        <v>35</v>
      </c>
      <c r="L97" s="173" t="s">
        <v>574</v>
      </c>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v>0.1</v>
      </c>
      <c r="AO97" s="27">
        <v>0.1</v>
      </c>
      <c r="AP97" s="36">
        <v>0.1</v>
      </c>
      <c r="AQ97" s="37"/>
      <c r="AR97" s="32"/>
      <c r="AS97" s="25" t="s">
        <v>486</v>
      </c>
      <c r="AT97" s="27" t="s">
        <v>87</v>
      </c>
      <c r="AU97" s="27"/>
      <c r="AW97" s="25" t="s">
        <v>473</v>
      </c>
      <c r="AX97" s="27" t="s">
        <v>95</v>
      </c>
      <c r="AY97" s="27"/>
      <c r="AZ97" s="32"/>
      <c r="BA97" s="41">
        <v>0</v>
      </c>
    </row>
    <row r="98" spans="1:53" x14ac:dyDescent="0.2">
      <c r="A98" s="25">
        <v>82</v>
      </c>
      <c r="B98" s="26">
        <v>45501</v>
      </c>
      <c r="C98" s="27" t="s">
        <v>200</v>
      </c>
      <c r="D98" s="25"/>
      <c r="E98" s="28"/>
      <c r="F98" s="27"/>
      <c r="G98" s="28"/>
      <c r="H98" s="27"/>
      <c r="I98" s="28"/>
      <c r="J98" s="27">
        <v>8</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v>0.1</v>
      </c>
      <c r="AJ98" s="27">
        <v>0.1</v>
      </c>
      <c r="AK98" s="28">
        <v>0.1</v>
      </c>
      <c r="AL98" s="27"/>
      <c r="AM98" s="27"/>
      <c r="AN98" s="27">
        <v>0.05</v>
      </c>
      <c r="AO98" s="27">
        <v>0.05</v>
      </c>
      <c r="AP98" s="36">
        <v>0.05</v>
      </c>
      <c r="AQ98" s="37" t="s">
        <v>576</v>
      </c>
      <c r="AR98" s="32"/>
      <c r="AS98" s="25" t="s">
        <v>486</v>
      </c>
      <c r="AT98" s="27" t="s">
        <v>87</v>
      </c>
      <c r="AU98" s="27"/>
      <c r="AW98" s="25" t="s">
        <v>473</v>
      </c>
      <c r="AX98" s="27" t="s">
        <v>95</v>
      </c>
      <c r="AY98" s="27"/>
      <c r="AZ98" s="32" t="s">
        <v>559</v>
      </c>
      <c r="BA98" s="41">
        <v>2</v>
      </c>
    </row>
    <row r="99" spans="1:53" x14ac:dyDescent="0.2">
      <c r="A99" s="25">
        <v>83</v>
      </c>
      <c r="B99" s="26">
        <v>45502</v>
      </c>
      <c r="C99" s="27" t="s">
        <v>232</v>
      </c>
      <c r="D99" s="25"/>
      <c r="E99" s="28"/>
      <c r="F99" s="27"/>
      <c r="G99" s="28"/>
      <c r="H99" s="27"/>
      <c r="I99" s="28"/>
      <c r="J99" s="27">
        <v>8</v>
      </c>
      <c r="K99" s="29" t="s">
        <v>35</v>
      </c>
      <c r="L99" s="39" t="s">
        <v>583</v>
      </c>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v>0.1</v>
      </c>
      <c r="AO99" s="27">
        <v>0.1</v>
      </c>
      <c r="AP99" s="36">
        <v>0.1</v>
      </c>
      <c r="AQ99" s="37"/>
      <c r="AR99" s="32" t="s">
        <v>584</v>
      </c>
      <c r="AS99" s="25" t="s">
        <v>486</v>
      </c>
      <c r="AT99" s="27" t="s">
        <v>87</v>
      </c>
      <c r="AU99" s="27"/>
      <c r="AW99" s="25" t="s">
        <v>473</v>
      </c>
      <c r="AX99" s="27" t="s">
        <v>95</v>
      </c>
      <c r="AY99" s="27"/>
      <c r="AZ99" s="32"/>
      <c r="BA99" s="41">
        <v>0</v>
      </c>
    </row>
    <row r="100" spans="1:53" x14ac:dyDescent="0.2">
      <c r="A100" s="25">
        <v>84</v>
      </c>
      <c r="B100" s="26">
        <v>45503</v>
      </c>
      <c r="C100" s="27" t="s">
        <v>227</v>
      </c>
      <c r="D100" s="25"/>
      <c r="E100" s="28"/>
      <c r="F100" s="27"/>
      <c r="G100" s="28"/>
      <c r="H100" s="27"/>
      <c r="I100" s="28"/>
      <c r="J100" s="27">
        <v>8</v>
      </c>
      <c r="K100" s="29" t="s">
        <v>35</v>
      </c>
      <c r="L100" s="39" t="s">
        <v>587</v>
      </c>
      <c r="M100" s="31" t="s">
        <v>588</v>
      </c>
      <c r="N100" s="27"/>
      <c r="P100" s="32"/>
      <c r="Q100" s="25"/>
      <c r="R100" s="27"/>
      <c r="S100" s="27"/>
      <c r="T100" s="28"/>
      <c r="U100" s="27"/>
      <c r="V100" s="27"/>
      <c r="W100" s="28"/>
      <c r="X100" s="33"/>
      <c r="Y100" s="32"/>
      <c r="Z100" s="25"/>
      <c r="AA100" s="27"/>
      <c r="AB100" s="28"/>
      <c r="AC100" s="27"/>
      <c r="AD100" s="27"/>
      <c r="AE100" s="33"/>
      <c r="AF100" s="32"/>
      <c r="AG100" s="90"/>
      <c r="AH100" s="91"/>
      <c r="AI100" s="27">
        <v>0.05</v>
      </c>
      <c r="AJ100" s="27">
        <v>0.05</v>
      </c>
      <c r="AK100" s="28">
        <v>0.05</v>
      </c>
      <c r="AL100" s="27"/>
      <c r="AM100" s="27"/>
      <c r="AN100" s="27">
        <v>0.05</v>
      </c>
      <c r="AO100" s="27">
        <v>0.05</v>
      </c>
      <c r="AP100" s="36">
        <v>0.05</v>
      </c>
      <c r="AQ100" s="37"/>
      <c r="AR100" s="32" t="s">
        <v>591</v>
      </c>
      <c r="AS100" s="25" t="s">
        <v>82</v>
      </c>
      <c r="AT100" s="27" t="s">
        <v>87</v>
      </c>
      <c r="AU100" s="27"/>
      <c r="AW100" s="25" t="s">
        <v>473</v>
      </c>
      <c r="AX100" s="27" t="s">
        <v>95</v>
      </c>
      <c r="AY100" s="27"/>
      <c r="AZ100" s="32"/>
      <c r="BA100" s="41">
        <v>10</v>
      </c>
    </row>
    <row r="101" spans="1:53" x14ac:dyDescent="0.2">
      <c r="A101" s="25">
        <v>85</v>
      </c>
      <c r="B101" s="26">
        <v>45504</v>
      </c>
      <c r="C101" s="27" t="s">
        <v>227</v>
      </c>
      <c r="D101" s="25"/>
      <c r="E101" s="28"/>
      <c r="F101" s="27"/>
      <c r="G101" s="28"/>
      <c r="H101" s="27"/>
      <c r="I101" s="28"/>
      <c r="J101" s="27">
        <v>8</v>
      </c>
      <c r="K101" s="29" t="s">
        <v>35</v>
      </c>
      <c r="L101" s="39" t="s">
        <v>595</v>
      </c>
      <c r="M101" s="31"/>
      <c r="N101" s="27"/>
      <c r="P101" s="32"/>
      <c r="Q101" s="25"/>
      <c r="R101" s="27"/>
      <c r="S101" s="27"/>
      <c r="T101" s="28"/>
      <c r="U101" s="27"/>
      <c r="V101" s="27"/>
      <c r="W101" s="28"/>
      <c r="X101" s="33"/>
      <c r="Y101" s="32"/>
      <c r="Z101" s="25"/>
      <c r="AA101" s="27"/>
      <c r="AB101" s="28"/>
      <c r="AC101" s="27"/>
      <c r="AD101" s="27"/>
      <c r="AE101" s="33"/>
      <c r="AF101" s="32"/>
      <c r="AG101" s="90"/>
      <c r="AH101" s="91"/>
      <c r="AI101" s="27"/>
      <c r="AJ101" s="27"/>
      <c r="AK101" s="28"/>
      <c r="AL101" s="27"/>
      <c r="AM101" s="27"/>
      <c r="AN101" s="27">
        <v>0.1</v>
      </c>
      <c r="AO101" s="27">
        <v>0.1</v>
      </c>
      <c r="AP101" s="36">
        <v>0.1</v>
      </c>
      <c r="AQ101" s="37"/>
      <c r="AR101" s="32"/>
      <c r="AS101" s="25" t="s">
        <v>386</v>
      </c>
      <c r="AT101" s="27" t="s">
        <v>87</v>
      </c>
      <c r="AU101" s="27"/>
      <c r="AW101" s="25" t="s">
        <v>473</v>
      </c>
      <c r="AX101" s="27" t="s">
        <v>95</v>
      </c>
      <c r="AY101" s="27"/>
      <c r="AZ101" s="32"/>
      <c r="BA101" s="41">
        <v>1</v>
      </c>
    </row>
    <row r="102" spans="1:53" x14ac:dyDescent="0.2">
      <c r="A102" s="25">
        <v>86</v>
      </c>
      <c r="B102" s="26">
        <v>45505</v>
      </c>
      <c r="C102" s="27" t="s">
        <v>227</v>
      </c>
      <c r="D102" s="25"/>
      <c r="E102" s="28"/>
      <c r="F102" s="27"/>
      <c r="G102" s="28"/>
      <c r="H102" s="27"/>
      <c r="I102" s="28"/>
      <c r="J102" s="27">
        <v>8</v>
      </c>
      <c r="K102" s="29" t="s">
        <v>35</v>
      </c>
      <c r="L102" s="39"/>
      <c r="M102" s="31"/>
      <c r="N102" s="27"/>
      <c r="P102" s="32"/>
      <c r="Q102" s="25"/>
      <c r="R102" s="27"/>
      <c r="S102" s="27"/>
      <c r="T102" s="28"/>
      <c r="U102" s="27"/>
      <c r="V102" s="27"/>
      <c r="W102" s="28"/>
      <c r="X102" s="33"/>
      <c r="Y102" s="32"/>
      <c r="Z102" s="25"/>
      <c r="AA102" s="27"/>
      <c r="AB102" s="28"/>
      <c r="AC102" s="27"/>
      <c r="AD102" s="27"/>
      <c r="AE102" s="33"/>
      <c r="AF102" s="32"/>
      <c r="AG102" s="90"/>
      <c r="AH102" s="91"/>
      <c r="AI102" s="27"/>
      <c r="AJ102" s="27"/>
      <c r="AK102" s="28"/>
      <c r="AL102" s="27"/>
      <c r="AM102" s="27"/>
      <c r="AN102" s="27">
        <v>0.1</v>
      </c>
      <c r="AO102" s="27">
        <v>0.1</v>
      </c>
      <c r="AP102" s="36">
        <v>0.1</v>
      </c>
      <c r="AQ102" s="37"/>
      <c r="AR102" s="32"/>
      <c r="AS102" s="25" t="s">
        <v>386</v>
      </c>
      <c r="AT102" s="27" t="s">
        <v>87</v>
      </c>
      <c r="AU102" s="27"/>
      <c r="AW102" s="25" t="s">
        <v>473</v>
      </c>
      <c r="AX102" s="27" t="s">
        <v>95</v>
      </c>
      <c r="AY102" s="27"/>
      <c r="AZ102" s="32"/>
      <c r="BA102" s="41">
        <v>1</v>
      </c>
    </row>
    <row r="103" spans="1:53" x14ac:dyDescent="0.2">
      <c r="A103" s="25">
        <v>87</v>
      </c>
      <c r="B103" s="26">
        <v>45506</v>
      </c>
      <c r="C103" s="27" t="s">
        <v>200</v>
      </c>
      <c r="D103" s="25"/>
      <c r="E103" s="28"/>
      <c r="F103" s="27"/>
      <c r="G103" s="28"/>
      <c r="H103" s="27"/>
      <c r="I103" s="28"/>
      <c r="J103" s="27">
        <v>8</v>
      </c>
      <c r="K103" s="29" t="s">
        <v>35</v>
      </c>
      <c r="L103" s="39"/>
      <c r="M103" s="31"/>
      <c r="N103" s="27"/>
      <c r="P103" s="32"/>
      <c r="Q103" s="25"/>
      <c r="R103" s="27"/>
      <c r="S103" s="27"/>
      <c r="T103" s="28"/>
      <c r="U103" s="27"/>
      <c r="V103" s="27"/>
      <c r="W103" s="28"/>
      <c r="X103" s="33"/>
      <c r="Y103" s="32"/>
      <c r="Z103" s="25"/>
      <c r="AA103" s="27"/>
      <c r="AB103" s="28"/>
      <c r="AC103" s="27"/>
      <c r="AD103" s="27"/>
      <c r="AE103" s="33"/>
      <c r="AF103" s="32"/>
      <c r="AG103" s="90"/>
      <c r="AH103" s="91"/>
      <c r="AI103" s="27"/>
      <c r="AJ103" s="27"/>
      <c r="AK103" s="28"/>
      <c r="AL103" s="27"/>
      <c r="AM103" s="27"/>
      <c r="AN103" s="27">
        <v>0.1</v>
      </c>
      <c r="AO103" s="27">
        <v>0.1</v>
      </c>
      <c r="AP103" s="36">
        <v>0.1</v>
      </c>
      <c r="AQ103" s="37"/>
      <c r="AR103" s="32"/>
      <c r="AS103" s="25" t="s">
        <v>486</v>
      </c>
      <c r="AT103" s="27" t="s">
        <v>87</v>
      </c>
      <c r="AU103" s="27"/>
      <c r="AW103" s="25" t="s">
        <v>473</v>
      </c>
      <c r="AX103" s="27" t="s">
        <v>95</v>
      </c>
      <c r="AY103" s="27"/>
      <c r="AZ103" s="32"/>
      <c r="BA103" s="41">
        <v>0</v>
      </c>
    </row>
    <row r="104" spans="1:53" x14ac:dyDescent="0.2">
      <c r="A104" s="25">
        <v>88</v>
      </c>
      <c r="B104" s="26">
        <v>45507</v>
      </c>
      <c r="C104" s="27" t="s">
        <v>200</v>
      </c>
      <c r="D104" s="25"/>
      <c r="E104" s="28"/>
      <c r="F104" s="27"/>
      <c r="G104" s="28"/>
      <c r="H104" s="27"/>
      <c r="I104" s="28"/>
      <c r="J104" s="27">
        <v>8</v>
      </c>
      <c r="K104" s="29" t="s">
        <v>35</v>
      </c>
      <c r="L104" s="39" t="s">
        <v>596</v>
      </c>
      <c r="M104" s="31"/>
      <c r="N104" s="27"/>
      <c r="P104" s="32"/>
      <c r="Q104" s="25"/>
      <c r="R104" s="27"/>
      <c r="S104" s="27"/>
      <c r="T104" s="28"/>
      <c r="U104" s="27"/>
      <c r="V104" s="27"/>
      <c r="W104" s="28"/>
      <c r="X104" s="33"/>
      <c r="Y104" s="32"/>
      <c r="Z104" s="25"/>
      <c r="AA104" s="27"/>
      <c r="AB104" s="28"/>
      <c r="AC104" s="27"/>
      <c r="AD104" s="27"/>
      <c r="AE104" s="33"/>
      <c r="AF104" s="32"/>
      <c r="AG104" s="90"/>
      <c r="AH104" s="91"/>
      <c r="AI104" s="27"/>
      <c r="AJ104" s="27"/>
      <c r="AK104" s="28"/>
      <c r="AL104" s="27"/>
      <c r="AM104" s="27"/>
      <c r="AN104" s="27">
        <v>0.1</v>
      </c>
      <c r="AO104" s="27">
        <v>0.1</v>
      </c>
      <c r="AP104" s="36">
        <v>0.1</v>
      </c>
      <c r="AQ104" s="37"/>
      <c r="AR104" s="32"/>
      <c r="AS104" s="25" t="s">
        <v>597</v>
      </c>
      <c r="AT104" s="27" t="s">
        <v>87</v>
      </c>
      <c r="AU104" s="27"/>
      <c r="AV104" t="s">
        <v>598</v>
      </c>
      <c r="AW104" s="25" t="s">
        <v>473</v>
      </c>
      <c r="AX104" s="27" t="s">
        <v>95</v>
      </c>
      <c r="AY104" s="27"/>
      <c r="AZ104" s="32"/>
      <c r="BA104" s="41">
        <v>0</v>
      </c>
    </row>
    <row r="105" spans="1:53" x14ac:dyDescent="0.2">
      <c r="A105" s="25">
        <v>89</v>
      </c>
      <c r="B105" s="26">
        <v>45508</v>
      </c>
      <c r="C105" s="27" t="s">
        <v>232</v>
      </c>
      <c r="D105" s="25"/>
      <c r="E105" s="28"/>
      <c r="F105" s="27"/>
      <c r="G105" s="28"/>
      <c r="H105" s="27"/>
      <c r="I105" s="28"/>
      <c r="J105" s="27">
        <v>8</v>
      </c>
      <c r="K105" s="29" t="s">
        <v>35</v>
      </c>
      <c r="L105" s="39"/>
      <c r="M105" s="31"/>
      <c r="N105" s="27"/>
      <c r="P105" s="32"/>
      <c r="Q105" s="25"/>
      <c r="R105" s="27"/>
      <c r="S105" s="27"/>
      <c r="T105" s="28"/>
      <c r="U105" s="27"/>
      <c r="V105" s="27"/>
      <c r="W105" s="28"/>
      <c r="X105" s="33"/>
      <c r="Y105" s="32"/>
      <c r="Z105" s="25"/>
      <c r="AA105" s="27"/>
      <c r="AB105" s="28"/>
      <c r="AC105" s="27"/>
      <c r="AD105" s="27"/>
      <c r="AE105" s="33"/>
      <c r="AF105" s="32"/>
      <c r="AG105" s="90"/>
      <c r="AH105" s="91"/>
      <c r="AI105" s="27"/>
      <c r="AJ105" s="27"/>
      <c r="AK105" s="28"/>
      <c r="AL105" s="27"/>
      <c r="AM105" s="27"/>
      <c r="AN105" s="27">
        <v>0.1</v>
      </c>
      <c r="AO105" s="27">
        <v>0.1</v>
      </c>
      <c r="AP105" s="36">
        <v>0.1</v>
      </c>
      <c r="AQ105" s="37"/>
      <c r="AR105" s="32"/>
      <c r="AS105" s="25" t="s">
        <v>386</v>
      </c>
      <c r="AT105" s="27" t="s">
        <v>87</v>
      </c>
      <c r="AU105" s="27"/>
      <c r="AW105" s="25" t="s">
        <v>473</v>
      </c>
      <c r="AX105" s="27" t="s">
        <v>95</v>
      </c>
      <c r="AY105" s="27"/>
      <c r="AZ105" s="32"/>
      <c r="BA105" s="41">
        <v>0</v>
      </c>
    </row>
    <row r="106" spans="1:53" x14ac:dyDescent="0.2">
      <c r="A106" s="25">
        <v>90</v>
      </c>
      <c r="B106" s="26">
        <v>45509</v>
      </c>
      <c r="C106" s="27" t="s">
        <v>200</v>
      </c>
      <c r="D106" s="25"/>
      <c r="E106" s="28"/>
      <c r="F106" s="27"/>
      <c r="G106" s="28"/>
      <c r="H106" s="27"/>
      <c r="I106" s="28"/>
      <c r="J106" s="27">
        <v>8</v>
      </c>
      <c r="K106" s="29" t="s">
        <v>35</v>
      </c>
      <c r="L106" s="39"/>
      <c r="M106" s="31"/>
      <c r="N106" s="27"/>
      <c r="P106" s="32"/>
      <c r="Q106" s="25"/>
      <c r="R106" s="27"/>
      <c r="S106" s="27"/>
      <c r="T106" s="28"/>
      <c r="U106" s="27"/>
      <c r="V106" s="27"/>
      <c r="W106" s="28"/>
      <c r="X106" s="33"/>
      <c r="Y106" s="32"/>
      <c r="Z106" s="25"/>
      <c r="AA106" s="27"/>
      <c r="AB106" s="28"/>
      <c r="AC106" s="27"/>
      <c r="AD106" s="27"/>
      <c r="AE106" s="33"/>
      <c r="AF106" s="32"/>
      <c r="AG106" s="90"/>
      <c r="AH106" s="91"/>
      <c r="AI106" s="27"/>
      <c r="AJ106" s="27"/>
      <c r="AK106" s="28"/>
      <c r="AL106" s="27"/>
      <c r="AM106" s="27"/>
      <c r="AN106" s="27">
        <v>0.1</v>
      </c>
      <c r="AO106" s="27">
        <v>0.1</v>
      </c>
      <c r="AP106" s="36">
        <v>0.1</v>
      </c>
      <c r="AQ106" s="37"/>
      <c r="AR106" s="32"/>
      <c r="AS106" s="25" t="s">
        <v>486</v>
      </c>
      <c r="AT106" s="27" t="s">
        <v>87</v>
      </c>
      <c r="AU106" s="27"/>
      <c r="AW106" s="25" t="s">
        <v>473</v>
      </c>
      <c r="AX106" s="27" t="s">
        <v>95</v>
      </c>
      <c r="AY106" s="27"/>
      <c r="AZ106" s="32"/>
      <c r="BA106" s="41">
        <v>0</v>
      </c>
    </row>
    <row r="107" spans="1:53" x14ac:dyDescent="0.2">
      <c r="A107" s="25">
        <v>91</v>
      </c>
      <c r="B107" s="26">
        <v>45510</v>
      </c>
      <c r="C107" s="27" t="s">
        <v>227</v>
      </c>
      <c r="AN107" s="27">
        <v>0.1</v>
      </c>
      <c r="AO107" s="27">
        <v>0.1</v>
      </c>
      <c r="AP107" s="36">
        <v>0.1</v>
      </c>
      <c r="AS107" s="25" t="s">
        <v>386</v>
      </c>
      <c r="AT107" s="27" t="s">
        <v>87</v>
      </c>
      <c r="AU107" s="27"/>
      <c r="AW107" s="25" t="s">
        <v>473</v>
      </c>
      <c r="AX107" s="27" t="s">
        <v>95</v>
      </c>
      <c r="BA107" s="41">
        <v>0</v>
      </c>
    </row>
    <row r="108" spans="1:53" x14ac:dyDescent="0.2">
      <c r="A108" s="25">
        <v>92</v>
      </c>
      <c r="B108" s="26">
        <v>45511</v>
      </c>
      <c r="C108" s="27" t="s">
        <v>232</v>
      </c>
      <c r="AN108" s="27">
        <v>0.1</v>
      </c>
      <c r="AO108" s="27">
        <v>0.1</v>
      </c>
      <c r="AP108" s="36">
        <v>0.1</v>
      </c>
      <c r="AS108" s="25" t="s">
        <v>386</v>
      </c>
      <c r="AT108" s="27" t="s">
        <v>87</v>
      </c>
      <c r="AU108" s="27"/>
      <c r="AW108" s="25" t="s">
        <v>473</v>
      </c>
      <c r="AX108" s="27" t="s">
        <v>95</v>
      </c>
      <c r="BA108" s="41">
        <v>0</v>
      </c>
    </row>
    <row r="109" spans="1:53" x14ac:dyDescent="0.2">
      <c r="A109" s="25">
        <v>93</v>
      </c>
      <c r="B109" s="26">
        <v>45512</v>
      </c>
      <c r="C109" s="27" t="s">
        <v>232</v>
      </c>
      <c r="AN109" s="27">
        <v>0.1</v>
      </c>
      <c r="AO109" s="27">
        <v>0.1</v>
      </c>
      <c r="AP109" s="36">
        <v>0.1</v>
      </c>
      <c r="AS109" s="25" t="s">
        <v>386</v>
      </c>
      <c r="AT109" s="27" t="s">
        <v>87</v>
      </c>
      <c r="AU109" s="27"/>
      <c r="AW109" s="25" t="s">
        <v>473</v>
      </c>
      <c r="AX109" s="27" t="s">
        <v>95</v>
      </c>
      <c r="BA109" s="41">
        <v>0</v>
      </c>
    </row>
    <row r="110" spans="1:53" x14ac:dyDescent="0.2">
      <c r="A110" s="25">
        <v>94</v>
      </c>
      <c r="B110" s="26">
        <v>45513</v>
      </c>
      <c r="C110" s="27" t="s">
        <v>200</v>
      </c>
      <c r="AN110" s="27">
        <v>0.1</v>
      </c>
      <c r="AO110" s="27">
        <v>0.1</v>
      </c>
      <c r="AP110" s="36">
        <v>0.1</v>
      </c>
      <c r="AS110" s="25" t="s">
        <v>386</v>
      </c>
      <c r="AT110" s="27" t="s">
        <v>87</v>
      </c>
      <c r="AU110" s="27"/>
      <c r="AW110" s="25" t="s">
        <v>473</v>
      </c>
      <c r="AX110" s="27" t="s">
        <v>95</v>
      </c>
      <c r="BA110" s="41">
        <v>0</v>
      </c>
    </row>
    <row r="111" spans="1:53" x14ac:dyDescent="0.2">
      <c r="A111" s="25">
        <v>95</v>
      </c>
      <c r="B111" s="26">
        <v>45514</v>
      </c>
      <c r="C111" s="27" t="s">
        <v>227</v>
      </c>
      <c r="AN111" s="27">
        <v>0.1</v>
      </c>
      <c r="AO111" s="27">
        <v>0.1</v>
      </c>
      <c r="AP111" s="36">
        <v>0.1</v>
      </c>
      <c r="AS111" s="25" t="s">
        <v>386</v>
      </c>
      <c r="AT111" s="27" t="s">
        <v>87</v>
      </c>
      <c r="AU111" s="27"/>
      <c r="AW111" s="25" t="s">
        <v>473</v>
      </c>
      <c r="AX111" s="27" t="s">
        <v>95</v>
      </c>
      <c r="BA111" s="41">
        <v>0</v>
      </c>
    </row>
    <row r="112" spans="1:53" x14ac:dyDescent="0.2">
      <c r="A112" s="25">
        <v>96</v>
      </c>
      <c r="B112" s="26">
        <v>45515</v>
      </c>
      <c r="C112" s="27" t="s">
        <v>232</v>
      </c>
      <c r="AN112" s="27">
        <v>0.1</v>
      </c>
      <c r="AO112" s="27">
        <v>0.1</v>
      </c>
      <c r="AP112" s="36">
        <v>0.1</v>
      </c>
      <c r="AR112" t="s">
        <v>604</v>
      </c>
      <c r="AS112" s="25" t="s">
        <v>386</v>
      </c>
      <c r="AT112" s="27" t="s">
        <v>87</v>
      </c>
      <c r="AU112" s="27"/>
      <c r="AW112" s="25" t="s">
        <v>473</v>
      </c>
      <c r="AX112" s="27" t="s">
        <v>95</v>
      </c>
      <c r="BA112">
        <v>0</v>
      </c>
    </row>
    <row r="113" spans="1:53" x14ac:dyDescent="0.2">
      <c r="A113" s="25">
        <v>97</v>
      </c>
      <c r="B113" s="26">
        <v>45516</v>
      </c>
      <c r="C113" s="27"/>
      <c r="L113" t="s">
        <v>608</v>
      </c>
      <c r="M113" t="s">
        <v>607</v>
      </c>
      <c r="AN113" s="27">
        <v>0.1</v>
      </c>
      <c r="AO113" s="27">
        <v>0.1</v>
      </c>
      <c r="AP113" s="36">
        <v>0.1</v>
      </c>
      <c r="AS113" s="25" t="s">
        <v>386</v>
      </c>
      <c r="AT113" s="27" t="s">
        <v>87</v>
      </c>
      <c r="AU113" s="27"/>
      <c r="AW113" s="25" t="s">
        <v>473</v>
      </c>
      <c r="AX113" s="27" t="s">
        <v>95</v>
      </c>
      <c r="BA113" s="27">
        <v>0</v>
      </c>
    </row>
    <row r="114" spans="1:53" x14ac:dyDescent="0.2">
      <c r="A114" s="25">
        <v>98</v>
      </c>
      <c r="B114" s="26">
        <v>45517</v>
      </c>
      <c r="C114" s="27" t="s">
        <v>227</v>
      </c>
      <c r="K114" s="172"/>
      <c r="AN114" s="27">
        <v>0.1</v>
      </c>
      <c r="AO114" s="27">
        <v>0.1</v>
      </c>
      <c r="AP114" s="27">
        <v>0.1</v>
      </c>
      <c r="AR114" t="s">
        <v>604</v>
      </c>
      <c r="AS114" s="25" t="s">
        <v>386</v>
      </c>
      <c r="AT114" s="27" t="s">
        <v>87</v>
      </c>
      <c r="AU114" s="27"/>
      <c r="AW114" s="25" t="s">
        <v>473</v>
      </c>
      <c r="AX114" s="27" t="s">
        <v>95</v>
      </c>
      <c r="BA114">
        <v>0</v>
      </c>
    </row>
    <row r="115" spans="1:53" x14ac:dyDescent="0.2">
      <c r="A115" s="25">
        <v>99</v>
      </c>
      <c r="B115" s="26">
        <v>45518</v>
      </c>
      <c r="C115" s="27" t="s">
        <v>314</v>
      </c>
      <c r="AN115" s="27">
        <v>0.1</v>
      </c>
      <c r="AO115" s="27">
        <v>0.1</v>
      </c>
      <c r="AP115" s="27">
        <v>0.1</v>
      </c>
      <c r="AS115" s="25" t="s">
        <v>486</v>
      </c>
      <c r="AT115" s="27" t="s">
        <v>87</v>
      </c>
      <c r="AU115" s="27"/>
      <c r="AW115" s="25" t="s">
        <v>473</v>
      </c>
      <c r="AX115" s="27" t="s">
        <v>95</v>
      </c>
      <c r="BA115" s="27">
        <v>0</v>
      </c>
    </row>
    <row r="116" spans="1:53" x14ac:dyDescent="0.2">
      <c r="A116" s="25">
        <v>100</v>
      </c>
      <c r="B116" s="26">
        <v>45519</v>
      </c>
      <c r="C116" s="27" t="s">
        <v>227</v>
      </c>
      <c r="AN116" s="27">
        <v>0.1</v>
      </c>
      <c r="AO116" s="27">
        <v>0.1</v>
      </c>
      <c r="AP116" s="27">
        <v>0.1</v>
      </c>
      <c r="AS116" s="25" t="s">
        <v>486</v>
      </c>
      <c r="AT116" s="27" t="s">
        <v>87</v>
      </c>
      <c r="AU116" s="27"/>
      <c r="AW116" s="25" t="s">
        <v>473</v>
      </c>
      <c r="AX116" s="27" t="s">
        <v>95</v>
      </c>
      <c r="BA116">
        <v>0</v>
      </c>
    </row>
    <row r="117" spans="1:53" x14ac:dyDescent="0.2">
      <c r="A117" s="25">
        <v>101</v>
      </c>
      <c r="B117" s="26">
        <v>45520</v>
      </c>
      <c r="C117" s="27" t="s">
        <v>200</v>
      </c>
      <c r="AN117" s="27">
        <v>0.1</v>
      </c>
      <c r="AO117" s="27">
        <v>0.1</v>
      </c>
      <c r="AP117" s="27">
        <v>0.1</v>
      </c>
      <c r="AS117" s="25" t="s">
        <v>611</v>
      </c>
      <c r="AT117" s="27" t="s">
        <v>87</v>
      </c>
      <c r="AU117" s="27"/>
      <c r="AW117" s="25" t="s">
        <v>473</v>
      </c>
      <c r="AX117" s="27" t="s">
        <v>95</v>
      </c>
      <c r="BA117">
        <v>0</v>
      </c>
    </row>
    <row r="118" spans="1:53" x14ac:dyDescent="0.2">
      <c r="A118" s="25">
        <v>102</v>
      </c>
      <c r="B118" s="26">
        <v>45521</v>
      </c>
      <c r="C118" s="27" t="s">
        <v>200</v>
      </c>
      <c r="AN118" s="27">
        <v>0.1</v>
      </c>
      <c r="AO118" s="27">
        <v>0.1</v>
      </c>
      <c r="AP118" s="27">
        <v>0.1</v>
      </c>
      <c r="AS118" s="25" t="s">
        <v>486</v>
      </c>
      <c r="AT118" s="27" t="s">
        <v>87</v>
      </c>
      <c r="AU118" s="27"/>
      <c r="AW118" s="25" t="s">
        <v>473</v>
      </c>
      <c r="AX118" s="27" t="s">
        <v>95</v>
      </c>
      <c r="BA118">
        <v>0</v>
      </c>
    </row>
    <row r="119" spans="1:53" x14ac:dyDescent="0.2">
      <c r="A119" s="25">
        <v>103</v>
      </c>
      <c r="B119" s="26">
        <v>45522</v>
      </c>
      <c r="C119" s="27" t="s">
        <v>232</v>
      </c>
      <c r="AN119" s="27">
        <v>0.1</v>
      </c>
      <c r="AO119" s="27">
        <v>0.1</v>
      </c>
      <c r="AP119" s="27">
        <v>0.1</v>
      </c>
      <c r="AS119" s="25" t="s">
        <v>386</v>
      </c>
      <c r="AT119" s="27" t="s">
        <v>87</v>
      </c>
      <c r="AU119" s="27"/>
      <c r="AW119" s="25" t="s">
        <v>473</v>
      </c>
      <c r="AX119" s="27" t="s">
        <v>95</v>
      </c>
      <c r="BA119">
        <v>0</v>
      </c>
    </row>
    <row r="120" spans="1:53" x14ac:dyDescent="0.2">
      <c r="A120" s="25">
        <v>104</v>
      </c>
      <c r="B120" s="26">
        <v>45523</v>
      </c>
      <c r="C120" s="27" t="s">
        <v>232</v>
      </c>
      <c r="AN120" s="27">
        <v>0.1</v>
      </c>
      <c r="AO120" s="27">
        <v>0.1</v>
      </c>
      <c r="AP120" s="27">
        <v>0.1</v>
      </c>
      <c r="AS120" s="25" t="s">
        <v>486</v>
      </c>
      <c r="AT120" s="27" t="s">
        <v>87</v>
      </c>
      <c r="AU120" s="27"/>
      <c r="AW120" s="25" t="s">
        <v>473</v>
      </c>
      <c r="AX120" s="27" t="s">
        <v>95</v>
      </c>
      <c r="BA120">
        <v>0</v>
      </c>
    </row>
    <row r="121" spans="1:53" x14ac:dyDescent="0.2">
      <c r="A121" s="25">
        <v>105</v>
      </c>
      <c r="B121" s="26">
        <v>45524</v>
      </c>
      <c r="C121" s="27" t="s">
        <v>227</v>
      </c>
      <c r="L121" t="s">
        <v>615</v>
      </c>
      <c r="AN121" s="27">
        <v>0.1</v>
      </c>
      <c r="AO121">
        <v>0.1</v>
      </c>
      <c r="AP121" s="27">
        <v>0.1</v>
      </c>
      <c r="AS121" s="25" t="s">
        <v>386</v>
      </c>
      <c r="AT121" s="27" t="s">
        <v>87</v>
      </c>
      <c r="AU121" s="27"/>
      <c r="AW121" s="25" t="s">
        <v>473</v>
      </c>
      <c r="AX121" s="27" t="s">
        <v>95</v>
      </c>
      <c r="BA121">
        <v>0</v>
      </c>
    </row>
    <row r="122" spans="1:53" x14ac:dyDescent="0.2">
      <c r="A122" s="25">
        <v>106</v>
      </c>
      <c r="B122" s="26">
        <v>45525</v>
      </c>
    </row>
    <row r="123" spans="1:53" x14ac:dyDescent="0.2">
      <c r="A123" s="25">
        <v>107</v>
      </c>
      <c r="B123" s="26">
        <v>45526</v>
      </c>
      <c r="C123" s="27"/>
    </row>
    <row r="124" spans="1:53" x14ac:dyDescent="0.2">
      <c r="A124" s="25">
        <v>108</v>
      </c>
      <c r="B124" s="26">
        <v>45527</v>
      </c>
      <c r="C124" s="27"/>
    </row>
    <row r="125" spans="1:53" x14ac:dyDescent="0.2">
      <c r="A125" s="25">
        <v>109</v>
      </c>
      <c r="B125" s="26">
        <v>45528</v>
      </c>
      <c r="C125" s="27"/>
    </row>
    <row r="126" spans="1:53" x14ac:dyDescent="0.2">
      <c r="A126" s="25">
        <v>110</v>
      </c>
      <c r="B126" s="26">
        <v>45529</v>
      </c>
      <c r="C126" s="27"/>
    </row>
    <row r="127" spans="1:53" x14ac:dyDescent="0.2">
      <c r="A127" s="25">
        <v>111</v>
      </c>
      <c r="B127" s="26"/>
      <c r="C127" s="27"/>
    </row>
    <row r="128" spans="1:53" s="173" customFormat="1" x14ac:dyDescent="0.2">
      <c r="A128" s="173">
        <v>112</v>
      </c>
      <c r="B128" s="26"/>
    </row>
    <row r="129" spans="1:3" x14ac:dyDescent="0.2">
      <c r="A129" s="25">
        <v>113</v>
      </c>
      <c r="B129" s="26"/>
      <c r="C129" s="27"/>
    </row>
    <row r="130" spans="1:3" x14ac:dyDescent="0.2">
      <c r="A130" s="25">
        <v>114</v>
      </c>
      <c r="B130" s="26"/>
      <c r="C130" s="27"/>
    </row>
    <row r="131" spans="1:3" x14ac:dyDescent="0.2">
      <c r="A131" s="25">
        <v>115</v>
      </c>
      <c r="B131" s="26"/>
      <c r="C131" s="27"/>
    </row>
  </sheetData>
  <mergeCells count="52">
    <mergeCell ref="X20:X27"/>
    <mergeCell ref="AV13:AV15"/>
    <mergeCell ref="AW13:AW15"/>
    <mergeCell ref="AG13:AG14"/>
    <mergeCell ref="X13:X15"/>
    <mergeCell ref="O36:O56"/>
    <mergeCell ref="AR13:AR15"/>
    <mergeCell ref="AS13:AS15"/>
    <mergeCell ref="AT13:AT15"/>
    <mergeCell ref="AU13:AU15"/>
    <mergeCell ref="AH13:AH15"/>
    <mergeCell ref="AI13:AK14"/>
    <mergeCell ref="AL13:AL15"/>
    <mergeCell ref="AM13:AM14"/>
    <mergeCell ref="AN13:AP14"/>
    <mergeCell ref="AQ13:AQ15"/>
    <mergeCell ref="Y13:Y15"/>
    <mergeCell ref="Z13:AB14"/>
    <mergeCell ref="AC13:AD14"/>
    <mergeCell ref="AE13:AE15"/>
    <mergeCell ref="AF13:AF15"/>
    <mergeCell ref="H13:I14"/>
    <mergeCell ref="J13:J15"/>
    <mergeCell ref="K13:K15"/>
    <mergeCell ref="L13:L15"/>
    <mergeCell ref="M13:M15"/>
    <mergeCell ref="N13:N15"/>
    <mergeCell ref="AS10:AV12"/>
    <mergeCell ref="AW10:AZ12"/>
    <mergeCell ref="BA10:BA12"/>
    <mergeCell ref="AG12:AK12"/>
    <mergeCell ref="AM12:AP12"/>
    <mergeCell ref="AG10:AP11"/>
    <mergeCell ref="O13:O15"/>
    <mergeCell ref="P13:P15"/>
    <mergeCell ref="Q13:Q15"/>
    <mergeCell ref="R13:T14"/>
    <mergeCell ref="U13:W14"/>
    <mergeCell ref="AX13:AX15"/>
    <mergeCell ref="AY13:AY15"/>
    <mergeCell ref="AZ13:AZ15"/>
    <mergeCell ref="BA13:BA15"/>
    <mergeCell ref="A13:A15"/>
    <mergeCell ref="B13:B15"/>
    <mergeCell ref="C13:C15"/>
    <mergeCell ref="D13:E14"/>
    <mergeCell ref="F13:G14"/>
    <mergeCell ref="A10:C12"/>
    <mergeCell ref="D10:M12"/>
    <mergeCell ref="N10:P12"/>
    <mergeCell ref="Q10:Y12"/>
    <mergeCell ref="Z10:AF1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ABC1F-0AFC-4F74-8861-31D3599BB66E}">
  <dimension ref="A1:BB131"/>
  <sheetViews>
    <sheetView zoomScale="85" zoomScaleNormal="85" workbookViewId="0">
      <pane xSplit="1" topLeftCell="B1" activePane="topRight" state="frozen"/>
      <selection pane="topRight" activeCell="B4" sqref="B4"/>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0.33203125"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22.33203125"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13.83203125" customWidth="1"/>
    <col min="50" max="50" width="26.5" bestFit="1" customWidth="1"/>
    <col min="51" max="51" width="24.1640625" bestFit="1" customWidth="1"/>
    <col min="52" max="52" width="41.1640625" bestFit="1" customWidth="1"/>
    <col min="53" max="53" width="18.83203125" bestFit="1" customWidth="1"/>
  </cols>
  <sheetData>
    <row r="1" spans="1:53" x14ac:dyDescent="0.2">
      <c r="A1" s="94" t="s">
        <v>99</v>
      </c>
      <c r="B1" t="s">
        <v>415</v>
      </c>
    </row>
    <row r="2" spans="1:53" x14ac:dyDescent="0.2">
      <c r="A2" s="94" t="s">
        <v>100</v>
      </c>
    </row>
    <row r="3" spans="1:53" x14ac:dyDescent="0.2">
      <c r="A3" s="94" t="s">
        <v>101</v>
      </c>
      <c r="B3">
        <v>16900</v>
      </c>
      <c r="C3" t="s">
        <v>448</v>
      </c>
    </row>
    <row r="4" spans="1:53" x14ac:dyDescent="0.2">
      <c r="A4" s="94" t="s">
        <v>102</v>
      </c>
    </row>
    <row r="5" spans="1:53" x14ac:dyDescent="0.2">
      <c r="A5" s="94" t="s">
        <v>103</v>
      </c>
      <c r="B5">
        <f>B4/B3*100</f>
        <v>0</v>
      </c>
    </row>
    <row r="6" spans="1:53" x14ac:dyDescent="0.2">
      <c r="A6" s="94" t="s">
        <v>104</v>
      </c>
      <c r="B6" t="s">
        <v>418</v>
      </c>
    </row>
    <row r="7" spans="1:53" x14ac:dyDescent="0.2">
      <c r="A7" s="94" t="s">
        <v>106</v>
      </c>
    </row>
    <row r="8" spans="1:53" x14ac:dyDescent="0.2">
      <c r="A8" s="94" t="s">
        <v>416</v>
      </c>
      <c r="B8">
        <v>7</v>
      </c>
    </row>
    <row r="9" spans="1:53" ht="16" thickBot="1" x14ac:dyDescent="0.25">
      <c r="A9" s="94" t="s">
        <v>417</v>
      </c>
      <c r="B9">
        <v>1000</v>
      </c>
    </row>
    <row r="10" spans="1:53" ht="23" x14ac:dyDescent="0.2">
      <c r="A10" s="209" t="s">
        <v>0</v>
      </c>
      <c r="B10" s="210"/>
      <c r="C10" s="210"/>
      <c r="D10" s="215" t="s">
        <v>1</v>
      </c>
      <c r="E10" s="215"/>
      <c r="F10" s="215"/>
      <c r="G10" s="215"/>
      <c r="H10" s="215"/>
      <c r="I10" s="215"/>
      <c r="J10" s="215"/>
      <c r="K10" s="215"/>
      <c r="L10" s="215"/>
      <c r="M10" s="215"/>
      <c r="N10" s="218" t="s">
        <v>2</v>
      </c>
      <c r="O10" s="218"/>
      <c r="P10" s="219"/>
      <c r="Q10" s="224" t="s">
        <v>3</v>
      </c>
      <c r="R10" s="225"/>
      <c r="S10" s="225"/>
      <c r="T10" s="225"/>
      <c r="U10" s="225"/>
      <c r="V10" s="225"/>
      <c r="W10" s="225"/>
      <c r="X10" s="225"/>
      <c r="Y10" s="226"/>
      <c r="Z10" s="230" t="s">
        <v>4</v>
      </c>
      <c r="AA10" s="231"/>
      <c r="AB10" s="231"/>
      <c r="AC10" s="231"/>
      <c r="AD10" s="231"/>
      <c r="AE10" s="231"/>
      <c r="AF10" s="232"/>
      <c r="AG10" s="271" t="s">
        <v>5</v>
      </c>
      <c r="AH10" s="271"/>
      <c r="AI10" s="271"/>
      <c r="AJ10" s="271"/>
      <c r="AK10" s="271"/>
      <c r="AL10" s="271"/>
      <c r="AM10" s="271"/>
      <c r="AN10" s="271"/>
      <c r="AO10" s="271"/>
      <c r="AP10" s="271"/>
      <c r="AQ10" s="1"/>
      <c r="AR10" s="2"/>
      <c r="AS10" s="251" t="s">
        <v>6</v>
      </c>
      <c r="AT10" s="252"/>
      <c r="AU10" s="252"/>
      <c r="AV10" s="252"/>
      <c r="AW10" s="257" t="s">
        <v>7</v>
      </c>
      <c r="AX10" s="258"/>
      <c r="AY10" s="258"/>
      <c r="AZ10" s="259"/>
      <c r="BA10" s="266" t="s">
        <v>8</v>
      </c>
    </row>
    <row r="11" spans="1:53" ht="23" x14ac:dyDescent="0.2">
      <c r="A11" s="211"/>
      <c r="B11" s="212"/>
      <c r="C11" s="212"/>
      <c r="D11" s="216"/>
      <c r="E11" s="216"/>
      <c r="F11" s="216"/>
      <c r="G11" s="216"/>
      <c r="H11" s="216"/>
      <c r="I11" s="216"/>
      <c r="J11" s="216"/>
      <c r="K11" s="216"/>
      <c r="L11" s="216"/>
      <c r="M11" s="216"/>
      <c r="N11" s="220"/>
      <c r="O11" s="220"/>
      <c r="P11" s="221"/>
      <c r="Q11" s="227"/>
      <c r="R11" s="228"/>
      <c r="S11" s="228"/>
      <c r="T11" s="228"/>
      <c r="U11" s="228"/>
      <c r="V11" s="228"/>
      <c r="W11" s="228"/>
      <c r="X11" s="228"/>
      <c r="Y11" s="229"/>
      <c r="Z11" s="233"/>
      <c r="AA11" s="234"/>
      <c r="AB11" s="234"/>
      <c r="AC11" s="234"/>
      <c r="AD11" s="234"/>
      <c r="AE11" s="234"/>
      <c r="AF11" s="235"/>
      <c r="AG11" s="272"/>
      <c r="AH11" s="272"/>
      <c r="AI11" s="272"/>
      <c r="AJ11" s="272"/>
      <c r="AK11" s="272"/>
      <c r="AL11" s="272"/>
      <c r="AM11" s="272"/>
      <c r="AN11" s="272"/>
      <c r="AO11" s="272"/>
      <c r="AP11" s="272"/>
      <c r="AQ11" s="3"/>
      <c r="AR11" s="4"/>
      <c r="AS11" s="253"/>
      <c r="AT11" s="254"/>
      <c r="AU11" s="254"/>
      <c r="AV11" s="254"/>
      <c r="AW11" s="260"/>
      <c r="AX11" s="261"/>
      <c r="AY11" s="261"/>
      <c r="AZ11" s="262"/>
      <c r="BA11" s="267"/>
    </row>
    <row r="12" spans="1:53" ht="21" thickBot="1" x14ac:dyDescent="0.25">
      <c r="A12" s="213"/>
      <c r="B12" s="214"/>
      <c r="C12" s="214"/>
      <c r="D12" s="217"/>
      <c r="E12" s="217"/>
      <c r="F12" s="217"/>
      <c r="G12" s="217"/>
      <c r="H12" s="217"/>
      <c r="I12" s="217"/>
      <c r="J12" s="217"/>
      <c r="K12" s="217"/>
      <c r="L12" s="217"/>
      <c r="M12" s="217"/>
      <c r="N12" s="222"/>
      <c r="O12" s="222"/>
      <c r="P12" s="223"/>
      <c r="Q12" s="227"/>
      <c r="R12" s="228"/>
      <c r="S12" s="228"/>
      <c r="T12" s="228"/>
      <c r="U12" s="228"/>
      <c r="V12" s="228"/>
      <c r="W12" s="228"/>
      <c r="X12" s="228"/>
      <c r="Y12" s="229"/>
      <c r="Z12" s="233"/>
      <c r="AA12" s="234"/>
      <c r="AB12" s="234"/>
      <c r="AC12" s="234"/>
      <c r="AD12" s="234"/>
      <c r="AE12" s="234"/>
      <c r="AF12" s="235"/>
      <c r="AG12" s="269" t="s">
        <v>9</v>
      </c>
      <c r="AH12" s="269"/>
      <c r="AI12" s="269"/>
      <c r="AJ12" s="269"/>
      <c r="AK12" s="270"/>
      <c r="AL12" s="5"/>
      <c r="AM12" s="269" t="s">
        <v>10</v>
      </c>
      <c r="AN12" s="269"/>
      <c r="AO12" s="269"/>
      <c r="AP12" s="270"/>
      <c r="AQ12" s="6"/>
      <c r="AR12" s="7"/>
      <c r="AS12" s="255"/>
      <c r="AT12" s="256"/>
      <c r="AU12" s="256"/>
      <c r="AV12" s="256"/>
      <c r="AW12" s="263"/>
      <c r="AX12" s="264"/>
      <c r="AY12" s="264"/>
      <c r="AZ12" s="265"/>
      <c r="BA12" s="268"/>
    </row>
    <row r="13" spans="1:53" x14ac:dyDescent="0.2">
      <c r="A13" s="236" t="s">
        <v>11</v>
      </c>
      <c r="B13" s="239" t="s">
        <v>12</v>
      </c>
      <c r="C13" s="239" t="s">
        <v>13</v>
      </c>
      <c r="D13" s="242" t="s">
        <v>14</v>
      </c>
      <c r="E13" s="243"/>
      <c r="F13" s="246" t="s">
        <v>15</v>
      </c>
      <c r="G13" s="243"/>
      <c r="H13" s="292" t="s">
        <v>16</v>
      </c>
      <c r="I13" s="293"/>
      <c r="J13" s="296" t="s">
        <v>17</v>
      </c>
      <c r="K13" s="299" t="s">
        <v>18</v>
      </c>
      <c r="L13" s="292" t="s">
        <v>19</v>
      </c>
      <c r="M13" s="303" t="s">
        <v>20</v>
      </c>
      <c r="N13" s="248" t="s">
        <v>21</v>
      </c>
      <c r="O13" s="248" t="s">
        <v>19</v>
      </c>
      <c r="P13" s="248" t="s">
        <v>20</v>
      </c>
      <c r="Q13" s="273" t="s">
        <v>22</v>
      </c>
      <c r="R13" s="276" t="s">
        <v>23</v>
      </c>
      <c r="S13" s="276"/>
      <c r="T13" s="277"/>
      <c r="U13" s="280" t="s">
        <v>24</v>
      </c>
      <c r="V13" s="280"/>
      <c r="W13" s="281"/>
      <c r="X13" s="353" t="s">
        <v>19</v>
      </c>
      <c r="Y13" s="330" t="s">
        <v>20</v>
      </c>
      <c r="Z13" s="333" t="s">
        <v>23</v>
      </c>
      <c r="AA13" s="334"/>
      <c r="AB13" s="335"/>
      <c r="AC13" s="339" t="s">
        <v>24</v>
      </c>
      <c r="AD13" s="339"/>
      <c r="AE13" s="339" t="s">
        <v>19</v>
      </c>
      <c r="AF13" s="342" t="s">
        <v>20</v>
      </c>
      <c r="AG13" s="351" t="s">
        <v>25</v>
      </c>
      <c r="AH13" s="318" t="s">
        <v>26</v>
      </c>
      <c r="AI13" s="321" t="s">
        <v>24</v>
      </c>
      <c r="AJ13" s="321"/>
      <c r="AK13" s="321"/>
      <c r="AL13" s="323" t="s">
        <v>27</v>
      </c>
      <c r="AM13" s="325" t="s">
        <v>25</v>
      </c>
      <c r="AN13" s="321" t="s">
        <v>24</v>
      </c>
      <c r="AO13" s="321"/>
      <c r="AP13" s="309"/>
      <c r="AQ13" s="327" t="s">
        <v>19</v>
      </c>
      <c r="AR13" s="309" t="s">
        <v>20</v>
      </c>
      <c r="AS13" s="312" t="s">
        <v>28</v>
      </c>
      <c r="AT13" s="315" t="s">
        <v>29</v>
      </c>
      <c r="AU13" s="315" t="s">
        <v>19</v>
      </c>
      <c r="AV13" s="315" t="s">
        <v>20</v>
      </c>
      <c r="AW13" s="348" t="s">
        <v>30</v>
      </c>
      <c r="AX13" s="284" t="s">
        <v>29</v>
      </c>
      <c r="AY13" s="284" t="s">
        <v>19</v>
      </c>
      <c r="AZ13" s="287" t="s">
        <v>20</v>
      </c>
      <c r="BA13" s="290" t="s">
        <v>31</v>
      </c>
    </row>
    <row r="14" spans="1:53" x14ac:dyDescent="0.2">
      <c r="A14" s="237"/>
      <c r="B14" s="240"/>
      <c r="C14" s="240"/>
      <c r="D14" s="244"/>
      <c r="E14" s="245"/>
      <c r="F14" s="247"/>
      <c r="G14" s="245"/>
      <c r="H14" s="294"/>
      <c r="I14" s="295"/>
      <c r="J14" s="297"/>
      <c r="K14" s="300"/>
      <c r="L14" s="294"/>
      <c r="M14" s="304"/>
      <c r="N14" s="249"/>
      <c r="O14" s="249"/>
      <c r="P14" s="249"/>
      <c r="Q14" s="274"/>
      <c r="R14" s="278"/>
      <c r="S14" s="278"/>
      <c r="T14" s="279"/>
      <c r="U14" s="282"/>
      <c r="V14" s="282"/>
      <c r="W14" s="283"/>
      <c r="X14" s="354"/>
      <c r="Y14" s="331"/>
      <c r="Z14" s="336"/>
      <c r="AA14" s="337"/>
      <c r="AB14" s="338"/>
      <c r="AC14" s="340"/>
      <c r="AD14" s="340"/>
      <c r="AE14" s="340"/>
      <c r="AF14" s="343"/>
      <c r="AG14" s="352"/>
      <c r="AH14" s="319"/>
      <c r="AI14" s="322"/>
      <c r="AJ14" s="322"/>
      <c r="AK14" s="322"/>
      <c r="AL14" s="324"/>
      <c r="AM14" s="326"/>
      <c r="AN14" s="322"/>
      <c r="AO14" s="322"/>
      <c r="AP14" s="310"/>
      <c r="AQ14" s="328"/>
      <c r="AR14" s="310"/>
      <c r="AS14" s="313"/>
      <c r="AT14" s="316"/>
      <c r="AU14" s="316"/>
      <c r="AV14" s="316"/>
      <c r="AW14" s="349"/>
      <c r="AX14" s="285"/>
      <c r="AY14" s="285"/>
      <c r="AZ14" s="288"/>
      <c r="BA14" s="290"/>
    </row>
    <row r="15" spans="1:53" ht="57" thickBot="1" x14ac:dyDescent="0.25">
      <c r="A15" s="238"/>
      <c r="B15" s="241"/>
      <c r="C15" s="241"/>
      <c r="D15" s="8" t="s">
        <v>32</v>
      </c>
      <c r="E15" s="9" t="s">
        <v>33</v>
      </c>
      <c r="F15" s="10" t="s">
        <v>32</v>
      </c>
      <c r="G15" s="9" t="s">
        <v>33</v>
      </c>
      <c r="H15" s="11" t="s">
        <v>32</v>
      </c>
      <c r="I15" s="12" t="s">
        <v>33</v>
      </c>
      <c r="J15" s="298"/>
      <c r="K15" s="301"/>
      <c r="L15" s="302"/>
      <c r="M15" s="305"/>
      <c r="N15" s="250"/>
      <c r="O15" s="250"/>
      <c r="P15" s="250"/>
      <c r="Q15" s="275"/>
      <c r="R15" s="13" t="s">
        <v>32</v>
      </c>
      <c r="S15" s="13" t="s">
        <v>34</v>
      </c>
      <c r="T15" s="14" t="s">
        <v>33</v>
      </c>
      <c r="U15" s="15" t="s">
        <v>32</v>
      </c>
      <c r="V15" s="15" t="s">
        <v>34</v>
      </c>
      <c r="W15" s="16" t="s">
        <v>33</v>
      </c>
      <c r="X15" s="355"/>
      <c r="Y15" s="332"/>
      <c r="Z15" s="17" t="s">
        <v>32</v>
      </c>
      <c r="AA15" s="18" t="s">
        <v>34</v>
      </c>
      <c r="AB15" s="19" t="s">
        <v>33</v>
      </c>
      <c r="AC15" s="20" t="s">
        <v>32</v>
      </c>
      <c r="AD15" s="20" t="s">
        <v>34</v>
      </c>
      <c r="AE15" s="341"/>
      <c r="AF15" s="344"/>
      <c r="AG15" s="21" t="s">
        <v>34</v>
      </c>
      <c r="AH15" s="320"/>
      <c r="AI15" s="22" t="s">
        <v>32</v>
      </c>
      <c r="AJ15" s="22" t="s">
        <v>34</v>
      </c>
      <c r="AK15" s="22" t="s">
        <v>33</v>
      </c>
      <c r="AL15" s="324"/>
      <c r="AM15" s="23" t="s">
        <v>33</v>
      </c>
      <c r="AN15" s="22" t="s">
        <v>32</v>
      </c>
      <c r="AO15" s="22" t="s">
        <v>34</v>
      </c>
      <c r="AP15" s="24" t="s">
        <v>33</v>
      </c>
      <c r="AQ15" s="329"/>
      <c r="AR15" s="311"/>
      <c r="AS15" s="314"/>
      <c r="AT15" s="317"/>
      <c r="AU15" s="317"/>
      <c r="AV15" s="317"/>
      <c r="AW15" s="350"/>
      <c r="AX15" s="286"/>
      <c r="AY15" s="286"/>
      <c r="AZ15" s="289"/>
      <c r="BA15" s="291"/>
    </row>
    <row r="16" spans="1:53" ht="16" thickBot="1" x14ac:dyDescent="0.25">
      <c r="A16" s="25">
        <v>0</v>
      </c>
      <c r="B16" s="26">
        <v>45432</v>
      </c>
      <c r="C16" s="27" t="s">
        <v>200</v>
      </c>
      <c r="D16" s="25"/>
      <c r="E16" s="28"/>
      <c r="F16" s="27"/>
      <c r="G16" s="28"/>
      <c r="H16" s="27"/>
      <c r="I16" s="28"/>
      <c r="J16" s="27">
        <v>4</v>
      </c>
      <c r="K16" s="29" t="s">
        <v>35</v>
      </c>
      <c r="L16" s="30" t="s">
        <v>160</v>
      </c>
      <c r="M16" s="31" t="s">
        <v>447</v>
      </c>
      <c r="N16" s="27"/>
      <c r="P16" s="32"/>
      <c r="Q16" s="25"/>
      <c r="R16" s="27"/>
      <c r="S16" s="27"/>
      <c r="T16" s="28"/>
      <c r="U16" s="27"/>
      <c r="V16" s="27"/>
      <c r="W16" s="28"/>
      <c r="X16" s="33"/>
      <c r="Y16" s="32"/>
      <c r="Z16" s="25"/>
      <c r="AA16" s="27"/>
      <c r="AB16" s="28"/>
      <c r="AC16" s="27"/>
      <c r="AD16" s="27"/>
      <c r="AE16" s="33"/>
      <c r="AG16" s="25"/>
      <c r="AH16" s="34"/>
      <c r="AI16" s="27"/>
      <c r="AJ16" s="27"/>
      <c r="AK16" s="27"/>
      <c r="AL16" s="25"/>
      <c r="AM16" s="35"/>
      <c r="AN16" s="27"/>
      <c r="AO16" s="27"/>
      <c r="AP16" s="36"/>
      <c r="AQ16" s="37"/>
      <c r="AR16" s="32"/>
      <c r="AS16" s="25"/>
      <c r="AT16" s="27"/>
      <c r="AU16" s="27"/>
      <c r="AW16" s="25"/>
      <c r="AX16" s="27"/>
      <c r="AY16" s="27"/>
      <c r="AZ16" s="32"/>
      <c r="BA16" s="38"/>
    </row>
    <row r="17" spans="1:53" ht="16" thickBot="1" x14ac:dyDescent="0.25">
      <c r="A17" s="25">
        <v>1</v>
      </c>
      <c r="B17" s="26">
        <v>45433</v>
      </c>
      <c r="C17" s="27" t="s">
        <v>232</v>
      </c>
      <c r="D17" s="25"/>
      <c r="E17" s="28"/>
      <c r="F17" s="27"/>
      <c r="G17" s="28"/>
      <c r="H17" s="27"/>
      <c r="I17" s="28"/>
      <c r="J17" s="27">
        <v>4</v>
      </c>
      <c r="K17" s="29" t="s">
        <v>35</v>
      </c>
      <c r="L17" s="39"/>
      <c r="M17" s="31" t="s">
        <v>451</v>
      </c>
      <c r="N17" s="27"/>
      <c r="P17" s="32"/>
      <c r="Q17" s="40"/>
      <c r="R17" s="27"/>
      <c r="S17" s="27"/>
      <c r="T17" s="28"/>
      <c r="U17" s="27"/>
      <c r="V17" s="27"/>
      <c r="W17" s="28"/>
      <c r="X17" s="33"/>
      <c r="Y17" s="32"/>
      <c r="Z17" s="25"/>
      <c r="AA17" s="27"/>
      <c r="AB17" s="28"/>
      <c r="AC17" s="27"/>
      <c r="AD17" s="27"/>
      <c r="AE17" s="33"/>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2</v>
      </c>
      <c r="B18" s="26">
        <v>45434</v>
      </c>
      <c r="C18" s="27" t="s">
        <v>232</v>
      </c>
      <c r="D18" s="25"/>
      <c r="E18" s="28"/>
      <c r="F18" s="27"/>
      <c r="G18" s="28"/>
      <c r="H18" s="27"/>
      <c r="I18" s="28"/>
      <c r="J18" s="27">
        <v>4</v>
      </c>
      <c r="K18" s="29" t="s">
        <v>35</v>
      </c>
      <c r="L18" s="39"/>
      <c r="M18" s="31" t="s">
        <v>452</v>
      </c>
      <c r="N18" s="27"/>
      <c r="O18" s="42"/>
      <c r="Q18" s="43" t="s">
        <v>37</v>
      </c>
      <c r="R18" s="27"/>
      <c r="S18" s="27"/>
      <c r="T18" s="28"/>
      <c r="U18" s="27"/>
      <c r="V18" s="27"/>
      <c r="W18" s="28"/>
      <c r="X18" s="33"/>
      <c r="Y18" s="32"/>
      <c r="Z18" s="25"/>
      <c r="AA18" s="27"/>
      <c r="AB18" s="28"/>
      <c r="AC18" s="27"/>
      <c r="AD18" s="27"/>
      <c r="AE18" s="33"/>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3</v>
      </c>
      <c r="B19" s="26">
        <v>45435</v>
      </c>
      <c r="C19" s="27" t="s">
        <v>232</v>
      </c>
      <c r="D19" s="25"/>
      <c r="E19" s="28"/>
      <c r="F19" s="27"/>
      <c r="G19" s="28"/>
      <c r="H19" s="27"/>
      <c r="I19" s="28"/>
      <c r="J19" s="27">
        <v>6</v>
      </c>
      <c r="K19" s="29" t="s">
        <v>35</v>
      </c>
      <c r="L19" s="44" t="s">
        <v>287</v>
      </c>
      <c r="M19" s="31" t="s">
        <v>456</v>
      </c>
      <c r="N19" s="27" t="s">
        <v>240</v>
      </c>
      <c r="O19" s="45" t="s">
        <v>41</v>
      </c>
      <c r="P19" s="46"/>
      <c r="Q19" s="25"/>
      <c r="R19" s="27"/>
      <c r="S19" s="27"/>
      <c r="T19" s="28"/>
      <c r="U19" s="27">
        <v>5</v>
      </c>
      <c r="V19" s="27"/>
      <c r="W19" s="28">
        <v>5</v>
      </c>
      <c r="X19" s="47" t="s">
        <v>43</v>
      </c>
      <c r="Y19" s="32"/>
      <c r="Z19" s="25"/>
      <c r="AA19" s="27"/>
      <c r="AB19" s="28"/>
      <c r="AC19" s="27">
        <v>3</v>
      </c>
      <c r="AD19" s="27">
        <v>2</v>
      </c>
      <c r="AE19" s="48" t="s">
        <v>342</v>
      </c>
      <c r="AG19" s="25"/>
      <c r="AH19" s="34"/>
      <c r="AI19" s="27"/>
      <c r="AJ19" s="27"/>
      <c r="AK19" s="27"/>
      <c r="AL19" s="25"/>
      <c r="AM19" s="34"/>
      <c r="AN19" s="27"/>
      <c r="AO19" s="27"/>
      <c r="AP19" s="36"/>
      <c r="AQ19" s="37"/>
      <c r="AR19" s="32"/>
      <c r="AS19" s="25"/>
      <c r="AT19" s="27"/>
      <c r="AU19" s="27"/>
      <c r="AW19" s="25"/>
      <c r="AX19" s="27"/>
      <c r="AY19" s="27"/>
      <c r="AZ19" s="32"/>
      <c r="BA19" s="41"/>
    </row>
    <row r="20" spans="1:53" x14ac:dyDescent="0.2">
      <c r="A20" s="25">
        <v>4</v>
      </c>
      <c r="B20" s="26">
        <v>45436</v>
      </c>
      <c r="C20" s="27" t="s">
        <v>200</v>
      </c>
      <c r="D20" s="25"/>
      <c r="E20" s="28"/>
      <c r="F20" s="27"/>
      <c r="G20" s="28"/>
      <c r="H20" s="27"/>
      <c r="I20" s="28"/>
      <c r="J20" s="27">
        <v>6</v>
      </c>
      <c r="K20" s="29" t="s">
        <v>35</v>
      </c>
      <c r="L20" s="39"/>
      <c r="M20" s="31"/>
      <c r="N20" s="27" t="s">
        <v>240</v>
      </c>
      <c r="O20" t="s">
        <v>46</v>
      </c>
      <c r="P20" s="32"/>
      <c r="Q20" s="25"/>
      <c r="R20" s="27"/>
      <c r="S20" s="27"/>
      <c r="T20" s="28"/>
      <c r="U20" s="27">
        <v>5</v>
      </c>
      <c r="V20" s="27"/>
      <c r="W20" s="28">
        <v>5</v>
      </c>
      <c r="X20" s="345" t="s">
        <v>47</v>
      </c>
      <c r="Y20" s="32"/>
      <c r="Z20" s="25"/>
      <c r="AA20" s="27"/>
      <c r="AB20" s="28"/>
      <c r="AC20" s="27">
        <v>3</v>
      </c>
      <c r="AD20" s="27">
        <v>2</v>
      </c>
      <c r="AE20" s="33"/>
      <c r="AG20" s="25"/>
      <c r="AH20" s="34"/>
      <c r="AI20" s="27"/>
      <c r="AJ20" s="27"/>
      <c r="AK20" s="27"/>
      <c r="AL20" s="25"/>
      <c r="AM20" s="34"/>
      <c r="AN20" s="27"/>
      <c r="AO20" s="27"/>
      <c r="AP20" s="36"/>
      <c r="AQ20" s="37"/>
      <c r="AR20" s="32"/>
      <c r="AS20" s="25"/>
      <c r="AT20" s="27"/>
      <c r="AU20" s="27"/>
      <c r="AW20" s="25"/>
      <c r="AX20" s="27"/>
      <c r="AY20" s="27"/>
      <c r="AZ20" s="32"/>
      <c r="BA20" s="41"/>
    </row>
    <row r="21" spans="1:53" x14ac:dyDescent="0.2">
      <c r="A21" s="25">
        <v>5</v>
      </c>
      <c r="B21" s="26">
        <v>45437</v>
      </c>
      <c r="C21" s="27" t="s">
        <v>200</v>
      </c>
      <c r="D21" s="25"/>
      <c r="E21" s="28"/>
      <c r="F21" s="27"/>
      <c r="G21" s="28"/>
      <c r="H21" s="27"/>
      <c r="I21" s="28"/>
      <c r="J21" s="27">
        <v>6</v>
      </c>
      <c r="K21" s="29" t="s">
        <v>35</v>
      </c>
      <c r="L21" s="39"/>
      <c r="M21" s="31"/>
      <c r="N21" s="27" t="s">
        <v>240</v>
      </c>
      <c r="P21" s="32"/>
      <c r="Q21" s="25"/>
      <c r="R21" s="27"/>
      <c r="S21" s="27"/>
      <c r="T21" s="28"/>
      <c r="U21" s="27">
        <v>5</v>
      </c>
      <c r="V21" s="27"/>
      <c r="W21" s="28">
        <v>5</v>
      </c>
      <c r="X21" s="346"/>
      <c r="Y21" s="32"/>
      <c r="Z21" s="25"/>
      <c r="AA21" s="27"/>
      <c r="AB21" s="28"/>
      <c r="AC21" s="27">
        <v>3</v>
      </c>
      <c r="AD21" s="27">
        <v>2</v>
      </c>
      <c r="AE21" s="33"/>
      <c r="AG21" s="25"/>
      <c r="AH21" s="34"/>
      <c r="AI21" s="27"/>
      <c r="AJ21" s="27"/>
      <c r="AK21" s="27"/>
      <c r="AL21" s="25"/>
      <c r="AM21" s="34"/>
      <c r="AN21" s="27"/>
      <c r="AO21" s="27"/>
      <c r="AP21" s="36"/>
      <c r="AQ21" s="37"/>
      <c r="AR21" s="32"/>
      <c r="AS21" s="25"/>
      <c r="AT21" s="27"/>
      <c r="AU21" s="27"/>
      <c r="AW21" s="25"/>
      <c r="AX21" s="27"/>
      <c r="AY21" s="27"/>
      <c r="AZ21" s="32"/>
      <c r="BA21" s="41"/>
    </row>
    <row r="22" spans="1:53" x14ac:dyDescent="0.2">
      <c r="A22" s="25">
        <v>6</v>
      </c>
      <c r="B22" s="26">
        <v>45438</v>
      </c>
      <c r="C22" s="27" t="s">
        <v>232</v>
      </c>
      <c r="D22" s="25"/>
      <c r="E22" s="28"/>
      <c r="F22" s="27"/>
      <c r="G22" s="28"/>
      <c r="H22" s="27"/>
      <c r="I22" s="28"/>
      <c r="J22" s="27">
        <v>6</v>
      </c>
      <c r="K22" s="29" t="s">
        <v>35</v>
      </c>
      <c r="L22" s="39"/>
      <c r="M22" s="31"/>
      <c r="N22" s="27" t="s">
        <v>240</v>
      </c>
      <c r="P22" s="32"/>
      <c r="Q22" s="25"/>
      <c r="R22" s="27"/>
      <c r="S22" s="27"/>
      <c r="T22" s="28"/>
      <c r="U22" s="27">
        <v>5</v>
      </c>
      <c r="V22" s="27"/>
      <c r="W22" s="28">
        <v>5</v>
      </c>
      <c r="X22" s="346"/>
      <c r="Y22" s="32"/>
      <c r="Z22" s="25"/>
      <c r="AA22" s="27"/>
      <c r="AB22" s="28"/>
      <c r="AC22" s="27">
        <v>3</v>
      </c>
      <c r="AD22" s="27">
        <v>2</v>
      </c>
      <c r="AE22" s="33"/>
      <c r="AG22" s="25"/>
      <c r="AH22" s="34"/>
      <c r="AI22" s="27"/>
      <c r="AJ22" s="27"/>
      <c r="AK22" s="27"/>
      <c r="AL22" s="25"/>
      <c r="AM22" s="34"/>
      <c r="AN22" s="27"/>
      <c r="AO22" s="27"/>
      <c r="AP22" s="36"/>
      <c r="AQ22" s="37"/>
      <c r="AR22" s="32"/>
      <c r="AS22" s="25"/>
      <c r="AT22" s="27"/>
      <c r="AU22" s="27"/>
      <c r="AW22" s="25"/>
      <c r="AX22" s="27"/>
      <c r="AY22" s="27"/>
      <c r="AZ22" s="32"/>
      <c r="BA22" s="41"/>
    </row>
    <row r="23" spans="1:53" x14ac:dyDescent="0.2">
      <c r="A23" s="25">
        <v>7</v>
      </c>
      <c r="B23" s="26">
        <v>45439</v>
      </c>
      <c r="C23" s="27" t="s">
        <v>232</v>
      </c>
      <c r="D23" s="25"/>
      <c r="E23" s="28"/>
      <c r="F23" s="27"/>
      <c r="G23" s="28"/>
      <c r="H23" s="27"/>
      <c r="I23" s="28"/>
      <c r="J23" s="27">
        <v>6</v>
      </c>
      <c r="K23" s="29" t="s">
        <v>35</v>
      </c>
      <c r="L23" s="39"/>
      <c r="M23" s="31"/>
      <c r="N23" s="27" t="s">
        <v>240</v>
      </c>
      <c r="P23" s="32"/>
      <c r="Q23" s="25"/>
      <c r="R23" s="27"/>
      <c r="S23" s="27"/>
      <c r="T23" s="28"/>
      <c r="U23" s="27">
        <v>5</v>
      </c>
      <c r="V23" s="27"/>
      <c r="W23" s="28">
        <v>5</v>
      </c>
      <c r="X23" s="346"/>
      <c r="Y23" s="32"/>
      <c r="Z23" s="25"/>
      <c r="AA23" s="27"/>
      <c r="AB23" s="28"/>
      <c r="AC23" s="27">
        <v>3</v>
      </c>
      <c r="AD23" s="27">
        <v>2</v>
      </c>
      <c r="AE23" s="33"/>
      <c r="AG23" s="25"/>
      <c r="AH23" s="34"/>
      <c r="AI23" s="27"/>
      <c r="AJ23" s="27"/>
      <c r="AK23" s="27"/>
      <c r="AL23" s="25"/>
      <c r="AM23" s="34"/>
      <c r="AN23" s="27"/>
      <c r="AO23" s="27"/>
      <c r="AP23" s="36"/>
      <c r="AQ23" s="37"/>
      <c r="AR23" s="32"/>
      <c r="AS23" s="25"/>
      <c r="AT23" s="27"/>
      <c r="AU23" s="27"/>
      <c r="AW23" s="25"/>
      <c r="AX23" s="27"/>
      <c r="AY23" s="27"/>
      <c r="AZ23" s="32"/>
      <c r="BA23" s="41"/>
    </row>
    <row r="24" spans="1:53" x14ac:dyDescent="0.2">
      <c r="A24" s="25">
        <v>8</v>
      </c>
      <c r="B24" s="26">
        <v>45440</v>
      </c>
      <c r="C24" s="27" t="s">
        <v>232</v>
      </c>
      <c r="D24" s="25"/>
      <c r="E24" s="28"/>
      <c r="F24" s="27"/>
      <c r="G24" s="28"/>
      <c r="H24" s="27"/>
      <c r="I24" s="28"/>
      <c r="J24" s="27">
        <v>6</v>
      </c>
      <c r="K24" s="29" t="s">
        <v>35</v>
      </c>
      <c r="L24" s="39"/>
      <c r="M24" s="31"/>
      <c r="N24" s="27" t="s">
        <v>240</v>
      </c>
      <c r="P24" s="32"/>
      <c r="Q24" s="25"/>
      <c r="R24" s="27"/>
      <c r="S24" s="27"/>
      <c r="T24" s="28"/>
      <c r="U24" s="27">
        <v>5</v>
      </c>
      <c r="V24" s="27"/>
      <c r="W24" s="28">
        <v>5</v>
      </c>
      <c r="X24" s="346"/>
      <c r="Y24" s="32"/>
      <c r="Z24" s="25"/>
      <c r="AA24" s="27"/>
      <c r="AB24" s="28"/>
      <c r="AC24" s="27">
        <v>3</v>
      </c>
      <c r="AD24" s="27">
        <v>2</v>
      </c>
      <c r="AE24" s="33"/>
      <c r="AG24" s="25"/>
      <c r="AH24" s="34"/>
      <c r="AI24" s="27"/>
      <c r="AJ24" s="27"/>
      <c r="AK24" s="27"/>
      <c r="AL24" s="25"/>
      <c r="AM24" s="34"/>
      <c r="AN24" s="27"/>
      <c r="AO24" s="27"/>
      <c r="AP24" s="36"/>
      <c r="AQ24" s="37"/>
      <c r="AR24" s="32"/>
      <c r="AS24" s="25"/>
      <c r="AT24" s="27"/>
      <c r="AU24" s="27"/>
      <c r="AW24" s="25"/>
      <c r="AX24" s="27"/>
      <c r="AY24" s="27"/>
      <c r="AZ24" s="32"/>
      <c r="BA24" s="41"/>
    </row>
    <row r="25" spans="1:53" ht="16" thickBot="1" x14ac:dyDescent="0.25">
      <c r="A25" s="25">
        <v>9</v>
      </c>
      <c r="B25" s="26">
        <v>45441</v>
      </c>
      <c r="C25" s="27" t="s">
        <v>232</v>
      </c>
      <c r="D25" s="25"/>
      <c r="E25" s="28"/>
      <c r="F25" s="27"/>
      <c r="G25" s="28"/>
      <c r="H25" s="27"/>
      <c r="I25" s="28"/>
      <c r="J25" s="27">
        <v>6</v>
      </c>
      <c r="K25" s="29" t="s">
        <v>35</v>
      </c>
      <c r="L25" s="39"/>
      <c r="M25" s="31"/>
      <c r="N25" s="27" t="s">
        <v>240</v>
      </c>
      <c r="P25" s="32"/>
      <c r="Q25" s="25"/>
      <c r="R25" s="27"/>
      <c r="S25" s="27"/>
      <c r="T25" s="28"/>
      <c r="U25" s="27">
        <v>5</v>
      </c>
      <c r="V25" s="27"/>
      <c r="W25" s="28">
        <v>5</v>
      </c>
      <c r="X25" s="346"/>
      <c r="Y25" s="32"/>
      <c r="Z25" s="25"/>
      <c r="AA25" s="27"/>
      <c r="AB25" s="28"/>
      <c r="AC25" s="27">
        <v>3</v>
      </c>
      <c r="AD25" s="27">
        <v>2</v>
      </c>
      <c r="AE25" s="33"/>
      <c r="AG25" s="25"/>
      <c r="AH25" s="34"/>
      <c r="AI25" s="27"/>
      <c r="AJ25" s="27"/>
      <c r="AK25" s="27"/>
      <c r="AL25" s="25"/>
      <c r="AM25" s="34"/>
      <c r="AN25" s="27"/>
      <c r="AO25" s="27"/>
      <c r="AP25" s="36"/>
      <c r="AQ25" s="37"/>
      <c r="AR25" s="32"/>
      <c r="AS25" s="25"/>
      <c r="AT25" s="27"/>
      <c r="AU25" s="27"/>
      <c r="AW25" s="25"/>
      <c r="AX25" s="27"/>
      <c r="AY25" s="27"/>
      <c r="AZ25" s="32"/>
      <c r="BA25" s="41"/>
    </row>
    <row r="26" spans="1:53" ht="16" thickBot="1" x14ac:dyDescent="0.25">
      <c r="A26" s="25">
        <v>10</v>
      </c>
      <c r="B26" s="26">
        <v>45442</v>
      </c>
      <c r="C26" s="27" t="s">
        <v>232</v>
      </c>
      <c r="D26" s="25"/>
      <c r="E26" s="28"/>
      <c r="F26" s="27"/>
      <c r="G26" s="28"/>
      <c r="H26" s="27"/>
      <c r="I26" s="28"/>
      <c r="J26" s="27">
        <v>6</v>
      </c>
      <c r="K26" s="29" t="s">
        <v>35</v>
      </c>
      <c r="L26" s="39"/>
      <c r="M26" s="31"/>
      <c r="N26" s="27" t="s">
        <v>240</v>
      </c>
      <c r="O26" s="49"/>
      <c r="P26" s="32"/>
      <c r="Q26" s="25"/>
      <c r="R26" s="27"/>
      <c r="S26" s="27"/>
      <c r="T26" s="28"/>
      <c r="U26" s="27">
        <v>5</v>
      </c>
      <c r="V26" s="27"/>
      <c r="W26" s="28">
        <v>5</v>
      </c>
      <c r="X26" s="346"/>
      <c r="Y26" s="32"/>
      <c r="Z26" s="25"/>
      <c r="AA26" s="27"/>
      <c r="AB26" s="28"/>
      <c r="AC26" s="27">
        <v>5</v>
      </c>
      <c r="AD26" s="27">
        <v>5</v>
      </c>
      <c r="AE26" s="50" t="s">
        <v>343</v>
      </c>
      <c r="AG26" s="25"/>
      <c r="AH26" s="34"/>
      <c r="AI26" s="27"/>
      <c r="AJ26" s="27"/>
      <c r="AK26" s="27"/>
      <c r="AL26" s="25"/>
      <c r="AM26" s="34"/>
      <c r="AN26" s="27"/>
      <c r="AO26" s="27"/>
      <c r="AP26" s="36"/>
      <c r="AQ26" s="37"/>
      <c r="AR26" s="32"/>
      <c r="AS26" s="25"/>
      <c r="AT26" s="27"/>
      <c r="AU26" s="27"/>
      <c r="AW26" s="25"/>
      <c r="AX26" s="27"/>
      <c r="AY26" s="27"/>
      <c r="AZ26" s="32"/>
      <c r="BA26" s="41"/>
    </row>
    <row r="27" spans="1:53" ht="16" thickBot="1" x14ac:dyDescent="0.25">
      <c r="A27" s="25">
        <v>11</v>
      </c>
      <c r="B27" s="26">
        <v>45443</v>
      </c>
      <c r="C27" s="27" t="s">
        <v>200</v>
      </c>
      <c r="D27" s="25"/>
      <c r="E27" s="28"/>
      <c r="F27" s="27"/>
      <c r="G27" s="28"/>
      <c r="H27" s="27"/>
      <c r="I27" s="28"/>
      <c r="J27" s="27">
        <v>6</v>
      </c>
      <c r="K27" s="29" t="s">
        <v>35</v>
      </c>
      <c r="L27" s="52"/>
      <c r="M27" s="31"/>
      <c r="N27" s="27" t="s">
        <v>240</v>
      </c>
      <c r="P27" s="32"/>
      <c r="Q27" s="25"/>
      <c r="R27" s="27"/>
      <c r="S27" s="27"/>
      <c r="T27" s="28"/>
      <c r="U27" s="27">
        <v>5</v>
      </c>
      <c r="V27" s="27"/>
      <c r="W27" s="28">
        <v>5</v>
      </c>
      <c r="X27" s="347"/>
      <c r="Y27" s="32"/>
      <c r="Z27" s="25"/>
      <c r="AA27" s="27"/>
      <c r="AB27" s="28"/>
      <c r="AC27" s="27">
        <v>5</v>
      </c>
      <c r="AD27" s="27">
        <v>5</v>
      </c>
      <c r="AE27" s="33"/>
      <c r="AF27" s="32"/>
      <c r="AG27" s="25"/>
      <c r="AH27" s="34"/>
      <c r="AI27" s="27"/>
      <c r="AJ27" s="27"/>
      <c r="AK27" s="27"/>
      <c r="AL27" s="25"/>
      <c r="AM27" s="34"/>
      <c r="AN27" s="27"/>
      <c r="AO27" s="27"/>
      <c r="AP27" s="36"/>
      <c r="AQ27" s="37"/>
      <c r="AR27" s="32"/>
      <c r="AS27" s="25"/>
      <c r="AT27" s="27"/>
      <c r="AU27" s="27"/>
      <c r="AW27" s="25"/>
      <c r="AX27" s="27"/>
      <c r="AY27" s="27"/>
      <c r="AZ27" s="32"/>
      <c r="BA27" s="41"/>
    </row>
    <row r="28" spans="1:53" ht="16" thickBot="1" x14ac:dyDescent="0.25">
      <c r="A28" s="25">
        <v>12</v>
      </c>
      <c r="B28" s="26">
        <v>45444</v>
      </c>
      <c r="C28" s="27" t="s">
        <v>200</v>
      </c>
      <c r="D28" s="25"/>
      <c r="E28" s="28"/>
      <c r="F28" s="27"/>
      <c r="G28" s="28"/>
      <c r="H28" s="27"/>
      <c r="I28" s="28"/>
      <c r="J28" s="27">
        <v>6</v>
      </c>
      <c r="K28" s="29" t="s">
        <v>35</v>
      </c>
      <c r="L28" s="53"/>
      <c r="M28" s="31"/>
      <c r="N28" s="27" t="s">
        <v>240</v>
      </c>
      <c r="P28" s="32"/>
      <c r="Q28" s="25"/>
      <c r="R28" s="27"/>
      <c r="S28" s="27"/>
      <c r="T28" s="28"/>
      <c r="U28" s="27">
        <v>1</v>
      </c>
      <c r="V28" s="27"/>
      <c r="W28" s="28">
        <v>1</v>
      </c>
      <c r="X28" s="54" t="s">
        <v>49</v>
      </c>
      <c r="Y28" s="32"/>
      <c r="Z28" s="25"/>
      <c r="AA28" s="27"/>
      <c r="AB28" s="28"/>
      <c r="AC28" s="27">
        <v>10</v>
      </c>
      <c r="AD28" s="27">
        <v>5</v>
      </c>
      <c r="AE28" s="50" t="s">
        <v>344</v>
      </c>
      <c r="AG28" s="25"/>
      <c r="AH28" s="34"/>
      <c r="AI28" s="27"/>
      <c r="AJ28" s="27"/>
      <c r="AK28" s="27"/>
      <c r="AL28" s="25"/>
      <c r="AM28" s="34"/>
      <c r="AN28" s="27"/>
      <c r="AO28" s="27"/>
      <c r="AP28" s="36"/>
      <c r="AQ28" s="37"/>
      <c r="AR28" s="32"/>
      <c r="AS28" s="25"/>
      <c r="AT28" s="27"/>
      <c r="AU28" s="27"/>
      <c r="AW28" s="25"/>
      <c r="AX28" s="27"/>
      <c r="AY28" s="27"/>
      <c r="AZ28" s="32"/>
      <c r="BA28" s="41"/>
    </row>
    <row r="29" spans="1:53" ht="16" thickBot="1" x14ac:dyDescent="0.25">
      <c r="A29" s="25">
        <v>13</v>
      </c>
      <c r="B29" s="26">
        <v>45445</v>
      </c>
      <c r="C29" s="27" t="s">
        <v>232</v>
      </c>
      <c r="D29" s="25"/>
      <c r="E29" s="28"/>
      <c r="F29" s="27"/>
      <c r="G29" s="28"/>
      <c r="H29" s="27"/>
      <c r="I29" s="28"/>
      <c r="J29" s="27">
        <v>6</v>
      </c>
      <c r="K29" s="29" t="s">
        <v>35</v>
      </c>
      <c r="L29" s="39"/>
      <c r="M29" s="31"/>
      <c r="N29" s="27" t="s">
        <v>240</v>
      </c>
      <c r="P29" s="32"/>
      <c r="Q29" s="25"/>
      <c r="R29" s="27"/>
      <c r="S29" s="27"/>
      <c r="T29" s="28"/>
      <c r="U29" s="27">
        <v>1</v>
      </c>
      <c r="V29" s="27"/>
      <c r="W29" s="28">
        <v>1</v>
      </c>
      <c r="X29" s="33"/>
      <c r="Y29" s="32"/>
      <c r="Z29" s="55"/>
      <c r="AA29" s="56"/>
      <c r="AB29" s="57"/>
      <c r="AC29" s="27">
        <v>10</v>
      </c>
      <c r="AD29" s="27">
        <v>5</v>
      </c>
      <c r="AE29" s="33"/>
      <c r="AG29" s="25"/>
      <c r="AH29" s="34"/>
      <c r="AI29" s="27"/>
      <c r="AJ29" s="27"/>
      <c r="AK29" s="27"/>
      <c r="AL29" s="25"/>
      <c r="AM29" s="34"/>
      <c r="AN29" s="27"/>
      <c r="AO29" s="27"/>
      <c r="AP29" s="36"/>
      <c r="AQ29" s="37"/>
      <c r="AR29" s="32"/>
      <c r="AS29" s="25"/>
      <c r="AT29" s="27"/>
      <c r="AU29" s="201"/>
      <c r="AW29" s="25"/>
      <c r="AX29" s="27"/>
      <c r="AY29" s="27"/>
      <c r="AZ29" s="32"/>
      <c r="BA29" s="41"/>
    </row>
    <row r="30" spans="1:53" ht="16" thickBot="1" x14ac:dyDescent="0.25">
      <c r="A30" s="25">
        <v>14</v>
      </c>
      <c r="B30" s="26">
        <v>45446</v>
      </c>
      <c r="C30" s="27" t="s">
        <v>232</v>
      </c>
      <c r="D30" s="25"/>
      <c r="E30" s="28"/>
      <c r="F30" s="27"/>
      <c r="G30" s="28"/>
      <c r="H30" s="27"/>
      <c r="I30" s="28"/>
      <c r="J30" s="27">
        <v>6</v>
      </c>
      <c r="K30" s="29" t="s">
        <v>35</v>
      </c>
      <c r="L30" s="39"/>
      <c r="M30" s="31"/>
      <c r="N30" s="27" t="s">
        <v>240</v>
      </c>
      <c r="P30" s="32"/>
      <c r="Q30" s="25"/>
      <c r="R30" s="27"/>
      <c r="S30" s="27"/>
      <c r="T30" s="28"/>
      <c r="U30" s="27">
        <v>1</v>
      </c>
      <c r="V30" s="27"/>
      <c r="W30" s="28"/>
      <c r="X30" s="33"/>
      <c r="Y30" s="32" t="s">
        <v>474</v>
      </c>
      <c r="Z30" s="59"/>
      <c r="AA30" s="60"/>
      <c r="AB30" s="61"/>
      <c r="AC30" s="27">
        <v>10</v>
      </c>
      <c r="AD30" s="27">
        <v>5</v>
      </c>
      <c r="AE30" s="33"/>
      <c r="AG30" s="25"/>
      <c r="AH30" s="34"/>
      <c r="AI30" s="27"/>
      <c r="AJ30" s="27"/>
      <c r="AK30" s="27"/>
      <c r="AL30" s="25"/>
      <c r="AM30" s="34"/>
      <c r="AN30" s="27"/>
      <c r="AO30" s="27"/>
      <c r="AP30" s="36"/>
      <c r="AQ30" s="37"/>
      <c r="AR30" s="32"/>
      <c r="AS30" s="25"/>
      <c r="AT30" s="27"/>
      <c r="AW30" s="25"/>
      <c r="AX30" s="27"/>
      <c r="AY30" s="27"/>
      <c r="AZ30" s="32"/>
      <c r="BA30" s="62"/>
    </row>
    <row r="31" spans="1:53" ht="16" thickBot="1" x14ac:dyDescent="0.25">
      <c r="A31" s="25">
        <v>15</v>
      </c>
      <c r="B31" s="26">
        <v>45447</v>
      </c>
      <c r="C31" s="27" t="s">
        <v>227</v>
      </c>
      <c r="D31" s="25"/>
      <c r="E31" s="28"/>
      <c r="F31" s="27"/>
      <c r="G31" s="28"/>
      <c r="H31" s="27"/>
      <c r="I31" s="28"/>
      <c r="J31" s="27">
        <v>6</v>
      </c>
      <c r="K31" s="29" t="s">
        <v>35</v>
      </c>
      <c r="L31" s="39"/>
      <c r="M31" s="31"/>
      <c r="N31" s="27" t="s">
        <v>240</v>
      </c>
      <c r="P31" s="32"/>
      <c r="Q31" s="25"/>
      <c r="R31" s="27"/>
      <c r="S31" s="27"/>
      <c r="T31" s="28"/>
      <c r="U31" s="27">
        <v>1</v>
      </c>
      <c r="V31" s="27"/>
      <c r="W31" s="28">
        <v>1</v>
      </c>
      <c r="X31" s="33"/>
      <c r="Y31" s="32"/>
      <c r="Z31" s="25"/>
      <c r="AA31" s="27"/>
      <c r="AB31" s="28"/>
      <c r="AC31" s="27">
        <v>10</v>
      </c>
      <c r="AD31" s="27">
        <v>5</v>
      </c>
      <c r="AE31" s="33"/>
      <c r="AG31" s="25"/>
      <c r="AH31" s="34"/>
      <c r="AI31" s="27"/>
      <c r="AJ31" s="27"/>
      <c r="AK31" s="27"/>
      <c r="AL31" s="25"/>
      <c r="AM31" s="34"/>
      <c r="AN31" s="27"/>
      <c r="AO31" s="27"/>
      <c r="AP31" s="36"/>
      <c r="AQ31" s="37"/>
      <c r="AR31" s="32"/>
      <c r="AS31" s="25"/>
      <c r="AT31" s="27"/>
      <c r="AU31" s="201"/>
      <c r="AW31" s="25"/>
      <c r="AX31" s="27"/>
      <c r="AY31" s="27"/>
      <c r="AZ31" s="32"/>
      <c r="BA31" s="41"/>
    </row>
    <row r="32" spans="1:53" ht="16" thickBot="1" x14ac:dyDescent="0.25">
      <c r="A32" s="25">
        <v>16</v>
      </c>
      <c r="B32" s="26">
        <v>45448</v>
      </c>
      <c r="C32" s="27" t="s">
        <v>227</v>
      </c>
      <c r="D32" s="25"/>
      <c r="E32" s="28"/>
      <c r="F32" s="27"/>
      <c r="G32" s="28"/>
      <c r="H32" s="27"/>
      <c r="I32" s="28"/>
      <c r="J32" s="27">
        <v>6</v>
      </c>
      <c r="K32" s="29" t="s">
        <v>35</v>
      </c>
      <c r="L32" s="44" t="s">
        <v>288</v>
      </c>
      <c r="M32" s="31"/>
      <c r="N32" s="27" t="s">
        <v>240</v>
      </c>
      <c r="P32" s="32"/>
      <c r="Q32" s="25"/>
      <c r="R32" s="27"/>
      <c r="S32" s="27"/>
      <c r="T32" s="28"/>
      <c r="U32" s="27">
        <v>1</v>
      </c>
      <c r="V32" s="27"/>
      <c r="W32" s="28">
        <v>1</v>
      </c>
      <c r="X32" s="63" t="s">
        <v>60</v>
      </c>
      <c r="Y32" s="46" t="s">
        <v>61</v>
      </c>
      <c r="AB32" s="28"/>
      <c r="AC32" s="27">
        <v>10</v>
      </c>
      <c r="AD32" s="27">
        <v>5</v>
      </c>
      <c r="AE32" s="33"/>
      <c r="AG32" s="25"/>
      <c r="AH32" s="34"/>
      <c r="AI32" s="27"/>
      <c r="AJ32" s="27"/>
      <c r="AK32" s="27"/>
      <c r="AL32" s="25"/>
      <c r="AM32" s="34"/>
      <c r="AN32" s="27"/>
      <c r="AO32" s="27"/>
      <c r="AP32" s="36"/>
      <c r="AQ32" s="64"/>
      <c r="AR32" s="65"/>
      <c r="AS32" s="25"/>
      <c r="AT32" s="27"/>
      <c r="AU32" s="27"/>
      <c r="AW32" s="25"/>
      <c r="AX32" s="27"/>
      <c r="AY32" s="27"/>
      <c r="AZ32" s="32"/>
      <c r="BA32" s="41"/>
    </row>
    <row r="33" spans="1:54" x14ac:dyDescent="0.2">
      <c r="A33" s="25">
        <v>17</v>
      </c>
      <c r="B33" s="26">
        <v>45449</v>
      </c>
      <c r="C33" s="27" t="s">
        <v>227</v>
      </c>
      <c r="D33" s="25"/>
      <c r="E33" s="28"/>
      <c r="F33" s="27"/>
      <c r="G33" s="28"/>
      <c r="H33" s="27"/>
      <c r="I33" s="28"/>
      <c r="J33" s="27">
        <v>6</v>
      </c>
      <c r="K33" s="29" t="s">
        <v>35</v>
      </c>
      <c r="L33" s="39"/>
      <c r="M33" s="31"/>
      <c r="N33" s="27" t="s">
        <v>240</v>
      </c>
      <c r="P33" s="32"/>
      <c r="Q33" s="25"/>
      <c r="R33" s="27"/>
      <c r="S33" s="27"/>
      <c r="T33" s="28"/>
      <c r="U33" s="27"/>
      <c r="V33" s="27" t="s">
        <v>481</v>
      </c>
      <c r="W33" s="28"/>
      <c r="X33" s="33" t="s">
        <v>155</v>
      </c>
      <c r="Y33" s="32" t="s">
        <v>482</v>
      </c>
      <c r="Z33" s="25"/>
      <c r="AA33" s="27"/>
      <c r="AB33" s="28"/>
      <c r="AC33" s="27">
        <v>10</v>
      </c>
      <c r="AD33" s="27">
        <v>5</v>
      </c>
      <c r="AE33" s="33"/>
      <c r="AG33" s="25"/>
      <c r="AH33" s="34"/>
      <c r="AI33" s="27"/>
      <c r="AJ33" s="27"/>
      <c r="AK33" s="27"/>
      <c r="AL33" s="25"/>
      <c r="AM33" s="34"/>
      <c r="AN33" s="27"/>
      <c r="AO33" s="27"/>
      <c r="AP33" s="36"/>
      <c r="AQ33" s="37"/>
      <c r="AR33" s="32"/>
      <c r="AS33" s="25"/>
      <c r="AT33" s="27"/>
      <c r="AU33" s="27"/>
      <c r="AW33" s="25"/>
      <c r="AX33" s="27"/>
      <c r="AY33" s="27"/>
      <c r="AZ33" s="32"/>
      <c r="BA33" s="41"/>
    </row>
    <row r="34" spans="1:54" ht="16" thickBot="1" x14ac:dyDescent="0.25">
      <c r="A34" s="25">
        <v>18</v>
      </c>
      <c r="B34" s="26">
        <v>45450</v>
      </c>
      <c r="C34" s="27" t="s">
        <v>200</v>
      </c>
      <c r="D34" s="25"/>
      <c r="E34" s="28"/>
      <c r="F34" s="27"/>
      <c r="G34" s="28"/>
      <c r="H34" s="27"/>
      <c r="I34" s="28"/>
      <c r="J34" s="27">
        <v>6</v>
      </c>
      <c r="K34" s="29" t="s">
        <v>35</v>
      </c>
      <c r="L34" s="39"/>
      <c r="M34" s="31"/>
      <c r="N34" s="27" t="s">
        <v>240</v>
      </c>
      <c r="P34" s="66"/>
      <c r="Q34" s="25"/>
      <c r="R34" s="27"/>
      <c r="S34" s="27"/>
      <c r="T34" s="28"/>
      <c r="U34" s="27"/>
      <c r="V34" s="27" t="s">
        <v>154</v>
      </c>
      <c r="W34" s="28"/>
      <c r="X34" s="33"/>
      <c r="Y34" s="32"/>
      <c r="Z34" s="25"/>
      <c r="AA34" s="27"/>
      <c r="AB34" s="28"/>
      <c r="AC34" s="27">
        <v>10</v>
      </c>
      <c r="AD34" s="27">
        <v>5</v>
      </c>
      <c r="AE34" s="33"/>
      <c r="AG34" s="25"/>
      <c r="AH34" s="34"/>
      <c r="AI34" s="27">
        <v>2.5000000000000001E-2</v>
      </c>
      <c r="AJ34" s="27"/>
      <c r="AK34" s="27">
        <v>2.5000000000000001E-2</v>
      </c>
      <c r="AL34" s="25"/>
      <c r="AM34" s="34"/>
      <c r="AN34" s="27"/>
      <c r="AO34" s="27"/>
      <c r="AP34" s="36"/>
      <c r="AQ34" s="67" t="s">
        <v>65</v>
      </c>
      <c r="AR34" s="46" t="s">
        <v>350</v>
      </c>
      <c r="AS34" s="25"/>
      <c r="AT34" s="27"/>
      <c r="AW34" s="25"/>
      <c r="AX34" s="27"/>
      <c r="AY34" s="27"/>
      <c r="AZ34" s="32"/>
      <c r="BA34" s="41"/>
    </row>
    <row r="35" spans="1:54" ht="16" thickBot="1" x14ac:dyDescent="0.25">
      <c r="A35" s="25">
        <v>19</v>
      </c>
      <c r="B35" s="26">
        <v>45451</v>
      </c>
      <c r="C35" s="27" t="s">
        <v>200</v>
      </c>
      <c r="D35" s="25"/>
      <c r="E35" s="28"/>
      <c r="F35" s="27"/>
      <c r="G35" s="28"/>
      <c r="H35" s="27"/>
      <c r="I35" s="28"/>
      <c r="J35" s="27">
        <v>6</v>
      </c>
      <c r="K35" s="29" t="s">
        <v>35</v>
      </c>
      <c r="L35" s="39"/>
      <c r="M35" s="31"/>
      <c r="N35" s="27" t="s">
        <v>240</v>
      </c>
      <c r="P35" s="32"/>
      <c r="Q35" s="25"/>
      <c r="R35" s="27"/>
      <c r="S35" s="27"/>
      <c r="T35" s="28"/>
      <c r="U35" s="27"/>
      <c r="V35" s="27" t="s">
        <v>154</v>
      </c>
      <c r="W35" s="28"/>
      <c r="X35" s="33"/>
      <c r="Y35" s="32"/>
      <c r="Z35" s="25"/>
      <c r="AA35" s="27"/>
      <c r="AB35" s="28"/>
      <c r="AC35" s="27">
        <v>10</v>
      </c>
      <c r="AD35" s="27">
        <v>5</v>
      </c>
      <c r="AE35" s="33"/>
      <c r="AG35" s="25"/>
      <c r="AH35" s="34"/>
      <c r="AI35" s="27">
        <v>2.5000000000000001E-2</v>
      </c>
      <c r="AJ35" s="27"/>
      <c r="AK35" s="27">
        <v>2.5000000000000001E-2</v>
      </c>
      <c r="AL35" s="25"/>
      <c r="AM35" s="34"/>
      <c r="AN35" s="27"/>
      <c r="AO35" s="27"/>
      <c r="AP35" s="36"/>
      <c r="AQ35" s="203"/>
      <c r="AR35" s="32" t="s">
        <v>64</v>
      </c>
      <c r="AS35" s="25"/>
      <c r="AT35" s="27"/>
      <c r="AU35" s="27"/>
      <c r="AW35" s="25"/>
      <c r="AX35" s="27"/>
      <c r="AY35" s="27"/>
      <c r="AZ35" s="32"/>
      <c r="BA35" s="62"/>
    </row>
    <row r="36" spans="1:54" x14ac:dyDescent="0.2">
      <c r="A36" s="25">
        <v>20</v>
      </c>
      <c r="B36" s="26">
        <v>45452</v>
      </c>
      <c r="C36" s="27" t="s">
        <v>232</v>
      </c>
      <c r="D36" s="25"/>
      <c r="E36" s="28"/>
      <c r="F36" s="27"/>
      <c r="G36" s="28"/>
      <c r="H36" s="27"/>
      <c r="I36" s="28"/>
      <c r="J36" s="27">
        <v>6</v>
      </c>
      <c r="K36" s="29" t="s">
        <v>35</v>
      </c>
      <c r="L36" s="39"/>
      <c r="M36" s="197"/>
      <c r="N36" s="27" t="s">
        <v>240</v>
      </c>
      <c r="O36" s="306" t="s">
        <v>66</v>
      </c>
      <c r="P36" s="32"/>
      <c r="Q36" s="25"/>
      <c r="R36" s="27"/>
      <c r="S36" s="27"/>
      <c r="T36" s="28"/>
      <c r="U36" s="27"/>
      <c r="V36" s="27" t="s">
        <v>154</v>
      </c>
      <c r="W36" s="28"/>
      <c r="X36" s="33"/>
      <c r="Y36" s="32"/>
      <c r="Z36" s="25"/>
      <c r="AA36" s="27"/>
      <c r="AB36" s="28"/>
      <c r="AC36" s="27">
        <v>10</v>
      </c>
      <c r="AD36" s="27">
        <v>5</v>
      </c>
      <c r="AE36" s="33"/>
      <c r="AG36" s="25"/>
      <c r="AH36" s="34"/>
      <c r="AI36" s="27">
        <v>2.5000000000000001E-2</v>
      </c>
      <c r="AJ36" s="27"/>
      <c r="AK36" s="27">
        <v>2.5000000000000001E-2</v>
      </c>
      <c r="AL36" s="25"/>
      <c r="AM36" s="34"/>
      <c r="AN36" s="27"/>
      <c r="AO36" s="27"/>
      <c r="AP36" s="36"/>
      <c r="AQ36" s="37"/>
      <c r="AR36" s="32" t="s">
        <v>64</v>
      </c>
      <c r="AS36" s="25"/>
      <c r="AT36" s="27"/>
      <c r="AU36" s="27"/>
      <c r="AW36" s="25"/>
      <c r="AX36" s="27"/>
      <c r="AY36" s="27"/>
      <c r="AZ36" s="32"/>
      <c r="BA36" s="41"/>
    </row>
    <row r="37" spans="1:54" ht="16" thickBot="1" x14ac:dyDescent="0.25">
      <c r="A37" s="70">
        <v>21</v>
      </c>
      <c r="B37" s="26">
        <v>45453</v>
      </c>
      <c r="C37" s="71" t="s">
        <v>232</v>
      </c>
      <c r="D37" s="70"/>
      <c r="E37" s="72"/>
      <c r="F37" s="71"/>
      <c r="G37" s="72"/>
      <c r="H37" s="71"/>
      <c r="I37" s="72"/>
      <c r="J37" s="27">
        <v>6</v>
      </c>
      <c r="K37" s="29" t="s">
        <v>35</v>
      </c>
      <c r="L37" s="39"/>
      <c r="M37" s="198"/>
      <c r="N37" s="27" t="s">
        <v>240</v>
      </c>
      <c r="O37" s="307"/>
      <c r="P37" s="74"/>
      <c r="Q37" s="70"/>
      <c r="R37" s="71"/>
      <c r="S37" s="71"/>
      <c r="T37" s="72"/>
      <c r="U37" s="71"/>
      <c r="V37" s="71" t="s">
        <v>154</v>
      </c>
      <c r="W37" s="72"/>
      <c r="X37" s="33"/>
      <c r="Y37" s="75"/>
      <c r="Z37" s="70"/>
      <c r="AA37" s="71"/>
      <c r="AB37" s="72"/>
      <c r="AC37" s="27">
        <v>10</v>
      </c>
      <c r="AD37" s="71">
        <v>5</v>
      </c>
      <c r="AE37" s="33"/>
      <c r="AF37" s="76"/>
      <c r="AG37" s="70"/>
      <c r="AH37" s="77"/>
      <c r="AI37" s="27">
        <v>2.5000000000000001E-2</v>
      </c>
      <c r="AJ37" s="27"/>
      <c r="AK37" s="27">
        <v>2.5000000000000001E-2</v>
      </c>
      <c r="AL37" s="70"/>
      <c r="AM37" s="77"/>
      <c r="AN37" s="27"/>
      <c r="AO37" s="71"/>
      <c r="AP37" s="78"/>
      <c r="AQ37" s="37"/>
      <c r="AR37" s="32" t="s">
        <v>64</v>
      </c>
      <c r="AS37" s="70"/>
      <c r="AT37" s="27"/>
      <c r="AU37" s="71"/>
      <c r="AV37" s="76"/>
      <c r="AW37" s="70"/>
      <c r="AX37" s="71"/>
      <c r="AY37" s="71"/>
      <c r="AZ37" s="75"/>
      <c r="BA37" s="79"/>
    </row>
    <row r="38" spans="1:54" ht="16" thickBot="1" x14ac:dyDescent="0.25">
      <c r="A38" s="25">
        <v>22</v>
      </c>
      <c r="B38" s="26">
        <v>45454</v>
      </c>
      <c r="C38" s="27" t="s">
        <v>227</v>
      </c>
      <c r="D38" s="25"/>
      <c r="E38" s="28"/>
      <c r="F38" s="27"/>
      <c r="G38" s="28"/>
      <c r="H38" s="27"/>
      <c r="I38" s="28"/>
      <c r="J38" s="27">
        <v>6</v>
      </c>
      <c r="K38" s="29" t="s">
        <v>35</v>
      </c>
      <c r="L38" s="39" t="s">
        <v>495</v>
      </c>
      <c r="M38" s="197" t="s">
        <v>492</v>
      </c>
      <c r="N38" s="27" t="s">
        <v>240</v>
      </c>
      <c r="O38" s="307"/>
      <c r="P38" s="46"/>
      <c r="Q38" s="43"/>
      <c r="R38" s="27"/>
      <c r="S38" s="27"/>
      <c r="T38" s="28"/>
      <c r="U38" s="27"/>
      <c r="V38" s="27" t="s">
        <v>154</v>
      </c>
      <c r="W38" s="28"/>
      <c r="X38" s="33"/>
      <c r="Y38" s="32"/>
      <c r="Z38" s="60"/>
      <c r="AA38" s="60"/>
      <c r="AB38" s="61"/>
      <c r="AC38" s="27">
        <v>10</v>
      </c>
      <c r="AD38" s="27">
        <v>5</v>
      </c>
      <c r="AE38" s="33"/>
      <c r="AG38" s="25"/>
      <c r="AH38" s="34"/>
      <c r="AI38" s="27">
        <v>0.05</v>
      </c>
      <c r="AJ38" s="27"/>
      <c r="AK38" s="27">
        <v>0.05</v>
      </c>
      <c r="AL38" s="25"/>
      <c r="AM38" s="34"/>
      <c r="AN38" s="27"/>
      <c r="AO38" s="27"/>
      <c r="AP38" s="36"/>
      <c r="AQ38" s="37"/>
      <c r="AR38" s="32" t="s">
        <v>64</v>
      </c>
      <c r="AS38" s="25"/>
      <c r="AT38" s="27"/>
      <c r="AU38" s="27"/>
      <c r="AW38" s="25"/>
      <c r="AX38" s="27"/>
      <c r="AY38" s="27"/>
      <c r="AZ38" s="32"/>
      <c r="BA38" s="80" t="s">
        <v>68</v>
      </c>
    </row>
    <row r="39" spans="1:54" ht="16" thickBot="1" x14ac:dyDescent="0.25">
      <c r="A39" s="25">
        <v>23</v>
      </c>
      <c r="B39" s="26">
        <v>45455</v>
      </c>
      <c r="C39" s="27" t="s">
        <v>227</v>
      </c>
      <c r="D39" s="25"/>
      <c r="E39" s="28"/>
      <c r="F39" s="27"/>
      <c r="G39" s="28"/>
      <c r="H39" s="27"/>
      <c r="I39" s="28"/>
      <c r="J39" s="27">
        <v>6</v>
      </c>
      <c r="K39" s="29" t="s">
        <v>35</v>
      </c>
      <c r="L39" s="39"/>
      <c r="M39" s="31" t="s">
        <v>492</v>
      </c>
      <c r="N39" s="27" t="s">
        <v>240</v>
      </c>
      <c r="O39" s="307"/>
      <c r="P39" s="32"/>
      <c r="Q39" s="25"/>
      <c r="R39" s="27"/>
      <c r="S39" s="27"/>
      <c r="T39" s="28"/>
      <c r="U39" s="27"/>
      <c r="V39" s="27" t="s">
        <v>154</v>
      </c>
      <c r="W39" s="28"/>
      <c r="X39" s="33"/>
      <c r="Y39" s="32"/>
      <c r="Z39" s="25"/>
      <c r="AA39" s="27"/>
      <c r="AB39" s="28"/>
      <c r="AC39" s="27">
        <v>10</v>
      </c>
      <c r="AD39" s="27">
        <v>5</v>
      </c>
      <c r="AE39" s="33"/>
      <c r="AG39" s="25"/>
      <c r="AH39" s="34"/>
      <c r="AI39" s="27">
        <v>0.05</v>
      </c>
      <c r="AJ39" s="27"/>
      <c r="AK39" s="27">
        <v>0.05</v>
      </c>
      <c r="AL39" s="25"/>
      <c r="AM39" s="34"/>
      <c r="AN39" s="27"/>
      <c r="AO39" s="27"/>
      <c r="AP39" s="36"/>
      <c r="AQ39" s="37"/>
      <c r="AR39" s="32" t="s">
        <v>64</v>
      </c>
      <c r="AS39" s="25"/>
      <c r="AT39" s="27"/>
      <c r="AU39" s="201"/>
      <c r="AW39" s="25"/>
      <c r="AX39" s="27"/>
      <c r="AY39" s="27"/>
      <c r="AZ39" s="32"/>
      <c r="BA39" s="41">
        <v>13</v>
      </c>
      <c r="BB39" t="s">
        <v>498</v>
      </c>
    </row>
    <row r="40" spans="1:54" ht="16" thickBot="1" x14ac:dyDescent="0.25">
      <c r="A40" s="25">
        <v>24</v>
      </c>
      <c r="B40" s="26">
        <v>45456</v>
      </c>
      <c r="C40" s="27" t="s">
        <v>232</v>
      </c>
      <c r="D40" s="25"/>
      <c r="E40" s="28"/>
      <c r="F40" s="27"/>
      <c r="G40" s="28"/>
      <c r="H40" s="27"/>
      <c r="I40" s="28"/>
      <c r="J40" s="27">
        <v>6</v>
      </c>
      <c r="K40" s="29" t="s">
        <v>35</v>
      </c>
      <c r="L40" s="44" t="s">
        <v>289</v>
      </c>
      <c r="M40" s="31"/>
      <c r="N40" s="27" t="s">
        <v>240</v>
      </c>
      <c r="O40" s="307"/>
      <c r="P40" s="32"/>
      <c r="Q40" s="25"/>
      <c r="R40" s="27"/>
      <c r="S40" s="27"/>
      <c r="T40" s="28"/>
      <c r="U40" s="27"/>
      <c r="V40" s="27" t="s">
        <v>154</v>
      </c>
      <c r="W40" s="28"/>
      <c r="X40" s="33"/>
      <c r="Y40" s="32"/>
      <c r="Z40" s="25"/>
      <c r="AA40" s="27"/>
      <c r="AB40" s="28"/>
      <c r="AC40" s="27">
        <v>10</v>
      </c>
      <c r="AD40" s="27">
        <v>5</v>
      </c>
      <c r="AF40" s="46" t="s">
        <v>290</v>
      </c>
      <c r="AG40" s="25"/>
      <c r="AH40" s="34"/>
      <c r="AI40" s="27">
        <v>0.05</v>
      </c>
      <c r="AJ40" s="27">
        <v>0.05</v>
      </c>
      <c r="AK40" s="27">
        <v>0.05</v>
      </c>
      <c r="AL40" s="25"/>
      <c r="AM40" s="34"/>
      <c r="AN40" s="27"/>
      <c r="AO40" s="27"/>
      <c r="AP40" s="36"/>
      <c r="AQ40" s="37"/>
      <c r="AR40" s="46" t="s">
        <v>351</v>
      </c>
      <c r="AS40" s="25" t="s">
        <v>72</v>
      </c>
      <c r="AT40" s="27" t="s">
        <v>52</v>
      </c>
      <c r="AU40" s="58" t="s">
        <v>295</v>
      </c>
      <c r="AW40" s="25"/>
      <c r="AX40" s="27"/>
      <c r="AY40" s="27"/>
      <c r="AZ40" s="32"/>
      <c r="BA40" s="41">
        <v>39</v>
      </c>
      <c r="BB40" t="s">
        <v>499</v>
      </c>
    </row>
    <row r="41" spans="1:54" ht="16" thickBot="1" x14ac:dyDescent="0.25">
      <c r="A41" s="25">
        <v>25</v>
      </c>
      <c r="B41" s="26">
        <v>45457</v>
      </c>
      <c r="C41" s="27" t="s">
        <v>200</v>
      </c>
      <c r="D41" s="25"/>
      <c r="E41" s="28"/>
      <c r="F41" s="27"/>
      <c r="G41" s="28"/>
      <c r="H41" s="27"/>
      <c r="I41" s="28"/>
      <c r="J41" s="27">
        <v>6</v>
      </c>
      <c r="K41" s="29" t="s">
        <v>35</v>
      </c>
      <c r="L41" s="39"/>
      <c r="M41" s="153" t="s">
        <v>506</v>
      </c>
      <c r="N41" s="27" t="s">
        <v>240</v>
      </c>
      <c r="O41" s="307"/>
      <c r="P41" s="81"/>
      <c r="Q41" s="43"/>
      <c r="R41" s="27"/>
      <c r="S41" s="27"/>
      <c r="T41" s="28"/>
      <c r="U41" s="27"/>
      <c r="V41" s="27" t="s">
        <v>502</v>
      </c>
      <c r="W41" s="28"/>
      <c r="X41" s="33" t="s">
        <v>503</v>
      </c>
      <c r="Y41" s="32"/>
      <c r="Z41" s="27"/>
      <c r="AA41" s="27"/>
      <c r="AB41" s="28"/>
      <c r="AC41" s="27"/>
      <c r="AD41" s="27"/>
      <c r="AE41" s="27"/>
      <c r="AG41" s="25"/>
      <c r="AH41" s="34"/>
      <c r="AI41" s="27">
        <v>0.05</v>
      </c>
      <c r="AJ41" s="27">
        <v>0.05</v>
      </c>
      <c r="AK41" s="27">
        <v>0.05</v>
      </c>
      <c r="AL41" s="25"/>
      <c r="AM41" s="34"/>
      <c r="AN41" s="27"/>
      <c r="AO41" s="27"/>
      <c r="AP41" s="36"/>
      <c r="AQ41" s="37"/>
      <c r="AR41" s="32" t="s">
        <v>75</v>
      </c>
      <c r="AS41" s="25" t="s">
        <v>72</v>
      </c>
      <c r="AT41" s="27" t="s">
        <v>52</v>
      </c>
      <c r="AW41" s="25"/>
      <c r="AX41" s="27"/>
      <c r="AY41" s="27"/>
      <c r="AZ41" s="32"/>
      <c r="BA41" s="41">
        <v>54</v>
      </c>
    </row>
    <row r="42" spans="1:54" ht="16" thickBot="1" x14ac:dyDescent="0.25">
      <c r="A42" s="25">
        <v>26</v>
      </c>
      <c r="B42" s="26">
        <v>45458</v>
      </c>
      <c r="C42" s="27" t="s">
        <v>200</v>
      </c>
      <c r="D42" s="25"/>
      <c r="E42" s="28"/>
      <c r="F42" s="27"/>
      <c r="G42" s="28"/>
      <c r="H42" s="27"/>
      <c r="I42" s="28"/>
      <c r="J42" s="27">
        <v>6</v>
      </c>
      <c r="K42" s="29" t="s">
        <v>35</v>
      </c>
      <c r="L42" s="39" t="s">
        <v>505</v>
      </c>
      <c r="M42" s="31"/>
      <c r="N42" s="27" t="s">
        <v>240</v>
      </c>
      <c r="O42" s="307"/>
      <c r="P42" s="32"/>
      <c r="Q42" s="25"/>
      <c r="R42" s="27"/>
      <c r="S42" s="27"/>
      <c r="T42" s="28"/>
      <c r="U42" s="27"/>
      <c r="V42" s="27" t="s">
        <v>154</v>
      </c>
      <c r="W42" s="28"/>
      <c r="X42" s="33"/>
      <c r="Y42" s="32"/>
      <c r="Z42" s="25"/>
      <c r="AA42" s="27"/>
      <c r="AB42" s="28"/>
      <c r="AC42" s="27"/>
      <c r="AD42" s="27"/>
      <c r="AE42" s="33"/>
      <c r="AG42" s="25"/>
      <c r="AH42" s="34"/>
      <c r="AI42" s="27">
        <v>0.1</v>
      </c>
      <c r="AJ42" s="27">
        <v>0.1</v>
      </c>
      <c r="AK42" s="27">
        <v>0.1</v>
      </c>
      <c r="AL42" s="25"/>
      <c r="AM42" s="34"/>
      <c r="AN42" s="27"/>
      <c r="AO42" s="27"/>
      <c r="AP42" s="36"/>
      <c r="AQ42" s="37"/>
      <c r="AR42" s="32" t="s">
        <v>75</v>
      </c>
      <c r="AS42" s="25" t="s">
        <v>72</v>
      </c>
      <c r="AT42" s="27" t="s">
        <v>52</v>
      </c>
      <c r="AW42" s="25"/>
      <c r="AX42" s="27"/>
      <c r="AY42" s="27"/>
      <c r="AZ42" s="32"/>
      <c r="BA42" s="41">
        <v>24</v>
      </c>
    </row>
    <row r="43" spans="1:54" ht="16" thickBot="1" x14ac:dyDescent="0.25">
      <c r="A43" s="25">
        <v>27</v>
      </c>
      <c r="B43" s="26">
        <v>45459</v>
      </c>
      <c r="C43" s="27" t="s">
        <v>232</v>
      </c>
      <c r="D43" s="25"/>
      <c r="E43" s="28"/>
      <c r="F43" s="27"/>
      <c r="G43" s="28"/>
      <c r="H43" s="27"/>
      <c r="I43" s="28"/>
      <c r="J43" s="27">
        <v>6</v>
      </c>
      <c r="K43" s="29" t="s">
        <v>35</v>
      </c>
      <c r="L43" s="39"/>
      <c r="M43" s="31"/>
      <c r="N43" s="27" t="s">
        <v>240</v>
      </c>
      <c r="O43" s="307"/>
      <c r="P43" s="32"/>
      <c r="Q43" s="25"/>
      <c r="R43" s="27"/>
      <c r="S43" s="27"/>
      <c r="T43" s="28"/>
      <c r="U43" s="27"/>
      <c r="V43" s="27" t="s">
        <v>154</v>
      </c>
      <c r="W43" s="28"/>
      <c r="X43" s="33"/>
      <c r="Y43" s="32"/>
      <c r="Z43" s="25"/>
      <c r="AA43" s="27"/>
      <c r="AB43" s="28"/>
      <c r="AC43" s="27"/>
      <c r="AD43" s="27"/>
      <c r="AE43" s="33"/>
      <c r="AG43" s="25"/>
      <c r="AH43" s="34"/>
      <c r="AI43" s="27">
        <v>0.1</v>
      </c>
      <c r="AJ43" s="27">
        <v>0.1</v>
      </c>
      <c r="AK43" s="27">
        <v>0.1</v>
      </c>
      <c r="AL43" s="25"/>
      <c r="AM43" s="34"/>
      <c r="AN43" s="27">
        <v>2.5000000000000001E-2</v>
      </c>
      <c r="AO43" s="27"/>
      <c r="AP43" s="36">
        <v>2.5000000000000001E-2</v>
      </c>
      <c r="AQ43" s="82" t="s">
        <v>292</v>
      </c>
      <c r="AR43" s="32" t="s">
        <v>352</v>
      </c>
      <c r="AS43" s="25" t="s">
        <v>72</v>
      </c>
      <c r="AT43" s="27" t="s">
        <v>52</v>
      </c>
      <c r="AU43" s="27"/>
      <c r="AW43" s="25"/>
      <c r="AX43" s="27"/>
      <c r="AY43" s="27"/>
      <c r="AZ43" s="32"/>
      <c r="BA43" s="41">
        <v>71</v>
      </c>
    </row>
    <row r="44" spans="1:54" x14ac:dyDescent="0.2">
      <c r="A44" s="25">
        <v>28</v>
      </c>
      <c r="B44" s="26">
        <v>45460</v>
      </c>
      <c r="C44" s="27" t="s">
        <v>232</v>
      </c>
      <c r="D44" s="25"/>
      <c r="E44" s="28"/>
      <c r="F44" s="27"/>
      <c r="G44" s="28"/>
      <c r="H44" s="27"/>
      <c r="I44" s="28"/>
      <c r="J44" s="27">
        <v>6</v>
      </c>
      <c r="K44" s="29" t="s">
        <v>35</v>
      </c>
      <c r="L44" s="39"/>
      <c r="M44" s="31"/>
      <c r="N44" s="27" t="s">
        <v>240</v>
      </c>
      <c r="O44" s="307"/>
      <c r="P44" s="32"/>
      <c r="Q44" s="25"/>
      <c r="R44" s="27"/>
      <c r="S44" s="27"/>
      <c r="T44" s="28"/>
      <c r="U44" s="27"/>
      <c r="V44" s="27" t="s">
        <v>154</v>
      </c>
      <c r="W44" s="28"/>
      <c r="Y44" s="32"/>
      <c r="Z44" s="25"/>
      <c r="AA44" s="27"/>
      <c r="AB44" s="28"/>
      <c r="AC44" s="27"/>
      <c r="AD44" s="27"/>
      <c r="AE44" s="33"/>
      <c r="AG44" s="25"/>
      <c r="AH44" s="34"/>
      <c r="AI44" s="27">
        <v>0.1</v>
      </c>
      <c r="AJ44" s="27">
        <v>0.1</v>
      </c>
      <c r="AK44" s="27">
        <v>0.1</v>
      </c>
      <c r="AL44" s="25"/>
      <c r="AM44" s="34"/>
      <c r="AN44" s="27">
        <v>2.5000000000000001E-2</v>
      </c>
      <c r="AO44" s="27"/>
      <c r="AP44" s="36">
        <v>2.5000000000000001E-2</v>
      </c>
      <c r="AR44" s="32" t="s">
        <v>293</v>
      </c>
      <c r="AS44" s="25" t="s">
        <v>72</v>
      </c>
      <c r="AT44" s="27" t="s">
        <v>52</v>
      </c>
      <c r="AU44" s="27"/>
      <c r="AW44" s="25"/>
      <c r="AX44" s="27"/>
      <c r="AY44" s="27"/>
      <c r="AZ44" s="32"/>
      <c r="BA44" s="41">
        <v>42</v>
      </c>
    </row>
    <row r="45" spans="1:54" ht="17.25" customHeight="1" thickBot="1" x14ac:dyDescent="0.25">
      <c r="A45" s="25">
        <v>29</v>
      </c>
      <c r="B45" s="26">
        <v>45461</v>
      </c>
      <c r="C45" s="27" t="s">
        <v>232</v>
      </c>
      <c r="D45" s="25"/>
      <c r="E45" s="28"/>
      <c r="F45" s="27"/>
      <c r="G45" s="28"/>
      <c r="H45" s="27"/>
      <c r="I45" s="28"/>
      <c r="J45" s="27">
        <v>6</v>
      </c>
      <c r="K45" s="29" t="s">
        <v>345</v>
      </c>
      <c r="L45" s="39"/>
      <c r="M45" s="31"/>
      <c r="N45" s="27" t="s">
        <v>240</v>
      </c>
      <c r="O45" s="307"/>
      <c r="P45" s="32"/>
      <c r="Q45" s="25"/>
      <c r="R45" s="27"/>
      <c r="S45" s="27"/>
      <c r="T45" s="28"/>
      <c r="U45" s="27"/>
      <c r="V45" s="27" t="s">
        <v>154</v>
      </c>
      <c r="W45" s="28"/>
      <c r="X45" s="33"/>
      <c r="Y45" s="32"/>
      <c r="Z45" s="25"/>
      <c r="AA45" s="27"/>
      <c r="AB45" s="28"/>
      <c r="AC45" s="27"/>
      <c r="AD45" s="27"/>
      <c r="AE45" s="33"/>
      <c r="AG45" s="25"/>
      <c r="AH45" s="34"/>
      <c r="AI45" s="27">
        <v>0.1</v>
      </c>
      <c r="AJ45" s="27">
        <v>0.1</v>
      </c>
      <c r="AK45" s="27">
        <v>0.1</v>
      </c>
      <c r="AL45" s="25"/>
      <c r="AM45" s="34"/>
      <c r="AN45" s="27">
        <v>2.5000000000000001E-2</v>
      </c>
      <c r="AO45" s="27"/>
      <c r="AP45" s="36">
        <v>2.5000000000000001E-2</v>
      </c>
      <c r="AQ45" s="37"/>
      <c r="AR45" s="32" t="s">
        <v>293</v>
      </c>
      <c r="AS45" s="25" t="s">
        <v>72</v>
      </c>
      <c r="AT45" s="27" t="s">
        <v>52</v>
      </c>
      <c r="AU45" s="27"/>
      <c r="AW45" s="25"/>
      <c r="AX45" s="27"/>
      <c r="AY45" s="27"/>
      <c r="AZ45" s="32"/>
      <c r="BA45" s="41">
        <v>15</v>
      </c>
    </row>
    <row r="46" spans="1:54" s="87" customFormat="1" ht="16" thickBot="1" x14ac:dyDescent="0.25">
      <c r="A46" s="25">
        <v>30</v>
      </c>
      <c r="B46" s="26">
        <v>45462</v>
      </c>
      <c r="C46" s="27" t="s">
        <v>227</v>
      </c>
      <c r="D46" s="25"/>
      <c r="E46" s="28"/>
      <c r="F46" s="27"/>
      <c r="G46" s="28"/>
      <c r="H46" s="27"/>
      <c r="I46" s="28"/>
      <c r="J46" s="27">
        <v>6</v>
      </c>
      <c r="K46" s="29" t="s">
        <v>346</v>
      </c>
      <c r="L46" s="39"/>
      <c r="M46" s="31"/>
      <c r="N46" s="27" t="s">
        <v>240</v>
      </c>
      <c r="O46" s="307"/>
      <c r="Q46" s="83"/>
      <c r="R46" s="83"/>
      <c r="S46" s="83"/>
      <c r="T46" s="83"/>
      <c r="U46" s="83"/>
      <c r="V46" s="83" t="s">
        <v>154</v>
      </c>
      <c r="W46" s="83"/>
      <c r="X46" s="83"/>
      <c r="Z46" s="83"/>
      <c r="AA46" s="83"/>
      <c r="AB46" s="83"/>
      <c r="AC46" s="83"/>
      <c r="AD46" s="83"/>
      <c r="AE46" s="83"/>
      <c r="AG46" s="83"/>
      <c r="AH46" s="83"/>
      <c r="AI46" s="83">
        <v>0.1</v>
      </c>
      <c r="AJ46" s="83">
        <v>0.1</v>
      </c>
      <c r="AK46" s="83">
        <v>0.1</v>
      </c>
      <c r="AL46" s="83"/>
      <c r="AM46" s="83"/>
      <c r="AN46" s="83">
        <v>0.05</v>
      </c>
      <c r="AO46" s="83"/>
      <c r="AP46" s="83">
        <v>0.05</v>
      </c>
      <c r="AR46" s="190" t="s">
        <v>294</v>
      </c>
      <c r="AS46" s="83" t="s">
        <v>72</v>
      </c>
      <c r="AT46" s="83" t="s">
        <v>52</v>
      </c>
      <c r="AU46" s="83"/>
      <c r="AW46" s="83"/>
      <c r="AX46" s="83"/>
      <c r="AY46" s="83"/>
      <c r="BA46" s="83">
        <v>17</v>
      </c>
    </row>
    <row r="47" spans="1:54" x14ac:dyDescent="0.2">
      <c r="A47" s="25">
        <v>31</v>
      </c>
      <c r="B47" s="26">
        <v>45463</v>
      </c>
      <c r="C47" s="27" t="s">
        <v>227</v>
      </c>
      <c r="D47" s="25"/>
      <c r="E47" s="28"/>
      <c r="F47" s="27"/>
      <c r="G47" s="28"/>
      <c r="H47" s="27"/>
      <c r="I47" s="28"/>
      <c r="J47" s="202">
        <v>45357</v>
      </c>
      <c r="K47" s="29" t="s">
        <v>347</v>
      </c>
      <c r="L47" s="39"/>
      <c r="M47" s="31"/>
      <c r="N47" s="27" t="s">
        <v>272</v>
      </c>
      <c r="O47" s="307"/>
      <c r="P47" s="32" t="s">
        <v>511</v>
      </c>
      <c r="Q47" s="25"/>
      <c r="R47" s="27"/>
      <c r="S47" s="27"/>
      <c r="T47" s="28"/>
      <c r="U47" s="27"/>
      <c r="V47" s="27" t="s">
        <v>154</v>
      </c>
      <c r="W47" s="28"/>
      <c r="X47" s="33"/>
      <c r="Y47" s="32"/>
      <c r="Z47" s="25"/>
      <c r="AA47" s="27"/>
      <c r="AB47" s="28"/>
      <c r="AC47" s="27"/>
      <c r="AD47" s="27"/>
      <c r="AE47" s="33"/>
      <c r="AG47" s="25"/>
      <c r="AH47" s="34"/>
      <c r="AI47" s="27">
        <v>0.1</v>
      </c>
      <c r="AJ47" s="27">
        <v>0.1</v>
      </c>
      <c r="AK47" s="27">
        <v>0.1</v>
      </c>
      <c r="AL47" s="25"/>
      <c r="AM47" s="34"/>
      <c r="AN47" s="27">
        <v>0.1</v>
      </c>
      <c r="AO47" s="27"/>
      <c r="AP47" s="36">
        <v>0.1</v>
      </c>
      <c r="AQ47" s="37"/>
      <c r="AR47" s="66"/>
      <c r="AS47" s="25" t="s">
        <v>72</v>
      </c>
      <c r="AT47" s="27" t="s">
        <v>52</v>
      </c>
      <c r="AU47" s="27"/>
      <c r="AW47" s="25"/>
      <c r="AX47" s="27"/>
      <c r="AY47" s="27"/>
      <c r="AZ47" s="32"/>
      <c r="BA47" s="41">
        <v>10</v>
      </c>
    </row>
    <row r="48" spans="1:54" x14ac:dyDescent="0.2">
      <c r="A48" s="25">
        <v>32</v>
      </c>
      <c r="B48" s="26">
        <v>45464</v>
      </c>
      <c r="C48" s="27" t="s">
        <v>200</v>
      </c>
      <c r="D48" s="25"/>
      <c r="E48" s="28"/>
      <c r="F48" s="27"/>
      <c r="G48" s="28"/>
      <c r="H48" s="27"/>
      <c r="I48" s="28"/>
      <c r="J48" s="202">
        <v>45357</v>
      </c>
      <c r="K48" s="29" t="s">
        <v>35</v>
      </c>
      <c r="L48" s="39"/>
      <c r="M48" s="31"/>
      <c r="N48" s="27" t="s">
        <v>272</v>
      </c>
      <c r="O48" s="307"/>
      <c r="P48" s="32"/>
      <c r="Q48" s="25"/>
      <c r="R48" s="27"/>
      <c r="S48" s="27"/>
      <c r="T48" s="28"/>
      <c r="U48" s="27"/>
      <c r="V48" s="27" t="s">
        <v>154</v>
      </c>
      <c r="W48" s="28"/>
      <c r="X48" s="33"/>
      <c r="Y48" s="32"/>
      <c r="Z48" s="25"/>
      <c r="AA48" s="27"/>
      <c r="AB48" s="28"/>
      <c r="AC48" s="27"/>
      <c r="AD48" s="27"/>
      <c r="AE48" s="33"/>
      <c r="AG48" s="25"/>
      <c r="AH48" s="34"/>
      <c r="AI48" s="27">
        <v>0.1</v>
      </c>
      <c r="AJ48" s="27"/>
      <c r="AK48" s="27" t="s">
        <v>501</v>
      </c>
      <c r="AL48" s="25"/>
      <c r="AM48" s="34"/>
      <c r="AN48" s="27">
        <v>0.1</v>
      </c>
      <c r="AO48" s="27">
        <v>0.1</v>
      </c>
      <c r="AP48" s="36">
        <v>0.1</v>
      </c>
      <c r="AQ48" s="37"/>
      <c r="AR48" s="32"/>
      <c r="AS48" s="25" t="s">
        <v>72</v>
      </c>
      <c r="AT48" s="27" t="s">
        <v>52</v>
      </c>
      <c r="AU48" s="27"/>
      <c r="AW48" s="25" t="s">
        <v>513</v>
      </c>
      <c r="AX48" s="27" t="s">
        <v>95</v>
      </c>
      <c r="AY48" s="27"/>
      <c r="AZ48" s="32"/>
      <c r="BA48" s="41">
        <v>8</v>
      </c>
    </row>
    <row r="49" spans="1:53" x14ac:dyDescent="0.2">
      <c r="A49" s="25">
        <v>33</v>
      </c>
      <c r="B49" s="26">
        <v>45465</v>
      </c>
      <c r="C49" s="27" t="s">
        <v>200</v>
      </c>
      <c r="D49" s="25"/>
      <c r="E49" s="28"/>
      <c r="F49" s="27"/>
      <c r="G49" s="28"/>
      <c r="H49" s="27"/>
      <c r="I49" s="28"/>
      <c r="J49" s="202">
        <v>45357</v>
      </c>
      <c r="K49" s="29" t="s">
        <v>35</v>
      </c>
      <c r="L49" s="39" t="s">
        <v>512</v>
      </c>
      <c r="M49" s="31"/>
      <c r="N49" s="27" t="s">
        <v>272</v>
      </c>
      <c r="O49" s="307"/>
      <c r="P49" s="32"/>
      <c r="Q49" s="25"/>
      <c r="R49" s="27"/>
      <c r="S49" s="27"/>
      <c r="T49" s="28"/>
      <c r="U49" s="27"/>
      <c r="V49" s="27" t="s">
        <v>154</v>
      </c>
      <c r="W49" s="28"/>
      <c r="X49" s="33"/>
      <c r="Y49" s="32"/>
      <c r="Z49" s="25"/>
      <c r="AA49" s="27"/>
      <c r="AB49" s="28"/>
      <c r="AC49" s="27"/>
      <c r="AD49" s="27"/>
      <c r="AE49" s="33"/>
      <c r="AG49" s="25"/>
      <c r="AH49" s="34"/>
      <c r="AI49" s="27">
        <v>2.5000000000000001E-2</v>
      </c>
      <c r="AJ49" s="27"/>
      <c r="AK49" s="27">
        <v>2.5000000000000001E-2</v>
      </c>
      <c r="AL49" s="25"/>
      <c r="AM49" s="34"/>
      <c r="AN49" s="27">
        <v>0.1</v>
      </c>
      <c r="AO49" s="27">
        <v>0.1</v>
      </c>
      <c r="AP49" s="36">
        <v>0.1</v>
      </c>
      <c r="AQ49" s="37"/>
      <c r="AR49" s="32"/>
      <c r="AS49" s="25" t="s">
        <v>72</v>
      </c>
      <c r="AT49" s="27" t="s">
        <v>52</v>
      </c>
      <c r="AW49" s="25" t="s">
        <v>513</v>
      </c>
      <c r="AX49" s="27" t="s">
        <v>95</v>
      </c>
      <c r="AY49" s="27"/>
      <c r="AZ49" s="32"/>
      <c r="BA49" s="41">
        <v>4</v>
      </c>
    </row>
    <row r="50" spans="1:53" ht="16" thickBot="1" x14ac:dyDescent="0.25">
      <c r="A50" s="25">
        <v>34</v>
      </c>
      <c r="B50" s="26">
        <v>45466</v>
      </c>
      <c r="C50" s="27" t="s">
        <v>232</v>
      </c>
      <c r="D50" s="25"/>
      <c r="E50" s="28"/>
      <c r="F50" s="27"/>
      <c r="G50" s="28"/>
      <c r="H50" s="27"/>
      <c r="I50" s="28"/>
      <c r="J50" s="202">
        <v>45357</v>
      </c>
      <c r="K50" s="29" t="s">
        <v>35</v>
      </c>
      <c r="L50" s="39"/>
      <c r="M50" s="31"/>
      <c r="N50" s="27" t="s">
        <v>272</v>
      </c>
      <c r="O50" s="307"/>
      <c r="P50" s="32"/>
      <c r="Q50" s="25"/>
      <c r="R50" s="27"/>
      <c r="S50" s="27"/>
      <c r="T50" s="28"/>
      <c r="U50" s="27"/>
      <c r="V50" s="27" t="s">
        <v>154</v>
      </c>
      <c r="W50" s="28"/>
      <c r="X50" s="33"/>
      <c r="Y50" s="32"/>
      <c r="Z50" s="25"/>
      <c r="AA50" s="27"/>
      <c r="AB50" s="28"/>
      <c r="AC50" s="27"/>
      <c r="AD50" s="27"/>
      <c r="AE50" s="33"/>
      <c r="AG50" s="25"/>
      <c r="AH50" s="34"/>
      <c r="AI50" s="27">
        <v>2.5000000000000001E-2</v>
      </c>
      <c r="AJ50" s="27"/>
      <c r="AK50" s="27">
        <v>2.5000000000000001E-2</v>
      </c>
      <c r="AL50" s="25"/>
      <c r="AM50" s="34"/>
      <c r="AN50" s="27">
        <v>0.1</v>
      </c>
      <c r="AO50" s="27">
        <v>0.1</v>
      </c>
      <c r="AP50" s="36">
        <v>0.1</v>
      </c>
      <c r="AQ50" s="37"/>
      <c r="AR50" s="32"/>
      <c r="AS50" s="25" t="s">
        <v>72</v>
      </c>
      <c r="AT50" s="27" t="s">
        <v>52</v>
      </c>
      <c r="AU50" s="27"/>
      <c r="AW50" s="25" t="s">
        <v>513</v>
      </c>
      <c r="AX50" s="27" t="s">
        <v>91</v>
      </c>
      <c r="AY50" s="27"/>
      <c r="AZ50" s="32"/>
      <c r="BA50" s="41">
        <v>5</v>
      </c>
    </row>
    <row r="51" spans="1:53" ht="16" thickBot="1" x14ac:dyDescent="0.25">
      <c r="A51" s="25">
        <v>35</v>
      </c>
      <c r="B51" s="26">
        <v>45467</v>
      </c>
      <c r="C51" s="27" t="s">
        <v>232</v>
      </c>
      <c r="D51" s="25"/>
      <c r="E51" s="28"/>
      <c r="F51" s="27"/>
      <c r="G51" s="28"/>
      <c r="H51" s="27"/>
      <c r="I51" s="28"/>
      <c r="J51" s="202">
        <v>45357</v>
      </c>
      <c r="K51" s="29" t="s">
        <v>35</v>
      </c>
      <c r="L51" s="39"/>
      <c r="M51" s="31"/>
      <c r="N51" s="27" t="s">
        <v>272</v>
      </c>
      <c r="O51" s="307"/>
      <c r="P51" s="32"/>
      <c r="Q51" s="25"/>
      <c r="R51" s="27"/>
      <c r="S51" s="27"/>
      <c r="T51" s="28"/>
      <c r="U51" s="27"/>
      <c r="V51" s="27" t="s">
        <v>154</v>
      </c>
      <c r="W51" s="28"/>
      <c r="X51" s="33"/>
      <c r="Y51" s="32"/>
      <c r="Z51" s="25"/>
      <c r="AA51" s="27"/>
      <c r="AB51" s="28"/>
      <c r="AC51" s="27"/>
      <c r="AD51" s="27"/>
      <c r="AE51" s="33"/>
      <c r="AG51" s="25"/>
      <c r="AH51" s="34"/>
      <c r="AI51" s="27">
        <v>2.5000000000000001E-2</v>
      </c>
      <c r="AJ51" s="27"/>
      <c r="AK51" s="27">
        <v>2.5000000000000001E-2</v>
      </c>
      <c r="AL51" s="25"/>
      <c r="AM51" s="34"/>
      <c r="AN51" s="27">
        <v>0.1</v>
      </c>
      <c r="AO51" s="27">
        <v>0.1</v>
      </c>
      <c r="AP51" s="36">
        <v>0.1</v>
      </c>
      <c r="AQ51" s="37"/>
      <c r="AR51" s="32"/>
      <c r="AS51" s="25" t="s">
        <v>72</v>
      </c>
      <c r="AT51" s="27" t="s">
        <v>52</v>
      </c>
      <c r="AU51" s="58" t="s">
        <v>77</v>
      </c>
      <c r="AV51" s="27" t="s">
        <v>514</v>
      </c>
      <c r="AW51" s="27" t="s">
        <v>325</v>
      </c>
      <c r="AX51" s="27" t="s">
        <v>91</v>
      </c>
      <c r="AY51" s="27"/>
      <c r="AZ51" s="32"/>
      <c r="BA51" s="41">
        <v>4</v>
      </c>
    </row>
    <row r="52" spans="1:53" ht="16" thickBot="1" x14ac:dyDescent="0.25">
      <c r="A52" s="25">
        <v>36</v>
      </c>
      <c r="B52" s="26">
        <v>45468</v>
      </c>
      <c r="C52" s="27" t="s">
        <v>200</v>
      </c>
      <c r="D52" s="25"/>
      <c r="E52" s="28"/>
      <c r="F52" s="27"/>
      <c r="G52" s="28"/>
      <c r="H52" s="27"/>
      <c r="I52" s="28"/>
      <c r="J52" s="202">
        <v>45357</v>
      </c>
      <c r="K52" s="29" t="s">
        <v>35</v>
      </c>
      <c r="L52" s="53"/>
      <c r="M52" s="31"/>
      <c r="N52" s="27" t="s">
        <v>272</v>
      </c>
      <c r="O52" s="307"/>
      <c r="P52" s="32"/>
      <c r="Q52" s="25"/>
      <c r="R52" s="27"/>
      <c r="S52" s="27"/>
      <c r="T52" s="28"/>
      <c r="U52" s="27"/>
      <c r="V52" s="27" t="s">
        <v>154</v>
      </c>
      <c r="W52" s="28"/>
      <c r="X52" s="33"/>
      <c r="Y52" s="32"/>
      <c r="Z52" s="25"/>
      <c r="AA52" s="27"/>
      <c r="AB52" s="28"/>
      <c r="AC52" s="27"/>
      <c r="AD52" s="27"/>
      <c r="AE52" s="33"/>
      <c r="AG52" s="25"/>
      <c r="AH52" s="34"/>
      <c r="AI52" s="27"/>
      <c r="AJ52" s="27"/>
      <c r="AK52" s="27"/>
      <c r="AL52" s="25"/>
      <c r="AM52" s="34"/>
      <c r="AN52" s="27">
        <v>0.1</v>
      </c>
      <c r="AO52" s="27">
        <v>0.1</v>
      </c>
      <c r="AP52" s="36">
        <v>0.1</v>
      </c>
      <c r="AQ52" s="37"/>
      <c r="AR52" s="32"/>
      <c r="AS52" s="25" t="s">
        <v>72</v>
      </c>
      <c r="AT52" s="27" t="s">
        <v>52</v>
      </c>
      <c r="AW52" s="27" t="s">
        <v>325</v>
      </c>
      <c r="AX52" s="27" t="s">
        <v>91</v>
      </c>
      <c r="AY52" s="27"/>
      <c r="AZ52" s="32"/>
      <c r="BA52" s="41">
        <v>4</v>
      </c>
    </row>
    <row r="53" spans="1:53" ht="16" thickBot="1" x14ac:dyDescent="0.25">
      <c r="A53" s="25">
        <v>37</v>
      </c>
      <c r="B53" s="26">
        <v>45469</v>
      </c>
      <c r="C53" s="27" t="s">
        <v>227</v>
      </c>
      <c r="D53" s="25"/>
      <c r="E53" s="28"/>
      <c r="F53" s="27"/>
      <c r="G53" s="28"/>
      <c r="H53" s="27"/>
      <c r="I53" s="28"/>
      <c r="J53" s="202">
        <v>45357</v>
      </c>
      <c r="K53" s="29" t="s">
        <v>35</v>
      </c>
      <c r="L53" s="53" t="s">
        <v>517</v>
      </c>
      <c r="M53" s="31"/>
      <c r="N53" s="27" t="s">
        <v>272</v>
      </c>
      <c r="O53" s="307"/>
      <c r="P53" s="32"/>
      <c r="Q53" s="25"/>
      <c r="R53" s="27"/>
      <c r="S53" s="27"/>
      <c r="T53" s="28"/>
      <c r="U53" s="27"/>
      <c r="V53" s="27" t="s">
        <v>154</v>
      </c>
      <c r="W53" s="28"/>
      <c r="X53" s="33"/>
      <c r="Y53" s="32"/>
      <c r="Z53" s="59"/>
      <c r="AA53" s="60"/>
      <c r="AB53" s="61"/>
      <c r="AC53" s="27"/>
      <c r="AD53" s="27"/>
      <c r="AE53" s="33"/>
      <c r="AG53" s="25"/>
      <c r="AH53" s="34"/>
      <c r="AI53" s="27"/>
      <c r="AJ53" s="27"/>
      <c r="AK53" s="27"/>
      <c r="AL53" s="25"/>
      <c r="AM53" s="34"/>
      <c r="AN53" s="27">
        <v>0.1</v>
      </c>
      <c r="AO53" s="27">
        <v>0.1</v>
      </c>
      <c r="AP53" s="36">
        <v>0.1</v>
      </c>
      <c r="AQ53" s="37"/>
      <c r="AR53" s="32" t="s">
        <v>489</v>
      </c>
      <c r="AS53" s="25" t="s">
        <v>72</v>
      </c>
      <c r="AT53" s="27" t="s">
        <v>52</v>
      </c>
      <c r="AU53" s="27"/>
      <c r="AW53" s="27" t="s">
        <v>325</v>
      </c>
      <c r="AX53" s="27" t="s">
        <v>91</v>
      </c>
      <c r="AY53" s="27"/>
      <c r="AZ53" s="32"/>
      <c r="BA53" s="41">
        <v>7</v>
      </c>
    </row>
    <row r="54" spans="1:53" x14ac:dyDescent="0.2">
      <c r="A54" s="25">
        <v>38</v>
      </c>
      <c r="B54" s="26">
        <v>45470</v>
      </c>
      <c r="C54" s="27" t="s">
        <v>227</v>
      </c>
      <c r="D54" s="25"/>
      <c r="E54" s="28"/>
      <c r="F54" s="27"/>
      <c r="G54" s="28"/>
      <c r="H54" s="27"/>
      <c r="I54" s="28"/>
      <c r="J54" s="202">
        <v>45357</v>
      </c>
      <c r="K54" s="29" t="s">
        <v>35</v>
      </c>
      <c r="L54" s="39" t="s">
        <v>519</v>
      </c>
      <c r="M54" s="31" t="s">
        <v>518</v>
      </c>
      <c r="N54" s="27" t="s">
        <v>272</v>
      </c>
      <c r="O54" s="307"/>
      <c r="P54" s="32"/>
      <c r="Q54" s="25"/>
      <c r="R54" s="27"/>
      <c r="S54" s="27"/>
      <c r="T54" s="28"/>
      <c r="U54" s="27"/>
      <c r="V54" s="27" t="s">
        <v>154</v>
      </c>
      <c r="W54" s="28"/>
      <c r="X54" s="33"/>
      <c r="Y54" s="32"/>
      <c r="Z54" s="25"/>
      <c r="AA54" s="27"/>
      <c r="AB54" s="28"/>
      <c r="AC54" s="27"/>
      <c r="AD54" s="27"/>
      <c r="AE54" s="33"/>
      <c r="AG54" s="25"/>
      <c r="AH54" s="34"/>
      <c r="AI54" s="27"/>
      <c r="AJ54" s="27"/>
      <c r="AK54" s="27"/>
      <c r="AL54" s="25"/>
      <c r="AM54" s="34"/>
      <c r="AN54" s="27">
        <v>0.1</v>
      </c>
      <c r="AO54" s="27">
        <v>0.1</v>
      </c>
      <c r="AP54" s="36">
        <v>0.1</v>
      </c>
      <c r="AQ54" s="37"/>
      <c r="AR54" s="32"/>
      <c r="AS54" s="25" t="s">
        <v>72</v>
      </c>
      <c r="AT54" s="27" t="s">
        <v>52</v>
      </c>
      <c r="AU54" s="27"/>
      <c r="AW54" s="27" t="s">
        <v>325</v>
      </c>
      <c r="AX54" s="27" t="s">
        <v>91</v>
      </c>
      <c r="AY54" s="27"/>
      <c r="AZ54" s="32"/>
      <c r="BA54" s="41">
        <v>18</v>
      </c>
    </row>
    <row r="55" spans="1:53" ht="16" thickBot="1" x14ac:dyDescent="0.25">
      <c r="A55" s="25">
        <v>39</v>
      </c>
      <c r="B55" s="26">
        <v>45471</v>
      </c>
      <c r="C55" s="27" t="s">
        <v>200</v>
      </c>
      <c r="D55" s="25"/>
      <c r="E55" s="28"/>
      <c r="F55" s="27"/>
      <c r="G55" s="28"/>
      <c r="H55" s="27"/>
      <c r="I55" s="28"/>
      <c r="J55" s="202">
        <v>45357</v>
      </c>
      <c r="K55" s="29" t="s">
        <v>35</v>
      </c>
      <c r="L55" t="s">
        <v>521</v>
      </c>
      <c r="M55" s="31"/>
      <c r="N55" s="27" t="s">
        <v>272</v>
      </c>
      <c r="O55" s="307"/>
      <c r="P55" s="32"/>
      <c r="Q55" s="25"/>
      <c r="R55" s="27"/>
      <c r="S55" s="27"/>
      <c r="T55" s="28"/>
      <c r="U55" s="27"/>
      <c r="V55" s="27" t="s">
        <v>154</v>
      </c>
      <c r="W55" s="28"/>
      <c r="X55" s="33"/>
      <c r="Y55" s="32"/>
      <c r="Z55" s="25"/>
      <c r="AA55" s="27"/>
      <c r="AB55" s="28"/>
      <c r="AC55" s="27"/>
      <c r="AD55" s="27"/>
      <c r="AE55" s="33"/>
      <c r="AG55" s="25"/>
      <c r="AH55" s="34"/>
      <c r="AI55" s="27"/>
      <c r="AJ55" s="27"/>
      <c r="AK55" s="27"/>
      <c r="AL55" s="25"/>
      <c r="AM55" s="34"/>
      <c r="AN55" s="27">
        <v>0.1</v>
      </c>
      <c r="AO55" s="27">
        <v>0.1</v>
      </c>
      <c r="AP55" s="36">
        <v>0.1</v>
      </c>
      <c r="AQ55" s="37"/>
      <c r="AR55" s="32"/>
      <c r="AS55" s="25" t="s">
        <v>72</v>
      </c>
      <c r="AT55" s="27" t="s">
        <v>52</v>
      </c>
      <c r="AU55" s="27"/>
      <c r="AW55" s="27" t="s">
        <v>325</v>
      </c>
      <c r="AX55" s="27" t="s">
        <v>91</v>
      </c>
      <c r="AY55" s="27"/>
      <c r="AZ55" s="32"/>
      <c r="BA55" s="41">
        <v>13</v>
      </c>
    </row>
    <row r="56" spans="1:53" ht="16" thickBot="1" x14ac:dyDescent="0.25">
      <c r="A56" s="25">
        <v>40</v>
      </c>
      <c r="B56" s="26">
        <v>45472</v>
      </c>
      <c r="C56" s="27" t="s">
        <v>200</v>
      </c>
      <c r="D56" s="25"/>
      <c r="E56" s="28"/>
      <c r="F56" s="27"/>
      <c r="G56" s="28"/>
      <c r="H56" s="27"/>
      <c r="I56" s="28"/>
      <c r="J56" s="202">
        <v>45357</v>
      </c>
      <c r="K56" s="29" t="s">
        <v>35</v>
      </c>
      <c r="L56" s="53"/>
      <c r="M56" s="31"/>
      <c r="N56" s="27" t="s">
        <v>272</v>
      </c>
      <c r="O56" s="308"/>
      <c r="Q56" s="25"/>
      <c r="R56" s="27"/>
      <c r="S56" s="27"/>
      <c r="T56" s="28"/>
      <c r="U56" s="27"/>
      <c r="V56" s="27" t="s">
        <v>154</v>
      </c>
      <c r="W56" s="28"/>
      <c r="X56" s="33"/>
      <c r="Y56" s="32"/>
      <c r="Z56" s="59"/>
      <c r="AA56" s="60"/>
      <c r="AB56" s="61"/>
      <c r="AC56" s="27"/>
      <c r="AD56" s="27"/>
      <c r="AE56" s="33"/>
      <c r="AG56" s="25"/>
      <c r="AH56" s="34"/>
      <c r="AI56" s="27"/>
      <c r="AJ56" s="27"/>
      <c r="AK56" s="27"/>
      <c r="AL56" s="25"/>
      <c r="AM56" s="34"/>
      <c r="AN56" s="27">
        <v>0.1</v>
      </c>
      <c r="AO56" s="27">
        <v>0.1</v>
      </c>
      <c r="AP56" s="36">
        <v>0.1</v>
      </c>
      <c r="AQ56" s="37" t="s">
        <v>522</v>
      </c>
      <c r="AR56" s="32"/>
      <c r="AS56" s="25" t="s">
        <v>79</v>
      </c>
      <c r="AT56" s="27" t="s">
        <v>52</v>
      </c>
      <c r="AU56" s="58" t="s">
        <v>80</v>
      </c>
      <c r="AW56" s="27" t="s">
        <v>325</v>
      </c>
      <c r="AX56" s="27" t="s">
        <v>91</v>
      </c>
      <c r="AY56" s="27"/>
      <c r="AZ56" s="32"/>
      <c r="BA56" s="41">
        <v>6</v>
      </c>
    </row>
    <row r="57" spans="1:53" x14ac:dyDescent="0.2">
      <c r="A57" s="25">
        <v>41</v>
      </c>
      <c r="B57" s="26">
        <v>45473</v>
      </c>
      <c r="C57" s="27" t="s">
        <v>232</v>
      </c>
      <c r="D57" s="25"/>
      <c r="E57" s="28"/>
      <c r="F57" s="27"/>
      <c r="G57" s="28"/>
      <c r="H57" s="27"/>
      <c r="I57" s="28"/>
      <c r="J57" s="202">
        <v>45357</v>
      </c>
      <c r="K57" s="29" t="s">
        <v>35</v>
      </c>
      <c r="M57" s="31"/>
      <c r="N57" s="27" t="s">
        <v>272</v>
      </c>
      <c r="P57" s="32"/>
      <c r="Q57" s="25"/>
      <c r="R57" s="27"/>
      <c r="S57" s="27"/>
      <c r="T57" s="28"/>
      <c r="U57" s="27"/>
      <c r="V57" s="27" t="s">
        <v>154</v>
      </c>
      <c r="W57" s="28"/>
      <c r="X57" s="33"/>
      <c r="Y57" s="32"/>
      <c r="Z57" s="25"/>
      <c r="AA57" s="27"/>
      <c r="AB57" s="28"/>
      <c r="AC57" s="27"/>
      <c r="AD57" s="27"/>
      <c r="AE57" s="33"/>
      <c r="AG57" s="25"/>
      <c r="AH57" s="34"/>
      <c r="AI57" s="27"/>
      <c r="AJ57" s="27"/>
      <c r="AK57" s="27"/>
      <c r="AL57" s="25"/>
      <c r="AM57" s="34"/>
      <c r="AN57" s="27">
        <v>0.1</v>
      </c>
      <c r="AO57" s="27">
        <v>0.1</v>
      </c>
      <c r="AP57" s="36">
        <v>0.1</v>
      </c>
      <c r="AQ57" s="37"/>
      <c r="AR57" s="32"/>
      <c r="AS57" s="25" t="s">
        <v>79</v>
      </c>
      <c r="AT57" s="27" t="s">
        <v>52</v>
      </c>
      <c r="AU57" s="27"/>
      <c r="AW57" s="27" t="s">
        <v>325</v>
      </c>
      <c r="AX57" s="27" t="s">
        <v>91</v>
      </c>
      <c r="AY57" s="27"/>
      <c r="AZ57" s="32"/>
      <c r="BA57" s="41">
        <v>11</v>
      </c>
    </row>
    <row r="58" spans="1:53" x14ac:dyDescent="0.2">
      <c r="A58" s="25">
        <v>42</v>
      </c>
      <c r="B58" s="26">
        <v>45474</v>
      </c>
      <c r="C58" s="27" t="s">
        <v>112</v>
      </c>
      <c r="D58" s="25"/>
      <c r="E58" s="28"/>
      <c r="F58" s="27"/>
      <c r="G58" s="28"/>
      <c r="H58" s="27"/>
      <c r="I58" s="28"/>
      <c r="J58" s="202">
        <v>45357</v>
      </c>
      <c r="K58" s="29" t="s">
        <v>35</v>
      </c>
      <c r="L58" s="39"/>
      <c r="M58" s="31"/>
      <c r="N58" s="27" t="s">
        <v>272</v>
      </c>
      <c r="P58" s="32"/>
      <c r="Q58" s="25"/>
      <c r="R58" s="27"/>
      <c r="S58" s="27"/>
      <c r="T58" s="28"/>
      <c r="U58" s="27"/>
      <c r="V58" s="27" t="s">
        <v>154</v>
      </c>
      <c r="W58" s="28"/>
      <c r="X58" s="33"/>
      <c r="Y58" s="32"/>
      <c r="Z58" s="25"/>
      <c r="AA58" s="27"/>
      <c r="AB58" s="28"/>
      <c r="AC58" s="27"/>
      <c r="AD58" s="27"/>
      <c r="AE58" s="33"/>
      <c r="AG58" s="25"/>
      <c r="AH58" s="34"/>
      <c r="AI58" s="27"/>
      <c r="AJ58" s="27"/>
      <c r="AK58" s="27"/>
      <c r="AL58" s="25"/>
      <c r="AM58" s="34"/>
      <c r="AN58" s="27">
        <v>0.1</v>
      </c>
      <c r="AO58" s="27">
        <v>0.1</v>
      </c>
      <c r="AP58" s="36">
        <v>0.1</v>
      </c>
      <c r="AQ58" s="37"/>
      <c r="AR58" s="32"/>
      <c r="AS58" s="25" t="s">
        <v>79</v>
      </c>
      <c r="AT58" s="27" t="s">
        <v>52</v>
      </c>
      <c r="AU58" s="27"/>
      <c r="AW58" s="27" t="s">
        <v>325</v>
      </c>
      <c r="AX58" s="27" t="s">
        <v>91</v>
      </c>
      <c r="AY58" s="27"/>
      <c r="AZ58" s="32"/>
      <c r="BA58" s="41">
        <v>6</v>
      </c>
    </row>
    <row r="59" spans="1:53" ht="16" thickBot="1" x14ac:dyDescent="0.25">
      <c r="A59" s="25">
        <v>43</v>
      </c>
      <c r="B59" s="26">
        <v>45475</v>
      </c>
      <c r="C59" s="27" t="s">
        <v>227</v>
      </c>
      <c r="D59" s="25"/>
      <c r="E59" s="28"/>
      <c r="F59" s="27"/>
      <c r="G59" s="28"/>
      <c r="H59" s="27"/>
      <c r="I59" s="28"/>
      <c r="J59" s="202">
        <v>45357</v>
      </c>
      <c r="K59" s="29" t="s">
        <v>35</v>
      </c>
      <c r="L59" s="39"/>
      <c r="M59" s="31"/>
      <c r="N59" s="27" t="s">
        <v>272</v>
      </c>
      <c r="P59" s="32"/>
      <c r="Q59" s="25"/>
      <c r="R59" s="27"/>
      <c r="S59" s="27"/>
      <c r="T59" s="28"/>
      <c r="U59" s="27"/>
      <c r="V59" s="27" t="s">
        <v>154</v>
      </c>
      <c r="W59" s="28"/>
      <c r="X59" s="33"/>
      <c r="Y59" s="32"/>
      <c r="Z59" s="25"/>
      <c r="AA59" s="27"/>
      <c r="AB59" s="28"/>
      <c r="AC59" s="27"/>
      <c r="AD59" s="27"/>
      <c r="AE59" s="33"/>
      <c r="AG59" s="25"/>
      <c r="AH59" s="34"/>
      <c r="AI59" s="27"/>
      <c r="AJ59" s="27"/>
      <c r="AK59" s="27"/>
      <c r="AL59" s="25"/>
      <c r="AM59" s="34"/>
      <c r="AN59" s="27">
        <v>0.1</v>
      </c>
      <c r="AO59" s="27">
        <v>0.1</v>
      </c>
      <c r="AP59" s="36">
        <v>0.1</v>
      </c>
      <c r="AQ59" s="37"/>
      <c r="AR59" s="32"/>
      <c r="AS59" s="25" t="s">
        <v>79</v>
      </c>
      <c r="AT59" s="27" t="s">
        <v>52</v>
      </c>
      <c r="AU59" s="27"/>
      <c r="AW59" s="27" t="s">
        <v>325</v>
      </c>
      <c r="AX59" s="27" t="s">
        <v>91</v>
      </c>
      <c r="AY59" s="27"/>
      <c r="AZ59" s="32"/>
      <c r="BA59" s="41">
        <v>6</v>
      </c>
    </row>
    <row r="60" spans="1:53" ht="16" thickBot="1" x14ac:dyDescent="0.25">
      <c r="A60" s="25">
        <v>44</v>
      </c>
      <c r="B60" s="26">
        <v>45476</v>
      </c>
      <c r="C60" s="27" t="s">
        <v>227</v>
      </c>
      <c r="D60" s="25"/>
      <c r="E60" s="28"/>
      <c r="F60" s="27"/>
      <c r="G60" s="28"/>
      <c r="H60" s="27"/>
      <c r="I60" s="28"/>
      <c r="J60" s="202">
        <v>45357</v>
      </c>
      <c r="K60" s="29" t="s">
        <v>35</v>
      </c>
      <c r="L60" s="39"/>
      <c r="M60" s="31"/>
      <c r="N60" s="27" t="s">
        <v>272</v>
      </c>
      <c r="P60" s="32"/>
      <c r="Q60" s="27"/>
      <c r="R60" s="27"/>
      <c r="S60" s="27"/>
      <c r="T60" s="28"/>
      <c r="U60" s="27"/>
      <c r="V60" s="27" t="s">
        <v>154</v>
      </c>
      <c r="W60" s="28"/>
      <c r="X60" s="33"/>
      <c r="Y60" s="32"/>
      <c r="Z60" s="59"/>
      <c r="AA60" s="60"/>
      <c r="AB60" s="61"/>
      <c r="AC60" s="27"/>
      <c r="AD60" s="27"/>
      <c r="AE60" s="33"/>
      <c r="AG60" s="25"/>
      <c r="AH60" s="34"/>
      <c r="AI60" s="27"/>
      <c r="AJ60" s="27"/>
      <c r="AK60" s="27"/>
      <c r="AL60" s="25"/>
      <c r="AM60" s="34"/>
      <c r="AN60" s="27">
        <v>0.1</v>
      </c>
      <c r="AO60" s="27">
        <v>0.1</v>
      </c>
      <c r="AP60" s="36">
        <v>0.1</v>
      </c>
      <c r="AQ60" s="37"/>
      <c r="AR60" s="32"/>
      <c r="AS60" s="25" t="s">
        <v>79</v>
      </c>
      <c r="AT60" s="27" t="s">
        <v>52</v>
      </c>
      <c r="AU60" s="58" t="s">
        <v>81</v>
      </c>
      <c r="AV60" s="27" t="s">
        <v>510</v>
      </c>
      <c r="AW60" s="27" t="s">
        <v>325</v>
      </c>
      <c r="AX60" s="27" t="s">
        <v>303</v>
      </c>
      <c r="AY60" s="27"/>
      <c r="AZ60" s="32"/>
      <c r="BA60" s="41">
        <v>3</v>
      </c>
    </row>
    <row r="61" spans="1:53" x14ac:dyDescent="0.2">
      <c r="A61" s="25">
        <v>45</v>
      </c>
      <c r="B61" s="26">
        <v>45477</v>
      </c>
      <c r="C61" s="27" t="s">
        <v>227</v>
      </c>
      <c r="D61" s="25"/>
      <c r="E61" s="28"/>
      <c r="F61" s="27"/>
      <c r="G61" s="28"/>
      <c r="H61" s="27"/>
      <c r="I61" s="28"/>
      <c r="J61" s="202">
        <v>45357</v>
      </c>
      <c r="K61" s="29" t="s">
        <v>35</v>
      </c>
      <c r="L61" s="39"/>
      <c r="M61" s="31"/>
      <c r="N61" s="27" t="s">
        <v>272</v>
      </c>
      <c r="P61" s="32"/>
      <c r="Q61" s="25"/>
      <c r="R61" s="27"/>
      <c r="S61" s="27"/>
      <c r="T61" s="28"/>
      <c r="U61" s="27"/>
      <c r="V61" s="27" t="s">
        <v>154</v>
      </c>
      <c r="W61" s="28"/>
      <c r="X61" s="33"/>
      <c r="Y61" s="32"/>
      <c r="Z61" s="25"/>
      <c r="AA61" s="27"/>
      <c r="AB61" s="28"/>
      <c r="AC61" s="27"/>
      <c r="AD61" s="27"/>
      <c r="AE61" s="33"/>
      <c r="AG61" s="25"/>
      <c r="AH61" s="34"/>
      <c r="AI61" s="27"/>
      <c r="AJ61" s="27"/>
      <c r="AK61" s="27"/>
      <c r="AL61" s="25"/>
      <c r="AM61" s="34"/>
      <c r="AN61" s="27">
        <v>0.1</v>
      </c>
      <c r="AO61" s="27">
        <v>0.1</v>
      </c>
      <c r="AP61" s="36">
        <v>0.1</v>
      </c>
      <c r="AQ61" s="37"/>
      <c r="AR61" s="32"/>
      <c r="AS61" s="25" t="s">
        <v>79</v>
      </c>
      <c r="AT61" s="27" t="s">
        <v>52</v>
      </c>
      <c r="AW61" s="27" t="s">
        <v>325</v>
      </c>
      <c r="AX61" s="27" t="s">
        <v>303</v>
      </c>
      <c r="AY61" s="27"/>
      <c r="AZ61" s="32"/>
      <c r="BA61" s="41">
        <v>2</v>
      </c>
    </row>
    <row r="62" spans="1:53" x14ac:dyDescent="0.2">
      <c r="A62" s="25">
        <v>46</v>
      </c>
      <c r="B62" s="26">
        <v>45478</v>
      </c>
      <c r="C62" s="27" t="s">
        <v>200</v>
      </c>
      <c r="D62" s="25"/>
      <c r="E62" s="28"/>
      <c r="F62" s="27"/>
      <c r="G62" s="28"/>
      <c r="H62" s="27"/>
      <c r="I62" s="28"/>
      <c r="J62" s="202">
        <v>45357</v>
      </c>
      <c r="K62" s="29" t="s">
        <v>35</v>
      </c>
      <c r="L62" s="39"/>
      <c r="M62" s="31"/>
      <c r="N62" s="27" t="s">
        <v>272</v>
      </c>
      <c r="P62" s="32"/>
      <c r="Q62" s="25"/>
      <c r="R62" s="27"/>
      <c r="S62" s="27"/>
      <c r="T62" s="28"/>
      <c r="U62" s="27"/>
      <c r="V62" s="27" t="s">
        <v>154</v>
      </c>
      <c r="W62" s="28"/>
      <c r="X62" s="33"/>
      <c r="Y62" s="32"/>
      <c r="Z62" s="25"/>
      <c r="AA62" s="27"/>
      <c r="AB62" s="28"/>
      <c r="AC62" s="27"/>
      <c r="AD62" s="27"/>
      <c r="AE62" s="33"/>
      <c r="AG62" s="25"/>
      <c r="AH62" s="34"/>
      <c r="AI62" s="27"/>
      <c r="AJ62" s="27"/>
      <c r="AK62" s="27"/>
      <c r="AL62" s="25"/>
      <c r="AM62" s="34"/>
      <c r="AN62" s="27">
        <v>0.1</v>
      </c>
      <c r="AO62" s="27">
        <v>0.1</v>
      </c>
      <c r="AP62" s="36">
        <v>0.1</v>
      </c>
      <c r="AQ62" s="37"/>
      <c r="AR62" s="32"/>
      <c r="AS62" s="25" t="s">
        <v>79</v>
      </c>
      <c r="AT62" s="27" t="s">
        <v>52</v>
      </c>
      <c r="AU62" s="27"/>
      <c r="AW62" s="27" t="s">
        <v>325</v>
      </c>
      <c r="AX62" s="27" t="s">
        <v>303</v>
      </c>
      <c r="AY62" s="27"/>
      <c r="AZ62" s="32"/>
      <c r="BA62" s="41">
        <v>6</v>
      </c>
    </row>
    <row r="63" spans="1:53" x14ac:dyDescent="0.2">
      <c r="A63" s="25">
        <v>47</v>
      </c>
      <c r="B63" s="26">
        <v>45479</v>
      </c>
      <c r="C63" s="27" t="s">
        <v>200</v>
      </c>
      <c r="D63" s="25"/>
      <c r="E63" s="28"/>
      <c r="F63" s="27"/>
      <c r="G63" s="28"/>
      <c r="H63" s="27"/>
      <c r="I63" s="28"/>
      <c r="J63" s="202">
        <v>45357</v>
      </c>
      <c r="K63" s="29" t="s">
        <v>35</v>
      </c>
      <c r="L63" s="39"/>
      <c r="M63" s="31"/>
      <c r="N63" s="27" t="s">
        <v>272</v>
      </c>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v>0.1</v>
      </c>
      <c r="AO63" s="27">
        <v>0.1</v>
      </c>
      <c r="AP63" s="36">
        <v>0.1</v>
      </c>
      <c r="AQ63" s="37"/>
      <c r="AR63" s="32"/>
      <c r="AS63" s="25" t="s">
        <v>79</v>
      </c>
      <c r="AT63" s="27" t="s">
        <v>52</v>
      </c>
      <c r="AU63" s="27"/>
      <c r="AW63" s="27" t="s">
        <v>325</v>
      </c>
      <c r="AX63" s="27" t="s">
        <v>303</v>
      </c>
      <c r="AY63" s="27"/>
      <c r="AZ63" s="32"/>
      <c r="BA63" s="41">
        <v>14</v>
      </c>
    </row>
    <row r="64" spans="1:53" x14ac:dyDescent="0.2">
      <c r="A64" s="25">
        <v>48</v>
      </c>
      <c r="B64" s="26">
        <v>45480</v>
      </c>
      <c r="C64" s="27" t="s">
        <v>232</v>
      </c>
      <c r="D64" s="25"/>
      <c r="E64" s="28"/>
      <c r="F64" s="27"/>
      <c r="G64" s="28"/>
      <c r="H64" s="27"/>
      <c r="I64" s="28"/>
      <c r="J64" s="202">
        <v>45357</v>
      </c>
      <c r="K64" s="29" t="s">
        <v>35</v>
      </c>
      <c r="M64" s="31"/>
      <c r="N64" s="27" t="s">
        <v>272</v>
      </c>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v>0.1</v>
      </c>
      <c r="AO64" s="27">
        <v>0.1</v>
      </c>
      <c r="AP64" s="36">
        <v>0.1</v>
      </c>
      <c r="AQ64" s="37"/>
      <c r="AR64" s="32"/>
      <c r="AS64" s="25" t="s">
        <v>79</v>
      </c>
      <c r="AT64" s="27" t="s">
        <v>52</v>
      </c>
      <c r="AU64" s="27"/>
      <c r="AW64" s="27" t="s">
        <v>325</v>
      </c>
      <c r="AX64" s="27" t="s">
        <v>303</v>
      </c>
      <c r="AY64" s="27"/>
      <c r="AZ64" s="32"/>
      <c r="BA64" s="41">
        <v>15</v>
      </c>
    </row>
    <row r="65" spans="1:54" ht="16" thickBot="1" x14ac:dyDescent="0.25">
      <c r="A65" s="25">
        <v>49</v>
      </c>
      <c r="B65" s="26">
        <v>45481</v>
      </c>
      <c r="C65" s="27" t="s">
        <v>232</v>
      </c>
      <c r="D65" s="25"/>
      <c r="E65" s="28"/>
      <c r="F65" s="27"/>
      <c r="G65" s="28"/>
      <c r="H65" s="27"/>
      <c r="I65" s="28"/>
      <c r="J65" s="202">
        <v>45357</v>
      </c>
      <c r="K65" s="29" t="s">
        <v>35</v>
      </c>
      <c r="L65" s="39"/>
      <c r="M65" s="31"/>
      <c r="N65" s="27" t="s">
        <v>272</v>
      </c>
      <c r="P65" s="32"/>
      <c r="Q65" s="25"/>
      <c r="R65" s="27"/>
      <c r="S65" s="27"/>
      <c r="T65" s="28"/>
      <c r="U65" s="27"/>
      <c r="V65" s="27" t="s">
        <v>154</v>
      </c>
      <c r="W65" s="28"/>
      <c r="X65" s="33"/>
      <c r="Y65" s="32"/>
      <c r="Z65" s="25"/>
      <c r="AA65" s="27"/>
      <c r="AB65" s="28"/>
      <c r="AC65" s="27"/>
      <c r="AD65" s="27"/>
      <c r="AE65" s="33"/>
      <c r="AG65" s="25"/>
      <c r="AH65" s="34"/>
      <c r="AI65" s="27"/>
      <c r="AJ65" s="27"/>
      <c r="AK65" s="27"/>
      <c r="AL65" s="25"/>
      <c r="AM65" s="34"/>
      <c r="AN65" s="27">
        <v>0.1</v>
      </c>
      <c r="AO65" s="27">
        <v>0.1</v>
      </c>
      <c r="AP65" s="36">
        <v>0.1</v>
      </c>
      <c r="AQ65" s="37"/>
      <c r="AR65" s="32"/>
      <c r="AS65" s="25" t="s">
        <v>79</v>
      </c>
      <c r="AT65" s="27" t="s">
        <v>52</v>
      </c>
      <c r="AU65" s="27"/>
      <c r="AW65" s="27" t="s">
        <v>325</v>
      </c>
      <c r="AX65" s="27" t="s">
        <v>303</v>
      </c>
      <c r="AY65" s="27"/>
      <c r="AZ65" s="32"/>
      <c r="BA65" s="41">
        <v>3</v>
      </c>
    </row>
    <row r="66" spans="1:54" ht="16" thickBot="1" x14ac:dyDescent="0.25">
      <c r="A66" s="25">
        <v>50</v>
      </c>
      <c r="B66" s="26">
        <v>45482</v>
      </c>
      <c r="C66" s="27" t="s">
        <v>314</v>
      </c>
      <c r="D66" s="25"/>
      <c r="E66" s="28"/>
      <c r="F66" s="27"/>
      <c r="G66" s="28"/>
      <c r="H66" s="27"/>
      <c r="I66" s="28"/>
      <c r="J66" s="202">
        <v>45357</v>
      </c>
      <c r="K66" s="29" t="s">
        <v>35</v>
      </c>
      <c r="L66" s="44" t="s">
        <v>83</v>
      </c>
      <c r="M66" s="31"/>
      <c r="N66" s="27" t="s">
        <v>272</v>
      </c>
      <c r="O66" s="45" t="s">
        <v>349</v>
      </c>
      <c r="P66" s="46" t="s">
        <v>540</v>
      </c>
      <c r="Q66" s="25"/>
      <c r="R66" s="27"/>
      <c r="S66" s="27"/>
      <c r="T66" s="28"/>
      <c r="U66" s="27"/>
      <c r="V66" s="27" t="s">
        <v>154</v>
      </c>
      <c r="W66" s="28"/>
      <c r="X66" s="33"/>
      <c r="Y66" s="32"/>
      <c r="Z66" s="25"/>
      <c r="AA66" s="27"/>
      <c r="AB66" s="28"/>
      <c r="AC66" s="27"/>
      <c r="AD66" s="27"/>
      <c r="AE66" s="33"/>
      <c r="AG66" s="25"/>
      <c r="AH66" s="34"/>
      <c r="AI66" s="27"/>
      <c r="AJ66" s="27"/>
      <c r="AK66" s="27"/>
      <c r="AL66" s="25"/>
      <c r="AM66" s="34"/>
      <c r="AN66" s="27">
        <v>0.1</v>
      </c>
      <c r="AO66" s="27">
        <v>0.1</v>
      </c>
      <c r="AP66" s="36">
        <v>0.1</v>
      </c>
      <c r="AQ66" s="37"/>
      <c r="AR66" s="32"/>
      <c r="AS66" s="25" t="s">
        <v>86</v>
      </c>
      <c r="AT66" s="27" t="s">
        <v>87</v>
      </c>
      <c r="AU66" s="58" t="s">
        <v>88</v>
      </c>
      <c r="AW66" s="27" t="s">
        <v>325</v>
      </c>
      <c r="AX66" s="27" t="s">
        <v>303</v>
      </c>
      <c r="AY66" s="27"/>
      <c r="AZ66" s="32"/>
      <c r="BA66" s="41">
        <v>3</v>
      </c>
    </row>
    <row r="67" spans="1:54" ht="16" thickBot="1" x14ac:dyDescent="0.25">
      <c r="A67" s="25">
        <v>51</v>
      </c>
      <c r="B67" s="26">
        <v>45483</v>
      </c>
      <c r="C67" s="27" t="s">
        <v>232</v>
      </c>
      <c r="D67" s="25"/>
      <c r="E67" s="28"/>
      <c r="F67" s="27"/>
      <c r="G67" s="28"/>
      <c r="H67" s="27"/>
      <c r="I67" s="28"/>
      <c r="J67" s="27">
        <v>8</v>
      </c>
      <c r="K67" s="29" t="s">
        <v>35</v>
      </c>
      <c r="L67" s="88" t="s">
        <v>348</v>
      </c>
      <c r="M67" s="31"/>
      <c r="N67" s="27" t="s">
        <v>272</v>
      </c>
      <c r="P67" s="46"/>
      <c r="Q67" s="27"/>
      <c r="R67" s="27"/>
      <c r="S67" s="27"/>
      <c r="T67" s="28"/>
      <c r="U67" s="27"/>
      <c r="V67" s="27" t="s">
        <v>154</v>
      </c>
      <c r="W67" s="28"/>
      <c r="X67" s="33"/>
      <c r="Y67" s="32"/>
      <c r="Z67" s="25"/>
      <c r="AA67" s="27"/>
      <c r="AB67" s="28"/>
      <c r="AC67" s="27"/>
      <c r="AD67" s="27"/>
      <c r="AE67" s="33"/>
      <c r="AG67" s="25"/>
      <c r="AH67" s="34"/>
      <c r="AI67" s="27"/>
      <c r="AJ67" s="27"/>
      <c r="AK67" s="27"/>
      <c r="AL67" s="25"/>
      <c r="AM67" s="34"/>
      <c r="AN67" s="27">
        <v>0.1</v>
      </c>
      <c r="AO67" s="27">
        <v>0.1</v>
      </c>
      <c r="AP67" s="36">
        <v>0.1</v>
      </c>
      <c r="AQ67" s="37"/>
      <c r="AR67" s="32"/>
      <c r="AS67" s="25" t="s">
        <v>86</v>
      </c>
      <c r="AT67" s="27" t="s">
        <v>87</v>
      </c>
      <c r="AU67" s="27"/>
      <c r="AW67" s="27" t="s">
        <v>325</v>
      </c>
      <c r="AX67" s="27" t="s">
        <v>303</v>
      </c>
      <c r="AY67" s="27"/>
      <c r="AZ67" s="32"/>
      <c r="BA67" s="41">
        <v>2</v>
      </c>
    </row>
    <row r="68" spans="1:54" ht="16" thickBot="1" x14ac:dyDescent="0.25">
      <c r="A68" s="25">
        <v>52</v>
      </c>
      <c r="B68" s="26">
        <v>45484</v>
      </c>
      <c r="C68" s="27" t="s">
        <v>314</v>
      </c>
      <c r="D68" s="25"/>
      <c r="E68" s="28"/>
      <c r="F68" s="27"/>
      <c r="G68" s="28"/>
      <c r="H68" s="27"/>
      <c r="I68" s="28"/>
      <c r="J68" s="27">
        <v>8</v>
      </c>
      <c r="K68" s="29" t="s">
        <v>35</v>
      </c>
      <c r="L68" s="39"/>
      <c r="M68" s="31"/>
      <c r="N68" s="27" t="s">
        <v>272</v>
      </c>
      <c r="P68" s="32"/>
      <c r="Q68" s="25"/>
      <c r="R68" s="27"/>
      <c r="S68" s="27"/>
      <c r="T68" s="28"/>
      <c r="U68" s="27"/>
      <c r="V68" s="27" t="s">
        <v>154</v>
      </c>
      <c r="W68" s="28"/>
      <c r="X68" s="33"/>
      <c r="Y68" s="32"/>
      <c r="Z68" s="25"/>
      <c r="AA68" s="27"/>
      <c r="AB68" s="28"/>
      <c r="AC68" s="27"/>
      <c r="AD68" s="27"/>
      <c r="AE68" s="33"/>
      <c r="AG68" s="25"/>
      <c r="AH68" s="34"/>
      <c r="AI68" s="27"/>
      <c r="AJ68" s="27"/>
      <c r="AK68" s="27"/>
      <c r="AL68" s="25"/>
      <c r="AM68" s="34"/>
      <c r="AN68" s="27">
        <v>0.1</v>
      </c>
      <c r="AO68" s="27">
        <v>0.1</v>
      </c>
      <c r="AP68" s="36">
        <v>0.1</v>
      </c>
      <c r="AQ68" s="37"/>
      <c r="AR68" s="32"/>
      <c r="AS68" s="25" t="s">
        <v>86</v>
      </c>
      <c r="AT68" s="27" t="s">
        <v>87</v>
      </c>
      <c r="AW68" s="27" t="s">
        <v>325</v>
      </c>
      <c r="AX68" s="27" t="s">
        <v>303</v>
      </c>
      <c r="AY68" s="27"/>
      <c r="AZ68" s="32"/>
      <c r="BA68" s="41">
        <v>0</v>
      </c>
    </row>
    <row r="69" spans="1:54" ht="16" thickBot="1" x14ac:dyDescent="0.25">
      <c r="A69" s="25">
        <v>53</v>
      </c>
      <c r="B69" s="26">
        <v>45485</v>
      </c>
      <c r="C69" s="27" t="s">
        <v>200</v>
      </c>
      <c r="D69" s="25"/>
      <c r="E69" s="28"/>
      <c r="F69" s="27"/>
      <c r="G69" s="28"/>
      <c r="H69" s="27"/>
      <c r="I69" s="28"/>
      <c r="J69" s="27">
        <v>8</v>
      </c>
      <c r="K69" s="29" t="s">
        <v>35</v>
      </c>
      <c r="L69" s="39"/>
      <c r="M69" s="31"/>
      <c r="N69" s="27" t="s">
        <v>367</v>
      </c>
      <c r="P69" s="32"/>
      <c r="Q69" s="25"/>
      <c r="R69" s="27"/>
      <c r="S69" s="27"/>
      <c r="T69" s="28"/>
      <c r="U69" s="27"/>
      <c r="V69" s="27" t="s">
        <v>154</v>
      </c>
      <c r="W69" s="28"/>
      <c r="X69" s="33"/>
      <c r="Y69" s="32"/>
      <c r="Z69" s="25"/>
      <c r="AA69" s="27"/>
      <c r="AB69" s="28"/>
      <c r="AC69" s="27"/>
      <c r="AD69" s="27"/>
      <c r="AE69" s="33"/>
      <c r="AG69" s="25"/>
      <c r="AH69" s="34"/>
      <c r="AI69" s="27"/>
      <c r="AJ69" s="27"/>
      <c r="AK69" s="27"/>
      <c r="AL69" s="25"/>
      <c r="AM69" s="34"/>
      <c r="AN69" s="27">
        <v>0.1</v>
      </c>
      <c r="AO69" s="27">
        <v>0.1</v>
      </c>
      <c r="AP69" s="36">
        <v>0.1</v>
      </c>
      <c r="AQ69" s="37"/>
      <c r="AR69" s="32"/>
      <c r="AS69" s="25" t="s">
        <v>86</v>
      </c>
      <c r="AT69" s="27" t="s">
        <v>87</v>
      </c>
      <c r="AU69" s="27"/>
      <c r="AW69" s="27" t="s">
        <v>325</v>
      </c>
      <c r="AX69" s="27" t="s">
        <v>91</v>
      </c>
      <c r="AY69" s="89" t="s">
        <v>92</v>
      </c>
      <c r="AZ69" s="32"/>
      <c r="BA69" s="41">
        <v>9</v>
      </c>
    </row>
    <row r="70" spans="1:54" ht="16" thickBot="1" x14ac:dyDescent="0.25">
      <c r="A70" s="25">
        <v>54</v>
      </c>
      <c r="B70" s="26">
        <v>45486</v>
      </c>
      <c r="C70" s="27" t="s">
        <v>200</v>
      </c>
      <c r="D70" s="25"/>
      <c r="E70" s="28"/>
      <c r="F70" s="27"/>
      <c r="G70" s="28"/>
      <c r="H70" s="27"/>
      <c r="I70" s="28"/>
      <c r="J70" s="27">
        <v>8</v>
      </c>
      <c r="K70" s="29" t="s">
        <v>35</v>
      </c>
      <c r="L70" s="39"/>
      <c r="M70" s="31"/>
      <c r="N70" s="27" t="s">
        <v>367</v>
      </c>
      <c r="P70" s="32"/>
      <c r="Q70" s="25"/>
      <c r="R70" s="27"/>
      <c r="S70" s="27"/>
      <c r="T70" s="28"/>
      <c r="U70" s="27"/>
      <c r="V70" s="27" t="s">
        <v>154</v>
      </c>
      <c r="W70" s="28"/>
      <c r="X70" s="33"/>
      <c r="Y70" s="32"/>
      <c r="Z70" s="25"/>
      <c r="AA70" s="27"/>
      <c r="AB70" s="28"/>
      <c r="AC70" s="27"/>
      <c r="AD70" s="27"/>
      <c r="AE70" s="33"/>
      <c r="AG70" s="25"/>
      <c r="AH70" s="34"/>
      <c r="AI70" s="27"/>
      <c r="AJ70" s="27"/>
      <c r="AK70" s="27"/>
      <c r="AL70" s="25"/>
      <c r="AM70" s="34"/>
      <c r="AN70" s="27">
        <v>0.1</v>
      </c>
      <c r="AO70" s="27">
        <v>0.1</v>
      </c>
      <c r="AP70" s="36">
        <v>0.1</v>
      </c>
      <c r="AQ70" s="37"/>
      <c r="AR70" s="32"/>
      <c r="AS70" s="25" t="s">
        <v>86</v>
      </c>
      <c r="AT70" s="27" t="s">
        <v>87</v>
      </c>
      <c r="AU70" s="27"/>
      <c r="AW70" s="25" t="s">
        <v>325</v>
      </c>
      <c r="AX70" s="27" t="s">
        <v>91</v>
      </c>
      <c r="AY70" s="27"/>
      <c r="AZ70" s="32"/>
      <c r="BA70" s="41">
        <v>8</v>
      </c>
    </row>
    <row r="71" spans="1:54" ht="16" thickBot="1" x14ac:dyDescent="0.25">
      <c r="A71" s="25">
        <v>55</v>
      </c>
      <c r="B71" s="26">
        <v>45487</v>
      </c>
      <c r="C71" s="27" t="s">
        <v>232</v>
      </c>
      <c r="D71" s="25"/>
      <c r="E71" s="28"/>
      <c r="F71" s="27"/>
      <c r="G71" s="28"/>
      <c r="H71" s="27"/>
      <c r="I71" s="28"/>
      <c r="J71" s="27">
        <v>8</v>
      </c>
      <c r="K71" s="29" t="s">
        <v>35</v>
      </c>
      <c r="L71" s="39"/>
      <c r="M71" s="31"/>
      <c r="N71" s="27" t="s">
        <v>367</v>
      </c>
      <c r="P71" s="32"/>
      <c r="Q71" s="25"/>
      <c r="R71" s="27"/>
      <c r="S71" s="27"/>
      <c r="T71" s="28"/>
      <c r="U71" s="27"/>
      <c r="V71" s="27" t="s">
        <v>154</v>
      </c>
      <c r="W71" s="28"/>
      <c r="X71" s="33"/>
      <c r="Y71" s="32"/>
      <c r="Z71" s="25"/>
      <c r="AA71" s="27"/>
      <c r="AB71" s="28"/>
      <c r="AC71" s="27"/>
      <c r="AD71" s="27"/>
      <c r="AE71" s="33"/>
      <c r="AG71" s="25"/>
      <c r="AH71" s="34"/>
      <c r="AI71" s="27"/>
      <c r="AJ71" s="27"/>
      <c r="AK71" s="27"/>
      <c r="AL71" s="25"/>
      <c r="AM71" s="34"/>
      <c r="AN71" s="27">
        <v>0.1</v>
      </c>
      <c r="AO71" s="27">
        <v>0.1</v>
      </c>
      <c r="AP71" s="36">
        <v>0.1</v>
      </c>
      <c r="AQ71" s="82"/>
      <c r="AR71" s="32"/>
      <c r="AS71" s="25" t="s">
        <v>86</v>
      </c>
      <c r="AT71" s="27" t="s">
        <v>87</v>
      </c>
      <c r="AW71" s="25" t="s">
        <v>473</v>
      </c>
      <c r="AX71" s="27" t="s">
        <v>91</v>
      </c>
      <c r="AY71" s="27"/>
      <c r="AZ71" s="32"/>
      <c r="BA71" s="41">
        <v>7</v>
      </c>
    </row>
    <row r="72" spans="1:54" x14ac:dyDescent="0.2">
      <c r="A72" s="25">
        <v>56</v>
      </c>
      <c r="B72" s="26">
        <v>45488</v>
      </c>
      <c r="C72" s="27" t="s">
        <v>232</v>
      </c>
      <c r="D72" s="25"/>
      <c r="E72" s="28"/>
      <c r="F72" s="27"/>
      <c r="G72" s="28"/>
      <c r="H72" s="27"/>
      <c r="I72" s="28"/>
      <c r="J72" s="27">
        <v>8</v>
      </c>
      <c r="K72" s="29" t="s">
        <v>35</v>
      </c>
      <c r="L72" s="39"/>
      <c r="M72" s="31"/>
      <c r="N72" s="27" t="s">
        <v>367</v>
      </c>
      <c r="P72" s="32"/>
      <c r="Q72" s="25"/>
      <c r="R72" s="27"/>
      <c r="S72" s="27"/>
      <c r="T72" s="28"/>
      <c r="U72" s="27"/>
      <c r="V72" s="27" t="s">
        <v>154</v>
      </c>
      <c r="W72" s="28"/>
      <c r="X72" s="33"/>
      <c r="Y72" s="32"/>
      <c r="Z72" s="25"/>
      <c r="AA72" s="27"/>
      <c r="AB72" s="28"/>
      <c r="AC72" s="27"/>
      <c r="AD72" s="27"/>
      <c r="AE72" s="33"/>
      <c r="AG72" s="25"/>
      <c r="AH72" s="34"/>
      <c r="AI72" s="27"/>
      <c r="AJ72" s="27"/>
      <c r="AK72" s="27"/>
      <c r="AL72" s="25"/>
      <c r="AM72" s="34"/>
      <c r="AN72" s="27">
        <v>0.1</v>
      </c>
      <c r="AO72" s="27">
        <v>0.1</v>
      </c>
      <c r="AP72" s="36">
        <v>0.1</v>
      </c>
      <c r="AQ72" s="37"/>
      <c r="AR72" s="32"/>
      <c r="AS72" s="25" t="s">
        <v>86</v>
      </c>
      <c r="AT72" s="27" t="s">
        <v>87</v>
      </c>
      <c r="AU72" s="27"/>
      <c r="AW72" s="25" t="s">
        <v>473</v>
      </c>
      <c r="AX72" s="27" t="s">
        <v>91</v>
      </c>
      <c r="AY72" s="27"/>
      <c r="AZ72" s="32"/>
      <c r="BA72" s="41">
        <v>2</v>
      </c>
    </row>
    <row r="73" spans="1:54" ht="16" thickBot="1" x14ac:dyDescent="0.25">
      <c r="A73" s="25">
        <v>57</v>
      </c>
      <c r="B73" s="26">
        <v>45489</v>
      </c>
      <c r="C73" s="27" t="s">
        <v>227</v>
      </c>
      <c r="D73" s="25"/>
      <c r="E73" s="28"/>
      <c r="F73" s="27"/>
      <c r="G73" s="28"/>
      <c r="H73" s="27"/>
      <c r="I73" s="28"/>
      <c r="J73" s="27">
        <v>8</v>
      </c>
      <c r="K73" s="29" t="s">
        <v>35</v>
      </c>
      <c r="L73" s="39"/>
      <c r="M73" s="31"/>
      <c r="N73" s="27" t="s">
        <v>367</v>
      </c>
      <c r="P73" s="32"/>
      <c r="Q73" s="25"/>
      <c r="R73" s="27"/>
      <c r="S73" s="27"/>
      <c r="T73" s="28"/>
      <c r="U73" s="27"/>
      <c r="V73" s="27" t="s">
        <v>154</v>
      </c>
      <c r="W73" s="28"/>
      <c r="X73" s="33"/>
      <c r="Y73" s="32"/>
      <c r="Z73" s="25"/>
      <c r="AA73" s="27"/>
      <c r="AB73" s="28"/>
      <c r="AC73" s="27"/>
      <c r="AD73" s="27"/>
      <c r="AE73" s="33"/>
      <c r="AG73" s="25"/>
      <c r="AH73" s="34"/>
      <c r="AI73" s="27"/>
      <c r="AJ73" s="27"/>
      <c r="AK73" s="27"/>
      <c r="AL73" s="25"/>
      <c r="AM73" s="34"/>
      <c r="AN73" s="27">
        <v>0.1</v>
      </c>
      <c r="AO73" s="27">
        <v>0.1</v>
      </c>
      <c r="AP73" s="36">
        <v>0.1</v>
      </c>
      <c r="AQ73" s="37"/>
      <c r="AR73" s="32"/>
      <c r="AS73" s="25" t="s">
        <v>86</v>
      </c>
      <c r="AT73" s="27" t="s">
        <v>87</v>
      </c>
      <c r="AU73" s="27"/>
      <c r="AW73" s="25" t="s">
        <v>473</v>
      </c>
      <c r="AX73" s="27" t="s">
        <v>91</v>
      </c>
      <c r="AY73" s="27"/>
      <c r="AZ73" s="32"/>
      <c r="BA73" s="41">
        <v>2</v>
      </c>
    </row>
    <row r="74" spans="1:54" ht="16" thickBot="1" x14ac:dyDescent="0.25">
      <c r="A74" s="25">
        <v>58</v>
      </c>
      <c r="B74" s="26">
        <v>45490</v>
      </c>
      <c r="C74" s="27" t="s">
        <v>227</v>
      </c>
      <c r="D74" s="25"/>
      <c r="E74" s="28"/>
      <c r="F74" s="27"/>
      <c r="G74" s="28"/>
      <c r="H74" s="27"/>
      <c r="I74" s="28"/>
      <c r="J74" s="27">
        <v>8</v>
      </c>
      <c r="K74" s="29" t="s">
        <v>35</v>
      </c>
      <c r="L74" s="39"/>
      <c r="M74" s="31"/>
      <c r="N74" s="27" t="s">
        <v>367</v>
      </c>
      <c r="P74" s="32"/>
      <c r="Q74" s="25"/>
      <c r="R74" s="27"/>
      <c r="S74" s="27"/>
      <c r="T74" s="28"/>
      <c r="U74" s="27"/>
      <c r="V74" s="27" t="s">
        <v>154</v>
      </c>
      <c r="W74" s="28"/>
      <c r="X74" s="33"/>
      <c r="Y74" s="32"/>
      <c r="Z74" s="25"/>
      <c r="AA74" s="27"/>
      <c r="AB74" s="28"/>
      <c r="AC74" s="27"/>
      <c r="AD74" s="27"/>
      <c r="AE74" s="33"/>
      <c r="AG74" s="25"/>
      <c r="AH74" s="34"/>
      <c r="AI74" s="27"/>
      <c r="AJ74" s="27"/>
      <c r="AK74" s="27"/>
      <c r="AL74" s="25"/>
      <c r="AM74" s="34"/>
      <c r="AN74" s="27">
        <v>0.1</v>
      </c>
      <c r="AO74" s="27">
        <v>0.1</v>
      </c>
      <c r="AP74" s="36">
        <v>0.1</v>
      </c>
      <c r="AQ74" s="37"/>
      <c r="AR74" s="32"/>
      <c r="AS74" s="25" t="s">
        <v>86</v>
      </c>
      <c r="AT74" s="27" t="s">
        <v>87</v>
      </c>
      <c r="AU74" s="27"/>
      <c r="AW74" s="25" t="s">
        <v>473</v>
      </c>
      <c r="AX74" s="27" t="s">
        <v>91</v>
      </c>
      <c r="AY74" s="89" t="s">
        <v>94</v>
      </c>
      <c r="AZ74" s="32"/>
      <c r="BA74" s="41">
        <v>6</v>
      </c>
      <c r="BB74" s="27" t="s">
        <v>552</v>
      </c>
    </row>
    <row r="75" spans="1:54" ht="16" thickBot="1" x14ac:dyDescent="0.25">
      <c r="A75" s="25">
        <v>59</v>
      </c>
      <c r="B75" s="26">
        <v>45491</v>
      </c>
      <c r="C75" s="27" t="s">
        <v>200</v>
      </c>
      <c r="D75" s="25"/>
      <c r="E75" s="28"/>
      <c r="F75" s="27"/>
      <c r="G75" s="28"/>
      <c r="H75" s="27"/>
      <c r="I75" s="28"/>
      <c r="J75" s="27">
        <v>8</v>
      </c>
      <c r="K75" s="29" t="s">
        <v>35</v>
      </c>
      <c r="L75" s="39" t="s">
        <v>553</v>
      </c>
      <c r="M75" s="31"/>
      <c r="N75" s="27" t="s">
        <v>367</v>
      </c>
      <c r="P75" s="32"/>
      <c r="Q75" s="25"/>
      <c r="R75" s="27"/>
      <c r="S75" s="27"/>
      <c r="T75" s="28"/>
      <c r="U75" s="27"/>
      <c r="V75" s="27" t="s">
        <v>154</v>
      </c>
      <c r="W75" s="28"/>
      <c r="X75" s="33"/>
      <c r="Y75" s="32"/>
      <c r="Z75" s="25"/>
      <c r="AA75" s="27"/>
      <c r="AB75" s="28"/>
      <c r="AC75" s="27"/>
      <c r="AD75" s="27"/>
      <c r="AE75" s="33"/>
      <c r="AG75" s="25"/>
      <c r="AH75" s="34"/>
      <c r="AI75" s="27"/>
      <c r="AJ75" s="27"/>
      <c r="AK75" s="27"/>
      <c r="AL75" s="25"/>
      <c r="AM75" s="34"/>
      <c r="AN75" s="27">
        <v>0.1</v>
      </c>
      <c r="AO75" s="27">
        <v>0.1</v>
      </c>
      <c r="AP75" s="36">
        <v>0.1</v>
      </c>
      <c r="AQ75" s="37"/>
      <c r="AR75" s="32"/>
      <c r="AS75" s="25" t="s">
        <v>86</v>
      </c>
      <c r="AT75" s="27" t="s">
        <v>87</v>
      </c>
      <c r="AU75" s="27"/>
      <c r="AW75" s="25" t="s">
        <v>473</v>
      </c>
      <c r="AX75" s="27" t="s">
        <v>95</v>
      </c>
      <c r="AY75" s="27"/>
      <c r="AZ75" s="32"/>
      <c r="BA75" s="41">
        <v>8</v>
      </c>
    </row>
    <row r="76" spans="1:54" ht="16" thickBot="1" x14ac:dyDescent="0.25">
      <c r="A76" s="25">
        <v>60</v>
      </c>
      <c r="B76" s="26">
        <v>45492</v>
      </c>
      <c r="C76" s="27" t="s">
        <v>200</v>
      </c>
      <c r="D76" s="25"/>
      <c r="E76" s="28"/>
      <c r="F76" s="27"/>
      <c r="G76" s="28"/>
      <c r="H76" s="27"/>
      <c r="I76" s="28"/>
      <c r="J76" s="27">
        <v>8</v>
      </c>
      <c r="K76" s="29" t="s">
        <v>35</v>
      </c>
      <c r="L76" s="39" t="s">
        <v>555</v>
      </c>
      <c r="M76" s="31"/>
      <c r="N76" s="27" t="s">
        <v>367</v>
      </c>
      <c r="P76" s="32"/>
      <c r="Q76" s="25"/>
      <c r="R76" s="27"/>
      <c r="S76" s="27"/>
      <c r="T76" s="28"/>
      <c r="U76" s="27"/>
      <c r="V76" s="27" t="s">
        <v>154</v>
      </c>
      <c r="W76" s="28"/>
      <c r="X76" s="33"/>
      <c r="Y76" s="32"/>
      <c r="Z76" s="25"/>
      <c r="AA76" s="27"/>
      <c r="AB76" s="28"/>
      <c r="AC76" s="27"/>
      <c r="AD76" s="27"/>
      <c r="AE76" s="33"/>
      <c r="AG76" s="25"/>
      <c r="AH76" s="34"/>
      <c r="AI76" s="27"/>
      <c r="AJ76" s="27"/>
      <c r="AK76" s="27"/>
      <c r="AL76" s="25"/>
      <c r="AM76" s="34"/>
      <c r="AN76" s="27">
        <v>0.1</v>
      </c>
      <c r="AO76" s="27">
        <v>0.1</v>
      </c>
      <c r="AP76" s="36">
        <v>0.1</v>
      </c>
      <c r="AQ76" s="37"/>
      <c r="AR76" s="32"/>
      <c r="AS76" s="25" t="s">
        <v>386</v>
      </c>
      <c r="AT76" s="27" t="s">
        <v>87</v>
      </c>
      <c r="AU76" s="58" t="s">
        <v>97</v>
      </c>
      <c r="AV76" s="27" t="s">
        <v>556</v>
      </c>
      <c r="AW76" s="25" t="s">
        <v>473</v>
      </c>
      <c r="AX76" s="27" t="s">
        <v>95</v>
      </c>
      <c r="AY76" s="27"/>
      <c r="AZ76" s="32"/>
      <c r="BA76" s="41">
        <v>7</v>
      </c>
    </row>
    <row r="77" spans="1:54" x14ac:dyDescent="0.2">
      <c r="A77" s="25">
        <v>61</v>
      </c>
      <c r="B77" s="26">
        <v>45493</v>
      </c>
      <c r="C77" s="27" t="s">
        <v>232</v>
      </c>
      <c r="D77" s="25"/>
      <c r="E77" s="28"/>
      <c r="F77" s="27"/>
      <c r="G77" s="28"/>
      <c r="H77" s="27"/>
      <c r="I77" s="28"/>
      <c r="J77" s="27">
        <v>8</v>
      </c>
      <c r="K77" s="29" t="s">
        <v>35</v>
      </c>
      <c r="L77" s="39"/>
      <c r="M77" s="31"/>
      <c r="N77" s="27" t="s">
        <v>367</v>
      </c>
      <c r="P77" s="32"/>
      <c r="Q77" s="25"/>
      <c r="R77" s="27"/>
      <c r="S77" s="27"/>
      <c r="T77" s="28"/>
      <c r="U77" s="27"/>
      <c r="V77" s="27" t="s">
        <v>154</v>
      </c>
      <c r="W77" s="28"/>
      <c r="X77" s="33"/>
      <c r="Y77" s="32"/>
      <c r="Z77" s="25"/>
      <c r="AA77" s="27"/>
      <c r="AB77" s="28"/>
      <c r="AC77" s="27"/>
      <c r="AD77" s="27"/>
      <c r="AE77" s="33"/>
      <c r="AG77" s="25"/>
      <c r="AH77" s="34"/>
      <c r="AI77" s="27"/>
      <c r="AJ77" s="27"/>
      <c r="AK77" s="27"/>
      <c r="AL77" s="25"/>
      <c r="AM77" s="34"/>
      <c r="AN77" s="27">
        <v>0.1</v>
      </c>
      <c r="AO77" s="27">
        <v>0.1</v>
      </c>
      <c r="AP77" s="36">
        <v>0.1</v>
      </c>
      <c r="AQ77" s="37"/>
      <c r="AR77" s="32"/>
      <c r="AS77" s="25" t="s">
        <v>386</v>
      </c>
      <c r="AT77" s="27" t="s">
        <v>87</v>
      </c>
      <c r="AU77" s="27"/>
      <c r="AW77" s="25" t="s">
        <v>473</v>
      </c>
      <c r="AX77" s="27" t="s">
        <v>95</v>
      </c>
      <c r="AY77" s="27"/>
      <c r="AZ77" s="32"/>
      <c r="BA77" s="41">
        <v>0</v>
      </c>
    </row>
    <row r="78" spans="1:54" x14ac:dyDescent="0.2">
      <c r="A78" s="25">
        <v>62</v>
      </c>
      <c r="B78" s="26">
        <v>45494</v>
      </c>
      <c r="C78" s="27" t="s">
        <v>232</v>
      </c>
      <c r="D78" s="25"/>
      <c r="E78" s="28"/>
      <c r="F78" s="27"/>
      <c r="G78" s="28"/>
      <c r="H78" s="27"/>
      <c r="I78" s="28"/>
      <c r="J78" s="27">
        <v>8</v>
      </c>
      <c r="K78" s="29" t="s">
        <v>35</v>
      </c>
      <c r="L78" s="39" t="s">
        <v>557</v>
      </c>
      <c r="M78" s="31"/>
      <c r="N78" s="27" t="s">
        <v>367</v>
      </c>
      <c r="P78" s="32"/>
      <c r="Q78" s="25"/>
      <c r="R78" s="27"/>
      <c r="S78" s="27"/>
      <c r="T78" s="28"/>
      <c r="U78" s="27"/>
      <c r="V78" s="27" t="s">
        <v>154</v>
      </c>
      <c r="W78" s="28"/>
      <c r="X78" s="33"/>
      <c r="Y78" s="32"/>
      <c r="Z78" s="25"/>
      <c r="AA78" s="27"/>
      <c r="AB78" s="28"/>
      <c r="AC78" s="27"/>
      <c r="AD78" s="27"/>
      <c r="AE78" s="33"/>
      <c r="AG78" s="25"/>
      <c r="AH78" s="34"/>
      <c r="AI78" s="27"/>
      <c r="AJ78" s="27"/>
      <c r="AK78" s="27"/>
      <c r="AL78" s="25"/>
      <c r="AM78" s="34"/>
      <c r="AN78" s="27">
        <v>0.1</v>
      </c>
      <c r="AO78" s="27">
        <v>0.1</v>
      </c>
      <c r="AP78" s="36">
        <v>0.1</v>
      </c>
      <c r="AQ78" s="37"/>
      <c r="AR78" s="32" t="s">
        <v>558</v>
      </c>
      <c r="AS78" s="25" t="s">
        <v>386</v>
      </c>
      <c r="AT78" s="27" t="s">
        <v>87</v>
      </c>
      <c r="AU78" s="27"/>
      <c r="AV78" s="27" t="s">
        <v>559</v>
      </c>
      <c r="AW78" s="25" t="s">
        <v>473</v>
      </c>
      <c r="AX78" s="27" t="s">
        <v>95</v>
      </c>
      <c r="AY78" s="27"/>
      <c r="AZ78" s="32" t="s">
        <v>559</v>
      </c>
      <c r="BA78" s="41">
        <v>2</v>
      </c>
    </row>
    <row r="79" spans="1:54" x14ac:dyDescent="0.2">
      <c r="A79" s="25">
        <v>63</v>
      </c>
      <c r="B79" s="26">
        <v>45495</v>
      </c>
      <c r="C79" s="27" t="s">
        <v>232</v>
      </c>
      <c r="D79" s="25"/>
      <c r="E79" s="28"/>
      <c r="F79" s="27"/>
      <c r="G79" s="28"/>
      <c r="H79" s="27"/>
      <c r="I79" s="28"/>
      <c r="J79" s="27">
        <v>8</v>
      </c>
      <c r="K79" s="29" t="s">
        <v>35</v>
      </c>
      <c r="L79" s="39"/>
      <c r="M79" s="31"/>
      <c r="N79" s="27" t="s">
        <v>367</v>
      </c>
      <c r="P79" s="32"/>
      <c r="Q79" s="25"/>
      <c r="R79" s="27"/>
      <c r="S79" s="27"/>
      <c r="T79" s="28"/>
      <c r="U79" s="27"/>
      <c r="V79" s="27" t="s">
        <v>154</v>
      </c>
      <c r="W79" s="28"/>
      <c r="X79" s="33"/>
      <c r="Y79" s="32"/>
      <c r="Z79" s="25"/>
      <c r="AA79" s="27"/>
      <c r="AB79" s="28"/>
      <c r="AC79" s="27"/>
      <c r="AD79" s="27"/>
      <c r="AE79" s="33"/>
      <c r="AG79" s="25"/>
      <c r="AH79" s="34"/>
      <c r="AI79" s="27"/>
      <c r="AJ79" s="27"/>
      <c r="AK79" s="27"/>
      <c r="AL79" s="25"/>
      <c r="AM79" s="34"/>
      <c r="AN79" s="27">
        <v>0.1</v>
      </c>
      <c r="AO79" s="27">
        <v>0.1</v>
      </c>
      <c r="AP79" s="36">
        <v>0.1</v>
      </c>
      <c r="AQ79" s="37"/>
      <c r="AR79" s="32"/>
      <c r="AS79" s="25" t="s">
        <v>386</v>
      </c>
      <c r="AT79" s="27" t="s">
        <v>87</v>
      </c>
      <c r="AU79" s="27"/>
      <c r="AW79" s="25" t="s">
        <v>473</v>
      </c>
      <c r="AX79" s="27" t="s">
        <v>95</v>
      </c>
      <c r="AY79" s="27"/>
      <c r="AZ79" s="32"/>
      <c r="BA79" s="41">
        <v>1</v>
      </c>
    </row>
    <row r="80" spans="1:54" x14ac:dyDescent="0.2">
      <c r="A80" s="25">
        <v>64</v>
      </c>
      <c r="B80" s="26">
        <v>45496</v>
      </c>
      <c r="C80" s="27" t="s">
        <v>232</v>
      </c>
      <c r="D80" s="25"/>
      <c r="E80" s="28"/>
      <c r="F80" s="27"/>
      <c r="G80" s="28"/>
      <c r="H80" s="27"/>
      <c r="I80" s="28"/>
      <c r="J80" s="27">
        <v>8</v>
      </c>
      <c r="K80" s="29" t="s">
        <v>35</v>
      </c>
      <c r="L80" s="39"/>
      <c r="M80" s="31"/>
      <c r="N80" s="27" t="s">
        <v>367</v>
      </c>
      <c r="P80" s="32"/>
      <c r="Q80" s="25"/>
      <c r="R80" s="27"/>
      <c r="S80" s="27"/>
      <c r="T80" s="28"/>
      <c r="U80" s="27"/>
      <c r="V80" s="27" t="s">
        <v>154</v>
      </c>
      <c r="W80" s="28"/>
      <c r="X80" s="33"/>
      <c r="Y80" s="32"/>
      <c r="Z80" s="25"/>
      <c r="AA80" s="27"/>
      <c r="AB80" s="28"/>
      <c r="AC80" s="27"/>
      <c r="AD80" s="27"/>
      <c r="AE80" s="33"/>
      <c r="AG80" s="25"/>
      <c r="AH80" s="34"/>
      <c r="AI80" s="27"/>
      <c r="AJ80" s="27"/>
      <c r="AK80" s="27"/>
      <c r="AL80" s="25"/>
      <c r="AM80" s="34"/>
      <c r="AN80" s="27">
        <v>0.1</v>
      </c>
      <c r="AO80" s="27">
        <v>0.1</v>
      </c>
      <c r="AP80" s="36">
        <v>0.1</v>
      </c>
      <c r="AQ80" s="37"/>
      <c r="AR80" s="32"/>
      <c r="AS80" s="25" t="s">
        <v>386</v>
      </c>
      <c r="AT80" s="27" t="s">
        <v>87</v>
      </c>
      <c r="AU80" s="27"/>
      <c r="AW80" s="25" t="s">
        <v>473</v>
      </c>
      <c r="AX80" s="27" t="s">
        <v>95</v>
      </c>
      <c r="AY80" s="27"/>
      <c r="AZ80" s="32"/>
      <c r="BA80" s="41">
        <v>0</v>
      </c>
    </row>
    <row r="81" spans="1:53" x14ac:dyDescent="0.2">
      <c r="A81" s="25">
        <v>65</v>
      </c>
      <c r="B81" s="26">
        <v>45497</v>
      </c>
      <c r="C81" s="27" t="s">
        <v>227</v>
      </c>
      <c r="D81" s="25"/>
      <c r="E81" s="28"/>
      <c r="F81" s="27"/>
      <c r="G81" s="28"/>
      <c r="H81" s="27"/>
      <c r="I81" s="28"/>
      <c r="J81" s="27">
        <v>8</v>
      </c>
      <c r="K81" s="29" t="s">
        <v>35</v>
      </c>
      <c r="L81" s="39"/>
      <c r="M81" s="31"/>
      <c r="N81" s="27" t="s">
        <v>367</v>
      </c>
      <c r="P81" s="32"/>
      <c r="Q81" s="25"/>
      <c r="R81" s="27"/>
      <c r="S81" s="27"/>
      <c r="T81" s="28"/>
      <c r="U81" s="27"/>
      <c r="V81" s="27" t="s">
        <v>154</v>
      </c>
      <c r="W81" s="28"/>
      <c r="X81" s="33"/>
      <c r="Y81" s="32"/>
      <c r="Z81" s="25"/>
      <c r="AA81" s="27"/>
      <c r="AB81" s="28"/>
      <c r="AC81" s="27"/>
      <c r="AD81" s="27"/>
      <c r="AE81" s="33"/>
      <c r="AG81" s="25"/>
      <c r="AH81" s="34"/>
      <c r="AI81" s="27"/>
      <c r="AJ81" s="27"/>
      <c r="AK81" s="27"/>
      <c r="AL81" s="25"/>
      <c r="AM81" s="34"/>
      <c r="AN81" s="27">
        <v>0.1</v>
      </c>
      <c r="AO81" s="27">
        <v>0.1</v>
      </c>
      <c r="AP81" s="36">
        <v>0.1</v>
      </c>
      <c r="AQ81" s="37"/>
      <c r="AR81" s="32" t="s">
        <v>566</v>
      </c>
      <c r="AS81" s="25" t="s">
        <v>386</v>
      </c>
      <c r="AT81" s="27" t="s">
        <v>87</v>
      </c>
      <c r="AU81" s="27"/>
      <c r="AV81" s="27" t="s">
        <v>559</v>
      </c>
      <c r="AW81" s="25" t="s">
        <v>473</v>
      </c>
      <c r="AX81" s="27" t="s">
        <v>95</v>
      </c>
      <c r="AY81" s="27"/>
      <c r="AZ81" s="32" t="s">
        <v>559</v>
      </c>
      <c r="BA81" s="41">
        <v>1</v>
      </c>
    </row>
    <row r="82" spans="1:53" x14ac:dyDescent="0.2">
      <c r="A82" s="25">
        <v>66</v>
      </c>
      <c r="B82" s="26">
        <v>45498</v>
      </c>
      <c r="C82" s="27" t="s">
        <v>227</v>
      </c>
      <c r="D82" s="25"/>
      <c r="E82" s="28"/>
      <c r="F82" s="27"/>
      <c r="G82" s="28"/>
      <c r="H82" s="27"/>
      <c r="I82" s="28"/>
      <c r="J82" s="27">
        <v>8</v>
      </c>
      <c r="K82" s="29" t="s">
        <v>35</v>
      </c>
      <c r="L82" s="39"/>
      <c r="M82" s="31"/>
      <c r="N82" s="27" t="s">
        <v>367</v>
      </c>
      <c r="P82" s="32"/>
      <c r="Q82" s="25"/>
      <c r="R82" s="27"/>
      <c r="S82" s="27"/>
      <c r="T82" s="28"/>
      <c r="U82" s="27"/>
      <c r="V82" s="27" t="s">
        <v>568</v>
      </c>
      <c r="W82" s="28"/>
      <c r="X82" s="33"/>
      <c r="Y82" s="32" t="s">
        <v>569</v>
      </c>
      <c r="Z82" s="25"/>
      <c r="AA82" s="27"/>
      <c r="AB82" s="28"/>
      <c r="AC82" s="27"/>
      <c r="AD82" s="27"/>
      <c r="AE82" s="33"/>
      <c r="AG82" s="25"/>
      <c r="AH82" s="34"/>
      <c r="AI82" s="27"/>
      <c r="AJ82" s="27"/>
      <c r="AK82" s="27"/>
      <c r="AL82" s="25"/>
      <c r="AM82" s="34"/>
      <c r="AN82" s="27">
        <v>0.1</v>
      </c>
      <c r="AO82" s="27">
        <v>0.1</v>
      </c>
      <c r="AP82" s="36">
        <v>0.1</v>
      </c>
      <c r="AQ82" s="37"/>
      <c r="AR82" s="32" t="s">
        <v>489</v>
      </c>
      <c r="AS82" s="25" t="s">
        <v>386</v>
      </c>
      <c r="AT82" s="27" t="s">
        <v>87</v>
      </c>
      <c r="AU82" s="27"/>
      <c r="AV82" t="s">
        <v>559</v>
      </c>
      <c r="AW82" s="25" t="s">
        <v>473</v>
      </c>
      <c r="AX82" s="27" t="s">
        <v>95</v>
      </c>
      <c r="AY82" s="27"/>
      <c r="AZ82" s="32" t="s">
        <v>559</v>
      </c>
      <c r="BA82" s="41">
        <v>0</v>
      </c>
    </row>
    <row r="83" spans="1:53" x14ac:dyDescent="0.2">
      <c r="A83" s="25">
        <v>67</v>
      </c>
      <c r="B83" s="26">
        <v>45499</v>
      </c>
      <c r="C83" s="27" t="s">
        <v>200</v>
      </c>
      <c r="D83" s="25"/>
      <c r="E83" s="28"/>
      <c r="F83" s="27"/>
      <c r="G83" s="28"/>
      <c r="H83" s="27"/>
      <c r="I83" s="28"/>
      <c r="J83" s="27">
        <v>8</v>
      </c>
      <c r="K83" s="29" t="s">
        <v>35</v>
      </c>
      <c r="L83" s="39" t="s">
        <v>571</v>
      </c>
      <c r="M83" s="31"/>
      <c r="N83" s="27" t="s">
        <v>367</v>
      </c>
      <c r="P83" s="32"/>
      <c r="Q83" s="25"/>
      <c r="R83" s="27"/>
      <c r="S83" s="27"/>
      <c r="T83" s="28"/>
      <c r="U83" s="27" t="s">
        <v>572</v>
      </c>
      <c r="V83" s="27" t="s">
        <v>154</v>
      </c>
      <c r="W83" s="28"/>
      <c r="X83" s="33"/>
      <c r="Y83" s="32"/>
      <c r="Z83" s="25"/>
      <c r="AA83" s="27"/>
      <c r="AB83" s="28"/>
      <c r="AC83" s="27"/>
      <c r="AD83" s="27"/>
      <c r="AE83" s="33"/>
      <c r="AG83" s="25"/>
      <c r="AH83" s="34"/>
      <c r="AI83" s="27"/>
      <c r="AJ83" s="27"/>
      <c r="AK83" s="27"/>
      <c r="AL83" s="25"/>
      <c r="AM83" s="34"/>
      <c r="AN83" s="27">
        <v>0.1</v>
      </c>
      <c r="AO83" s="27">
        <v>0.1</v>
      </c>
      <c r="AP83" s="36">
        <v>0.1</v>
      </c>
      <c r="AQ83" s="37"/>
      <c r="AR83" s="32" t="s">
        <v>570</v>
      </c>
      <c r="AS83" s="25" t="s">
        <v>386</v>
      </c>
      <c r="AT83" s="27" t="s">
        <v>87</v>
      </c>
      <c r="AU83" s="27"/>
      <c r="AV83" s="27" t="s">
        <v>573</v>
      </c>
      <c r="AW83" s="25" t="s">
        <v>473</v>
      </c>
      <c r="AX83" s="27" t="s">
        <v>95</v>
      </c>
      <c r="AY83" s="27"/>
      <c r="AZ83" s="32"/>
      <c r="BA83" s="41">
        <v>2</v>
      </c>
    </row>
    <row r="84" spans="1:53" x14ac:dyDescent="0.2">
      <c r="A84" s="25">
        <v>68</v>
      </c>
      <c r="B84" s="26">
        <v>45500</v>
      </c>
      <c r="C84" s="27" t="s">
        <v>200</v>
      </c>
      <c r="D84" s="25"/>
      <c r="E84" s="28"/>
      <c r="F84" s="27"/>
      <c r="G84" s="28"/>
      <c r="H84" s="27"/>
      <c r="I84" s="28"/>
      <c r="J84" s="27">
        <v>8</v>
      </c>
      <c r="K84" s="29" t="s">
        <v>35</v>
      </c>
      <c r="L84" s="39" t="s">
        <v>575</v>
      </c>
      <c r="M84" s="31"/>
      <c r="N84" s="27" t="s">
        <v>367</v>
      </c>
      <c r="P84" s="32"/>
      <c r="Q84" s="25"/>
      <c r="R84" s="27"/>
      <c r="S84" s="27"/>
      <c r="T84" s="28"/>
      <c r="U84" s="27"/>
      <c r="V84" s="27" t="s">
        <v>502</v>
      </c>
      <c r="W84" s="28"/>
      <c r="X84" s="33"/>
      <c r="Y84" s="32"/>
      <c r="Z84" s="25"/>
      <c r="AA84" s="27"/>
      <c r="AB84" s="28"/>
      <c r="AC84" s="27"/>
      <c r="AD84" s="27"/>
      <c r="AE84" s="33"/>
      <c r="AG84" s="25"/>
      <c r="AH84" s="34"/>
      <c r="AI84" s="27"/>
      <c r="AJ84" s="27"/>
      <c r="AK84" s="27"/>
      <c r="AL84" s="25"/>
      <c r="AM84" s="34"/>
      <c r="AN84" s="27">
        <v>0.1</v>
      </c>
      <c r="AO84" s="27">
        <v>0.1</v>
      </c>
      <c r="AP84" s="36">
        <v>0.1</v>
      </c>
      <c r="AQ84" s="37"/>
      <c r="AR84" s="32"/>
      <c r="AS84" s="25" t="s">
        <v>386</v>
      </c>
      <c r="AT84" s="27" t="s">
        <v>87</v>
      </c>
      <c r="AU84" s="27"/>
      <c r="AW84" s="25" t="s">
        <v>473</v>
      </c>
      <c r="AX84" s="27" t="s">
        <v>95</v>
      </c>
      <c r="AY84" s="27"/>
      <c r="AZ84" s="32"/>
      <c r="BA84" s="41">
        <v>9</v>
      </c>
    </row>
    <row r="85" spans="1:53" x14ac:dyDescent="0.2">
      <c r="A85" s="25">
        <v>69</v>
      </c>
      <c r="B85" s="26">
        <v>45501</v>
      </c>
      <c r="C85" s="27" t="s">
        <v>200</v>
      </c>
      <c r="D85" s="25"/>
      <c r="E85" s="28"/>
      <c r="F85" s="27"/>
      <c r="G85" s="28"/>
      <c r="H85" s="27"/>
      <c r="I85" s="28"/>
      <c r="J85" s="27">
        <v>8</v>
      </c>
      <c r="K85" s="29" t="s">
        <v>35</v>
      </c>
      <c r="L85" s="39"/>
      <c r="M85" s="31"/>
      <c r="N85" s="27" t="s">
        <v>577</v>
      </c>
      <c r="O85" t="s">
        <v>578</v>
      </c>
      <c r="P85" s="32"/>
      <c r="Q85" s="25"/>
      <c r="R85" s="27"/>
      <c r="S85" s="27"/>
      <c r="T85" s="28"/>
      <c r="U85" s="27" t="s">
        <v>572</v>
      </c>
      <c r="V85" s="27"/>
      <c r="W85" s="28" t="s">
        <v>572</v>
      </c>
      <c r="X85" s="33"/>
      <c r="Y85" s="32"/>
      <c r="Z85" s="25"/>
      <c r="AA85" s="27"/>
      <c r="AB85" s="28"/>
      <c r="AC85" s="27"/>
      <c r="AD85" s="27"/>
      <c r="AE85" s="33"/>
      <c r="AG85" s="25"/>
      <c r="AH85" s="34"/>
      <c r="AI85" s="27">
        <v>0.1</v>
      </c>
      <c r="AJ85" s="27">
        <v>0.1</v>
      </c>
      <c r="AK85" s="27">
        <v>0.1</v>
      </c>
      <c r="AL85" s="25"/>
      <c r="AM85" s="34"/>
      <c r="AN85" s="27">
        <v>0.05</v>
      </c>
      <c r="AO85" s="27">
        <v>0.05</v>
      </c>
      <c r="AP85" s="36">
        <v>0.05</v>
      </c>
      <c r="AQ85" s="37" t="s">
        <v>579</v>
      </c>
      <c r="AR85" s="32" t="s">
        <v>580</v>
      </c>
      <c r="AS85" s="25" t="s">
        <v>486</v>
      </c>
      <c r="AT85" s="27" t="s">
        <v>87</v>
      </c>
      <c r="AU85" s="27"/>
      <c r="AW85" s="25" t="s">
        <v>473</v>
      </c>
      <c r="AX85" s="27" t="s">
        <v>95</v>
      </c>
      <c r="AY85" s="27"/>
      <c r="AZ85" s="32"/>
      <c r="BA85" s="41">
        <v>1</v>
      </c>
    </row>
    <row r="86" spans="1:53" x14ac:dyDescent="0.2">
      <c r="A86" s="25">
        <v>70</v>
      </c>
      <c r="B86" s="26">
        <v>45502</v>
      </c>
      <c r="C86" s="27" t="s">
        <v>232</v>
      </c>
      <c r="D86" s="25"/>
      <c r="E86" s="28"/>
      <c r="F86" s="27"/>
      <c r="G86" s="28"/>
      <c r="H86" s="27"/>
      <c r="I86" s="28"/>
      <c r="J86" s="27">
        <v>8</v>
      </c>
      <c r="K86" s="29" t="s">
        <v>35</v>
      </c>
      <c r="L86" s="39"/>
      <c r="M86" s="31"/>
      <c r="N86" s="27" t="s">
        <v>585</v>
      </c>
      <c r="O86" t="s">
        <v>586</v>
      </c>
      <c r="P86" s="32"/>
      <c r="Q86" s="25"/>
      <c r="R86" s="27"/>
      <c r="S86" s="27"/>
      <c r="T86" s="28"/>
      <c r="U86" s="27" t="s">
        <v>572</v>
      </c>
      <c r="V86" s="27"/>
      <c r="W86" s="28" t="s">
        <v>572</v>
      </c>
      <c r="X86" s="33"/>
      <c r="Y86" s="32"/>
      <c r="Z86" s="25"/>
      <c r="AA86" s="27"/>
      <c r="AB86" s="28"/>
      <c r="AC86" s="27"/>
      <c r="AD86" s="27"/>
      <c r="AE86" s="33"/>
      <c r="AG86" s="25"/>
      <c r="AH86" s="34"/>
      <c r="AI86" s="27"/>
      <c r="AJ86" s="27"/>
      <c r="AK86" s="27"/>
      <c r="AL86" s="25"/>
      <c r="AM86" s="34"/>
      <c r="AN86" s="27">
        <v>0.1</v>
      </c>
      <c r="AO86" s="27">
        <v>0.1</v>
      </c>
      <c r="AP86" s="36">
        <v>0.1</v>
      </c>
      <c r="AQ86" s="37"/>
      <c r="AR86" s="32"/>
      <c r="AS86" s="25" t="s">
        <v>386</v>
      </c>
      <c r="AT86" s="27" t="s">
        <v>87</v>
      </c>
      <c r="AU86" s="27"/>
      <c r="AW86" s="25" t="s">
        <v>473</v>
      </c>
      <c r="AX86" s="27" t="s">
        <v>95</v>
      </c>
      <c r="AY86" s="27"/>
      <c r="AZ86" s="32"/>
      <c r="BA86" s="41">
        <v>0</v>
      </c>
    </row>
    <row r="87" spans="1:53" x14ac:dyDescent="0.2">
      <c r="A87" s="25">
        <v>71</v>
      </c>
      <c r="B87" s="26">
        <v>45503</v>
      </c>
      <c r="C87" s="27" t="s">
        <v>227</v>
      </c>
      <c r="D87" s="25"/>
      <c r="E87" s="28"/>
      <c r="F87" s="27"/>
      <c r="G87" s="28"/>
      <c r="H87" s="27"/>
      <c r="I87" s="28"/>
      <c r="J87" s="27">
        <v>8</v>
      </c>
      <c r="K87" s="29" t="s">
        <v>35</v>
      </c>
      <c r="L87" s="39" t="s">
        <v>587</v>
      </c>
      <c r="M87" s="31" t="s">
        <v>589</v>
      </c>
      <c r="N87" s="27"/>
      <c r="P87" s="32" t="s">
        <v>590</v>
      </c>
      <c r="Q87" s="25"/>
      <c r="R87" s="27"/>
      <c r="S87" s="27"/>
      <c r="T87" s="28"/>
      <c r="U87" s="27" t="s">
        <v>572</v>
      </c>
      <c r="V87" s="27"/>
      <c r="W87" s="28"/>
      <c r="X87" s="33"/>
      <c r="Y87" s="32"/>
      <c r="Z87" s="25"/>
      <c r="AA87" s="27"/>
      <c r="AB87" s="28"/>
      <c r="AC87" s="27"/>
      <c r="AD87" s="27"/>
      <c r="AE87" s="33"/>
      <c r="AF87" s="32"/>
      <c r="AG87" s="90"/>
      <c r="AH87" s="91"/>
      <c r="AI87" s="27">
        <v>0.05</v>
      </c>
      <c r="AJ87" s="27">
        <v>0.05</v>
      </c>
      <c r="AK87" s="28">
        <v>0.05</v>
      </c>
      <c r="AL87" s="27"/>
      <c r="AM87" s="27"/>
      <c r="AN87" s="27">
        <v>0.05</v>
      </c>
      <c r="AO87" s="27">
        <v>0.05</v>
      </c>
      <c r="AP87" s="36">
        <v>0.05</v>
      </c>
      <c r="AQ87" s="37"/>
      <c r="AR87" s="32" t="s">
        <v>591</v>
      </c>
      <c r="AS87" s="25" t="s">
        <v>82</v>
      </c>
      <c r="AT87" s="27" t="s">
        <v>87</v>
      </c>
      <c r="AU87" s="27"/>
      <c r="AW87" s="25" t="s">
        <v>473</v>
      </c>
      <c r="AX87" s="27" t="s">
        <v>95</v>
      </c>
      <c r="AY87" s="27"/>
      <c r="AZ87" s="32"/>
      <c r="BA87" s="41">
        <v>56</v>
      </c>
    </row>
    <row r="88" spans="1:53" x14ac:dyDescent="0.2">
      <c r="A88" s="25">
        <v>72</v>
      </c>
      <c r="B88" s="26">
        <v>45504</v>
      </c>
      <c r="C88" s="27"/>
      <c r="D88" s="25"/>
      <c r="E88" s="28"/>
      <c r="F88" s="27"/>
      <c r="G88" s="28"/>
      <c r="H88" s="27"/>
      <c r="I88" s="28"/>
      <c r="J88" s="27">
        <v>8</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S88" s="25" t="s">
        <v>96</v>
      </c>
      <c r="AT88" s="27" t="s">
        <v>87</v>
      </c>
      <c r="AU88" s="27"/>
      <c r="AW88" s="25" t="s">
        <v>90</v>
      </c>
      <c r="AX88" s="27" t="s">
        <v>95</v>
      </c>
      <c r="AY88" s="27"/>
      <c r="AZ88" s="32"/>
      <c r="BA88" s="41"/>
    </row>
    <row r="89" spans="1:53" x14ac:dyDescent="0.2">
      <c r="A89" s="25">
        <v>73</v>
      </c>
      <c r="B89" s="26">
        <v>45505</v>
      </c>
      <c r="C89" s="27"/>
      <c r="D89" s="25"/>
      <c r="E89" s="28"/>
      <c r="F89" s="27"/>
      <c r="G89" s="28"/>
      <c r="H89" s="27"/>
      <c r="I89" s="28"/>
      <c r="J89" s="27">
        <v>8</v>
      </c>
      <c r="K89" s="29" t="s">
        <v>35</v>
      </c>
      <c r="L89" s="173"/>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S89" s="25" t="s">
        <v>96</v>
      </c>
      <c r="AT89" s="27" t="s">
        <v>87</v>
      </c>
      <c r="AU89" s="27"/>
      <c r="AW89" s="25" t="s">
        <v>90</v>
      </c>
      <c r="AX89" s="27" t="s">
        <v>95</v>
      </c>
      <c r="AY89" s="27"/>
      <c r="AZ89" s="32"/>
      <c r="BA89" s="41"/>
    </row>
    <row r="90" spans="1:53" x14ac:dyDescent="0.2">
      <c r="A90" s="25">
        <v>74</v>
      </c>
      <c r="B90" s="26">
        <v>45506</v>
      </c>
      <c r="C90" s="27"/>
      <c r="D90" s="25"/>
      <c r="E90" s="28"/>
      <c r="F90" s="27"/>
      <c r="G90" s="28"/>
      <c r="H90" s="27"/>
      <c r="I90" s="28"/>
      <c r="J90" s="27">
        <v>8</v>
      </c>
      <c r="K90" s="29" t="s">
        <v>35</v>
      </c>
      <c r="L90" s="173"/>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S90" s="25" t="s">
        <v>96</v>
      </c>
      <c r="AT90" s="27" t="s">
        <v>87</v>
      </c>
      <c r="AU90" s="27"/>
      <c r="AW90" s="25" t="s">
        <v>90</v>
      </c>
      <c r="AX90" s="27" t="s">
        <v>95</v>
      </c>
      <c r="AY90" s="27"/>
      <c r="AZ90" s="32"/>
      <c r="BA90" s="41"/>
    </row>
    <row r="91" spans="1:53" x14ac:dyDescent="0.2">
      <c r="A91" s="25">
        <v>75</v>
      </c>
      <c r="B91" s="26">
        <v>45507</v>
      </c>
      <c r="C91" s="27"/>
      <c r="D91" s="25"/>
      <c r="E91" s="28"/>
      <c r="F91" s="27"/>
      <c r="G91" s="28"/>
      <c r="H91" s="27"/>
      <c r="I91" s="28"/>
      <c r="J91" s="27">
        <v>8</v>
      </c>
      <c r="K91" s="29" t="s">
        <v>35</v>
      </c>
      <c r="L91" s="173"/>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t="s">
        <v>96</v>
      </c>
      <c r="AT91" s="27" t="s">
        <v>87</v>
      </c>
      <c r="AU91" s="27"/>
      <c r="AW91" s="25" t="s">
        <v>90</v>
      </c>
      <c r="AX91" s="27" t="s">
        <v>95</v>
      </c>
      <c r="AY91" s="27"/>
      <c r="AZ91" s="32"/>
      <c r="BA91" s="41"/>
    </row>
    <row r="92" spans="1:53" x14ac:dyDescent="0.2">
      <c r="A92" s="25">
        <v>76</v>
      </c>
      <c r="B92" s="26">
        <v>45508</v>
      </c>
      <c r="C92" s="27"/>
      <c r="D92" s="25"/>
      <c r="E92" s="28"/>
      <c r="F92" s="27"/>
      <c r="G92" s="28"/>
      <c r="H92" s="27"/>
      <c r="I92" s="28"/>
      <c r="J92" s="27">
        <v>8</v>
      </c>
      <c r="K92" s="29" t="s">
        <v>35</v>
      </c>
      <c r="L92" s="173"/>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t="s">
        <v>96</v>
      </c>
      <c r="AT92" s="27" t="s">
        <v>87</v>
      </c>
      <c r="AU92" s="27"/>
      <c r="AW92" s="25" t="s">
        <v>90</v>
      </c>
      <c r="AX92" s="27" t="s">
        <v>95</v>
      </c>
      <c r="AY92" s="27"/>
      <c r="AZ92" s="32"/>
      <c r="BA92" s="41"/>
    </row>
    <row r="93" spans="1:53" x14ac:dyDescent="0.2">
      <c r="A93" s="25">
        <v>77</v>
      </c>
      <c r="B93" s="26">
        <v>45509</v>
      </c>
      <c r="C93" s="27"/>
      <c r="D93" s="25"/>
      <c r="E93" s="28"/>
      <c r="F93" s="27"/>
      <c r="G93" s="28"/>
      <c r="H93" s="27"/>
      <c r="I93" s="28"/>
      <c r="J93" s="27">
        <v>8</v>
      </c>
      <c r="K93" s="29" t="s">
        <v>35</v>
      </c>
      <c r="L93" s="173"/>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t="s">
        <v>96</v>
      </c>
      <c r="AT93" s="27" t="s">
        <v>87</v>
      </c>
      <c r="AU93" s="27"/>
      <c r="AW93" s="25" t="s">
        <v>90</v>
      </c>
      <c r="AX93" s="27" t="s">
        <v>95</v>
      </c>
      <c r="AY93" s="27"/>
      <c r="AZ93" s="32"/>
      <c r="BA93" s="41"/>
    </row>
    <row r="94" spans="1:53" x14ac:dyDescent="0.2">
      <c r="A94" s="25">
        <v>78</v>
      </c>
      <c r="B94" s="26">
        <v>45510</v>
      </c>
      <c r="C94" s="27"/>
      <c r="D94" s="25"/>
      <c r="E94" s="28"/>
      <c r="F94" s="27"/>
      <c r="G94" s="28"/>
      <c r="H94" s="27"/>
      <c r="I94" s="28"/>
      <c r="J94" s="27">
        <v>8</v>
      </c>
      <c r="K94" s="29" t="s">
        <v>35</v>
      </c>
      <c r="L94" s="173"/>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t="s">
        <v>96</v>
      </c>
      <c r="AT94" s="27" t="s">
        <v>87</v>
      </c>
      <c r="AU94" s="27"/>
      <c r="AW94" s="25" t="s">
        <v>90</v>
      </c>
      <c r="AX94" s="27" t="s">
        <v>95</v>
      </c>
      <c r="AY94" s="27"/>
      <c r="AZ94" s="32"/>
      <c r="BA94" s="41"/>
    </row>
    <row r="95" spans="1:53" x14ac:dyDescent="0.2">
      <c r="A95" s="25">
        <v>79</v>
      </c>
      <c r="B95" s="26">
        <v>45511</v>
      </c>
      <c r="C95" s="27"/>
      <c r="D95" s="25"/>
      <c r="E95" s="28"/>
      <c r="F95" s="27"/>
      <c r="G95" s="28"/>
      <c r="H95" s="27"/>
      <c r="I95" s="28"/>
      <c r="J95" s="27">
        <v>8</v>
      </c>
      <c r="K95" s="29" t="s">
        <v>35</v>
      </c>
      <c r="L95" s="173"/>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t="s">
        <v>96</v>
      </c>
      <c r="AT95" s="27" t="s">
        <v>87</v>
      </c>
      <c r="AU95" s="27"/>
      <c r="AW95" s="25" t="s">
        <v>90</v>
      </c>
      <c r="AX95" s="27" t="s">
        <v>95</v>
      </c>
      <c r="AY95" s="27"/>
      <c r="AZ95" s="32"/>
      <c r="BA95" s="41"/>
    </row>
    <row r="96" spans="1:53" x14ac:dyDescent="0.2">
      <c r="A96" s="25">
        <v>80</v>
      </c>
      <c r="B96" s="26">
        <v>45512</v>
      </c>
      <c r="C96" s="27"/>
      <c r="D96" s="25"/>
      <c r="E96" s="28"/>
      <c r="F96" s="27"/>
      <c r="G96" s="28"/>
      <c r="H96" s="27"/>
      <c r="I96" s="28"/>
      <c r="J96" s="27">
        <v>8</v>
      </c>
      <c r="K96" s="29" t="s">
        <v>35</v>
      </c>
      <c r="L96" s="173"/>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t="s">
        <v>96</v>
      </c>
      <c r="AT96" s="27" t="s">
        <v>87</v>
      </c>
      <c r="AU96" s="27"/>
      <c r="AW96" s="25" t="s">
        <v>90</v>
      </c>
      <c r="AX96" s="27" t="s">
        <v>95</v>
      </c>
      <c r="AY96" s="27"/>
      <c r="AZ96" s="32"/>
      <c r="BA96" s="41"/>
    </row>
    <row r="97" spans="1:53" x14ac:dyDescent="0.2">
      <c r="A97" s="25">
        <v>81</v>
      </c>
      <c r="B97" s="26">
        <v>45513</v>
      </c>
      <c r="C97" s="27"/>
      <c r="D97" s="25"/>
      <c r="E97" s="28"/>
      <c r="F97" s="27"/>
      <c r="G97" s="28"/>
      <c r="H97" s="27"/>
      <c r="I97" s="28"/>
      <c r="J97" s="27">
        <v>8</v>
      </c>
      <c r="K97" s="29" t="s">
        <v>35</v>
      </c>
      <c r="L97" s="173"/>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t="s">
        <v>96</v>
      </c>
      <c r="AT97" s="27" t="s">
        <v>87</v>
      </c>
      <c r="AU97" s="27"/>
      <c r="AW97" s="25" t="s">
        <v>90</v>
      </c>
      <c r="AX97" s="27" t="s">
        <v>95</v>
      </c>
      <c r="AY97" s="27"/>
      <c r="AZ97" s="32"/>
      <c r="BA97" s="41"/>
    </row>
    <row r="98" spans="1:53" x14ac:dyDescent="0.2">
      <c r="A98" s="25">
        <v>82</v>
      </c>
      <c r="B98" s="26">
        <v>45514</v>
      </c>
      <c r="C98" s="27"/>
      <c r="D98" s="25"/>
      <c r="E98" s="28"/>
      <c r="F98" s="27"/>
      <c r="G98" s="28"/>
      <c r="H98" s="27"/>
      <c r="I98" s="28"/>
      <c r="J98" s="27">
        <v>8</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c r="AO98" s="27"/>
      <c r="AP98" s="36"/>
      <c r="AQ98" s="37"/>
      <c r="AR98" s="32"/>
      <c r="AS98" s="25" t="s">
        <v>96</v>
      </c>
      <c r="AT98" s="27" t="s">
        <v>87</v>
      </c>
      <c r="AU98" s="27"/>
      <c r="AW98" s="25" t="s">
        <v>90</v>
      </c>
      <c r="AX98" s="27" t="s">
        <v>95</v>
      </c>
      <c r="AY98" s="27"/>
      <c r="AZ98" s="32"/>
      <c r="BA98" s="41"/>
    </row>
    <row r="99" spans="1:53" x14ac:dyDescent="0.2">
      <c r="A99" s="25">
        <v>83</v>
      </c>
      <c r="B99" s="26">
        <v>45515</v>
      </c>
      <c r="C99" s="27"/>
      <c r="D99" s="25"/>
      <c r="E99" s="28"/>
      <c r="F99" s="27"/>
      <c r="G99" s="28"/>
      <c r="H99" s="27"/>
      <c r="I99" s="28"/>
      <c r="J99" s="27">
        <v>8</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c r="AO99" s="27"/>
      <c r="AP99" s="36"/>
      <c r="AQ99" s="37"/>
      <c r="AR99" s="32"/>
      <c r="AS99" s="25" t="s">
        <v>96</v>
      </c>
      <c r="AT99" s="27" t="s">
        <v>87</v>
      </c>
      <c r="AU99" s="27"/>
      <c r="AW99" s="25" t="s">
        <v>90</v>
      </c>
      <c r="AX99" s="27" t="s">
        <v>95</v>
      </c>
      <c r="AY99" s="27"/>
      <c r="AZ99" s="32"/>
      <c r="BA99" s="41"/>
    </row>
    <row r="100" spans="1:53" x14ac:dyDescent="0.2">
      <c r="A100" s="25">
        <v>84</v>
      </c>
      <c r="B100" s="26">
        <v>45516</v>
      </c>
      <c r="C100" s="27"/>
      <c r="D100" s="25"/>
      <c r="E100" s="28"/>
      <c r="F100" s="27"/>
      <c r="G100" s="28"/>
      <c r="H100" s="27"/>
      <c r="I100" s="28"/>
      <c r="J100" s="27">
        <v>8</v>
      </c>
      <c r="K100" s="29" t="s">
        <v>35</v>
      </c>
      <c r="L100" s="39"/>
      <c r="M100" s="31"/>
      <c r="N100" s="27"/>
      <c r="P100" s="32"/>
      <c r="Q100" s="25"/>
      <c r="R100" s="27"/>
      <c r="S100" s="27"/>
      <c r="T100" s="28"/>
      <c r="U100" s="27"/>
      <c r="V100" s="27"/>
      <c r="W100" s="28"/>
      <c r="X100" s="33"/>
      <c r="Y100" s="32"/>
      <c r="Z100" s="25"/>
      <c r="AA100" s="27"/>
      <c r="AB100" s="28"/>
      <c r="AC100" s="27"/>
      <c r="AD100" s="27"/>
      <c r="AE100" s="33"/>
      <c r="AF100" s="32"/>
      <c r="AG100" s="90"/>
      <c r="AH100" s="91"/>
      <c r="AI100" s="27"/>
      <c r="AJ100" s="27"/>
      <c r="AK100" s="28"/>
      <c r="AL100" s="27"/>
      <c r="AM100" s="27"/>
      <c r="AN100" s="27"/>
      <c r="AO100" s="27"/>
      <c r="AP100" s="36"/>
      <c r="AQ100" s="37"/>
      <c r="AR100" s="32"/>
      <c r="AS100" s="25" t="s">
        <v>96</v>
      </c>
      <c r="AT100" s="27" t="s">
        <v>87</v>
      </c>
      <c r="AU100" s="27"/>
      <c r="AW100" s="25" t="s">
        <v>90</v>
      </c>
      <c r="AX100" s="27" t="s">
        <v>95</v>
      </c>
      <c r="AY100" s="27"/>
      <c r="AZ100" s="32"/>
      <c r="BA100" s="41"/>
    </row>
    <row r="101" spans="1:53" x14ac:dyDescent="0.2">
      <c r="A101" s="25">
        <v>85</v>
      </c>
      <c r="B101" s="26">
        <v>45517</v>
      </c>
      <c r="C101" s="27"/>
      <c r="D101" s="25"/>
      <c r="E101" s="28"/>
      <c r="F101" s="27"/>
      <c r="G101" s="28"/>
      <c r="H101" s="27"/>
      <c r="I101" s="28"/>
      <c r="J101" s="27">
        <v>8</v>
      </c>
      <c r="K101" s="29" t="s">
        <v>35</v>
      </c>
      <c r="L101" s="39"/>
      <c r="M101" s="31"/>
      <c r="N101" s="27"/>
      <c r="P101" s="32"/>
      <c r="Q101" s="25"/>
      <c r="R101" s="27"/>
      <c r="S101" s="27"/>
      <c r="T101" s="28"/>
      <c r="U101" s="27"/>
      <c r="V101" s="27"/>
      <c r="W101" s="28"/>
      <c r="X101" s="33"/>
      <c r="Y101" s="32"/>
      <c r="Z101" s="25"/>
      <c r="AA101" s="27"/>
      <c r="AB101" s="28"/>
      <c r="AC101" s="27"/>
      <c r="AD101" s="27"/>
      <c r="AE101" s="33"/>
      <c r="AF101" s="32"/>
      <c r="AG101" s="90"/>
      <c r="AH101" s="91"/>
      <c r="AI101" s="27"/>
      <c r="AJ101" s="27"/>
      <c r="AK101" s="28"/>
      <c r="AL101" s="27"/>
      <c r="AM101" s="27"/>
      <c r="AN101" s="27"/>
      <c r="AO101" s="27"/>
      <c r="AP101" s="36"/>
      <c r="AQ101" s="37"/>
      <c r="AR101" s="32"/>
      <c r="AS101" s="25" t="s">
        <v>96</v>
      </c>
      <c r="AT101" s="27" t="s">
        <v>87</v>
      </c>
      <c r="AU101" s="27"/>
      <c r="AW101" s="25" t="s">
        <v>90</v>
      </c>
      <c r="AX101" s="27" t="s">
        <v>95</v>
      </c>
      <c r="AY101" s="27"/>
      <c r="AZ101" s="32"/>
      <c r="BA101" s="41"/>
    </row>
    <row r="102" spans="1:53" x14ac:dyDescent="0.2">
      <c r="A102" s="25">
        <v>86</v>
      </c>
      <c r="B102" s="26">
        <v>45518</v>
      </c>
      <c r="C102" s="27"/>
      <c r="D102" s="25"/>
      <c r="E102" s="28"/>
      <c r="F102" s="27"/>
      <c r="G102" s="28"/>
      <c r="H102" s="27"/>
      <c r="I102" s="28"/>
      <c r="J102" s="27">
        <v>8</v>
      </c>
      <c r="K102" s="29" t="s">
        <v>35</v>
      </c>
      <c r="L102" s="39"/>
      <c r="M102" s="31"/>
      <c r="N102" s="27"/>
      <c r="P102" s="32"/>
      <c r="Q102" s="25"/>
      <c r="R102" s="27"/>
      <c r="S102" s="27"/>
      <c r="T102" s="28"/>
      <c r="U102" s="27"/>
      <c r="V102" s="27"/>
      <c r="W102" s="28"/>
      <c r="X102" s="33"/>
      <c r="Y102" s="32"/>
      <c r="Z102" s="25"/>
      <c r="AA102" s="27"/>
      <c r="AB102" s="28"/>
      <c r="AC102" s="27"/>
      <c r="AD102" s="27"/>
      <c r="AE102" s="33"/>
      <c r="AF102" s="32"/>
      <c r="AG102" s="90"/>
      <c r="AH102" s="91"/>
      <c r="AI102" s="27"/>
      <c r="AJ102" s="27"/>
      <c r="AK102" s="28"/>
      <c r="AL102" s="27"/>
      <c r="AM102" s="27"/>
      <c r="AN102" s="27"/>
      <c r="AO102" s="27"/>
      <c r="AP102" s="36"/>
      <c r="AQ102" s="37"/>
      <c r="AR102" s="32"/>
      <c r="AS102" s="25" t="s">
        <v>96</v>
      </c>
      <c r="AT102" s="27" t="s">
        <v>87</v>
      </c>
      <c r="AU102" s="27"/>
      <c r="AW102" s="25" t="s">
        <v>90</v>
      </c>
      <c r="AX102" s="27" t="s">
        <v>95</v>
      </c>
      <c r="AY102" s="27"/>
      <c r="AZ102" s="32"/>
      <c r="BA102" s="41"/>
    </row>
    <row r="103" spans="1:53" x14ac:dyDescent="0.2">
      <c r="A103" s="25">
        <v>87</v>
      </c>
      <c r="B103" s="26">
        <v>45519</v>
      </c>
      <c r="C103" s="27"/>
      <c r="D103" s="25"/>
      <c r="E103" s="28"/>
      <c r="F103" s="27"/>
      <c r="G103" s="28"/>
      <c r="H103" s="27"/>
      <c r="I103" s="28"/>
      <c r="J103" s="27">
        <v>8</v>
      </c>
      <c r="K103" s="29" t="s">
        <v>35</v>
      </c>
      <c r="L103" s="39"/>
      <c r="M103" s="31"/>
      <c r="N103" s="27"/>
      <c r="P103" s="32"/>
      <c r="Q103" s="25"/>
      <c r="R103" s="27"/>
      <c r="S103" s="27"/>
      <c r="T103" s="28"/>
      <c r="U103" s="27"/>
      <c r="V103" s="27"/>
      <c r="W103" s="28"/>
      <c r="X103" s="33"/>
      <c r="Y103" s="32"/>
      <c r="Z103" s="25"/>
      <c r="AA103" s="27"/>
      <c r="AB103" s="28"/>
      <c r="AC103" s="27"/>
      <c r="AD103" s="27"/>
      <c r="AE103" s="33"/>
      <c r="AF103" s="32"/>
      <c r="AG103" s="90"/>
      <c r="AH103" s="91"/>
      <c r="AI103" s="27"/>
      <c r="AJ103" s="27"/>
      <c r="AK103" s="28"/>
      <c r="AL103" s="27"/>
      <c r="AM103" s="27"/>
      <c r="AN103" s="27"/>
      <c r="AO103" s="27"/>
      <c r="AP103" s="36"/>
      <c r="AQ103" s="37"/>
      <c r="AR103" s="32"/>
      <c r="AS103" s="25" t="s">
        <v>96</v>
      </c>
      <c r="AT103" s="27" t="s">
        <v>87</v>
      </c>
      <c r="AU103" s="27"/>
      <c r="AW103" s="25" t="s">
        <v>90</v>
      </c>
      <c r="AX103" s="27" t="s">
        <v>95</v>
      </c>
      <c r="AY103" s="27"/>
      <c r="AZ103" s="32"/>
      <c r="BA103" s="41"/>
    </row>
    <row r="104" spans="1:53" x14ac:dyDescent="0.2">
      <c r="A104" s="25">
        <v>88</v>
      </c>
      <c r="B104" s="26">
        <v>45520</v>
      </c>
      <c r="C104" s="27"/>
      <c r="D104" s="25"/>
      <c r="E104" s="28"/>
      <c r="F104" s="27"/>
      <c r="G104" s="28"/>
      <c r="H104" s="27"/>
      <c r="I104" s="28"/>
      <c r="J104" s="27">
        <v>8</v>
      </c>
      <c r="K104" s="29" t="s">
        <v>35</v>
      </c>
      <c r="L104" s="39"/>
      <c r="M104" s="31"/>
      <c r="N104" s="27"/>
      <c r="P104" s="32"/>
      <c r="Q104" s="25"/>
      <c r="R104" s="27"/>
      <c r="S104" s="27"/>
      <c r="T104" s="28"/>
      <c r="U104" s="27"/>
      <c r="V104" s="27"/>
      <c r="W104" s="28"/>
      <c r="X104" s="33"/>
      <c r="Y104" s="32"/>
      <c r="Z104" s="25"/>
      <c r="AA104" s="27"/>
      <c r="AB104" s="28"/>
      <c r="AC104" s="27"/>
      <c r="AD104" s="27"/>
      <c r="AE104" s="33"/>
      <c r="AF104" s="32"/>
      <c r="AG104" s="90"/>
      <c r="AH104" s="91"/>
      <c r="AI104" s="27"/>
      <c r="AJ104" s="27"/>
      <c r="AK104" s="28"/>
      <c r="AL104" s="27"/>
      <c r="AM104" s="27"/>
      <c r="AN104" s="27"/>
      <c r="AO104" s="27"/>
      <c r="AP104" s="36"/>
      <c r="AQ104" s="37"/>
      <c r="AR104" s="32"/>
      <c r="AS104" s="25" t="s">
        <v>96</v>
      </c>
      <c r="AT104" s="27" t="s">
        <v>87</v>
      </c>
      <c r="AU104" s="27"/>
      <c r="AW104" s="25" t="s">
        <v>90</v>
      </c>
      <c r="AX104" s="27" t="s">
        <v>95</v>
      </c>
      <c r="AY104" s="27"/>
      <c r="AZ104" s="32"/>
      <c r="BA104" s="41"/>
    </row>
    <row r="105" spans="1:53" x14ac:dyDescent="0.2">
      <c r="A105" s="25">
        <v>89</v>
      </c>
      <c r="B105" s="26">
        <v>45521</v>
      </c>
      <c r="C105" s="27"/>
      <c r="D105" s="25"/>
      <c r="E105" s="28"/>
      <c r="F105" s="27"/>
      <c r="G105" s="28"/>
      <c r="H105" s="27"/>
      <c r="I105" s="28"/>
      <c r="J105" s="27">
        <v>8</v>
      </c>
      <c r="K105" s="29" t="s">
        <v>35</v>
      </c>
      <c r="L105" s="39"/>
      <c r="M105" s="31"/>
      <c r="N105" s="27"/>
      <c r="P105" s="32"/>
      <c r="Q105" s="25"/>
      <c r="R105" s="27"/>
      <c r="S105" s="27"/>
      <c r="T105" s="28"/>
      <c r="U105" s="27"/>
      <c r="V105" s="27"/>
      <c r="W105" s="28"/>
      <c r="X105" s="33"/>
      <c r="Y105" s="32"/>
      <c r="Z105" s="25"/>
      <c r="AA105" s="27"/>
      <c r="AB105" s="28"/>
      <c r="AC105" s="27"/>
      <c r="AD105" s="27"/>
      <c r="AE105" s="33"/>
      <c r="AF105" s="32"/>
      <c r="AG105" s="90"/>
      <c r="AH105" s="91"/>
      <c r="AI105" s="27"/>
      <c r="AJ105" s="27"/>
      <c r="AK105" s="28"/>
      <c r="AL105" s="27"/>
      <c r="AM105" s="27"/>
      <c r="AN105" s="27"/>
      <c r="AO105" s="27"/>
      <c r="AP105" s="36"/>
      <c r="AQ105" s="37"/>
      <c r="AR105" s="32"/>
      <c r="AS105" s="25" t="s">
        <v>96</v>
      </c>
      <c r="AT105" s="27" t="s">
        <v>87</v>
      </c>
      <c r="AU105" s="27"/>
      <c r="AW105" s="25" t="s">
        <v>90</v>
      </c>
      <c r="AX105" s="27" t="s">
        <v>95</v>
      </c>
      <c r="AY105" s="27"/>
      <c r="AZ105" s="32"/>
      <c r="BA105" s="41"/>
    </row>
    <row r="106" spans="1:53" x14ac:dyDescent="0.2">
      <c r="A106" s="25">
        <v>90</v>
      </c>
      <c r="B106" s="26">
        <v>45522</v>
      </c>
      <c r="C106" s="27"/>
      <c r="D106" s="25"/>
      <c r="E106" s="28"/>
      <c r="F106" s="27"/>
      <c r="G106" s="28"/>
      <c r="H106" s="27"/>
      <c r="I106" s="28"/>
      <c r="J106" s="27">
        <v>8</v>
      </c>
      <c r="K106" s="29" t="s">
        <v>35</v>
      </c>
      <c r="L106" s="39"/>
      <c r="M106" s="31"/>
      <c r="N106" s="27"/>
      <c r="P106" s="32"/>
      <c r="Q106" s="25"/>
      <c r="R106" s="27"/>
      <c r="S106" s="27"/>
      <c r="T106" s="28"/>
      <c r="U106" s="27"/>
      <c r="V106" s="27"/>
      <c r="W106" s="28"/>
      <c r="X106" s="33"/>
      <c r="Y106" s="32"/>
      <c r="Z106" s="25"/>
      <c r="AA106" s="27"/>
      <c r="AB106" s="28"/>
      <c r="AC106" s="27"/>
      <c r="AD106" s="27"/>
      <c r="AE106" s="33"/>
      <c r="AF106" s="32"/>
      <c r="AG106" s="90"/>
      <c r="AH106" s="91"/>
      <c r="AI106" s="27"/>
      <c r="AJ106" s="27"/>
      <c r="AK106" s="28"/>
      <c r="AL106" s="27"/>
      <c r="AM106" s="27"/>
      <c r="AN106" s="27"/>
      <c r="AO106" s="27"/>
      <c r="AP106" s="36"/>
      <c r="AQ106" s="37"/>
      <c r="AR106" s="32"/>
      <c r="AS106" s="25" t="s">
        <v>96</v>
      </c>
      <c r="AT106" s="27" t="s">
        <v>87</v>
      </c>
      <c r="AU106" s="27"/>
      <c r="AW106" s="25" t="s">
        <v>90</v>
      </c>
      <c r="AX106" s="27" t="s">
        <v>95</v>
      </c>
      <c r="AY106" s="27"/>
      <c r="AZ106" s="32"/>
      <c r="BA106" s="41"/>
    </row>
    <row r="107" spans="1:53" x14ac:dyDescent="0.2">
      <c r="A107" s="25">
        <v>91</v>
      </c>
      <c r="B107" s="26">
        <v>45523</v>
      </c>
      <c r="C107" s="27"/>
      <c r="AS107" s="25" t="s">
        <v>96</v>
      </c>
      <c r="AT107" s="27" t="s">
        <v>87</v>
      </c>
      <c r="AU107" s="27"/>
      <c r="AW107" s="25" t="s">
        <v>90</v>
      </c>
      <c r="AX107" s="27" t="s">
        <v>95</v>
      </c>
    </row>
    <row r="108" spans="1:53" x14ac:dyDescent="0.2">
      <c r="A108" s="25">
        <v>92</v>
      </c>
      <c r="B108" s="26">
        <v>45524</v>
      </c>
      <c r="C108" s="27"/>
      <c r="AS108" s="25" t="s">
        <v>96</v>
      </c>
      <c r="AT108" s="27" t="s">
        <v>87</v>
      </c>
      <c r="AU108" s="27"/>
      <c r="AW108" s="25" t="s">
        <v>90</v>
      </c>
      <c r="AX108" s="27" t="s">
        <v>95</v>
      </c>
    </row>
    <row r="109" spans="1:53" x14ac:dyDescent="0.2">
      <c r="A109" s="25">
        <v>93</v>
      </c>
      <c r="B109" s="26">
        <v>45525</v>
      </c>
      <c r="C109" s="27"/>
      <c r="AS109" s="25" t="s">
        <v>96</v>
      </c>
      <c r="AT109" s="27" t="s">
        <v>87</v>
      </c>
      <c r="AU109" s="27"/>
      <c r="AW109" s="25" t="s">
        <v>90</v>
      </c>
      <c r="AX109" s="27" t="s">
        <v>95</v>
      </c>
    </row>
    <row r="110" spans="1:53" x14ac:dyDescent="0.2">
      <c r="A110" s="25">
        <v>94</v>
      </c>
      <c r="B110" s="26">
        <v>45526</v>
      </c>
      <c r="C110" s="27"/>
      <c r="AS110" s="25" t="s">
        <v>96</v>
      </c>
      <c r="AT110" s="27" t="s">
        <v>87</v>
      </c>
      <c r="AU110" s="27"/>
      <c r="AW110" s="25" t="s">
        <v>90</v>
      </c>
      <c r="AX110" s="27" t="s">
        <v>95</v>
      </c>
    </row>
    <row r="111" spans="1:53" x14ac:dyDescent="0.2">
      <c r="A111" s="25">
        <v>95</v>
      </c>
      <c r="B111" s="26">
        <v>45527</v>
      </c>
      <c r="C111" s="27"/>
      <c r="AS111" s="25" t="s">
        <v>96</v>
      </c>
      <c r="AT111" s="27" t="s">
        <v>87</v>
      </c>
      <c r="AU111" s="27"/>
      <c r="AW111" s="25" t="s">
        <v>90</v>
      </c>
      <c r="AX111" s="27" t="s">
        <v>95</v>
      </c>
    </row>
    <row r="112" spans="1:53" x14ac:dyDescent="0.2">
      <c r="A112" s="25">
        <v>96</v>
      </c>
      <c r="B112" s="26">
        <v>45528</v>
      </c>
      <c r="C112" s="27"/>
      <c r="AS112" s="25" t="s">
        <v>96</v>
      </c>
      <c r="AT112" s="27" t="s">
        <v>87</v>
      </c>
      <c r="AU112" s="27"/>
      <c r="AW112" s="25" t="s">
        <v>90</v>
      </c>
      <c r="AX112" s="27" t="s">
        <v>95</v>
      </c>
      <c r="BA112">
        <v>0</v>
      </c>
    </row>
    <row r="113" spans="1:53" x14ac:dyDescent="0.2">
      <c r="A113" s="25">
        <v>97</v>
      </c>
      <c r="B113" s="26">
        <v>45529</v>
      </c>
      <c r="C113" s="27"/>
      <c r="AS113" s="25" t="s">
        <v>96</v>
      </c>
      <c r="AT113" s="27" t="s">
        <v>87</v>
      </c>
      <c r="AU113" s="27"/>
      <c r="AW113" s="25" t="s">
        <v>90</v>
      </c>
      <c r="AX113" s="27" t="s">
        <v>95</v>
      </c>
    </row>
    <row r="114" spans="1:53" x14ac:dyDescent="0.2">
      <c r="A114" s="25">
        <v>98</v>
      </c>
      <c r="B114" s="26">
        <v>45530</v>
      </c>
      <c r="C114" s="27"/>
      <c r="K114" s="172"/>
      <c r="AS114" s="25" t="s">
        <v>96</v>
      </c>
      <c r="AT114" s="27" t="s">
        <v>87</v>
      </c>
      <c r="AU114" s="27"/>
      <c r="AW114" s="25" t="s">
        <v>90</v>
      </c>
      <c r="AX114" s="27" t="s">
        <v>95</v>
      </c>
      <c r="BA114">
        <v>0</v>
      </c>
    </row>
    <row r="115" spans="1:53" x14ac:dyDescent="0.2">
      <c r="A115" s="25">
        <v>99</v>
      </c>
      <c r="B115" s="26">
        <v>45531</v>
      </c>
      <c r="AS115" s="25" t="s">
        <v>96</v>
      </c>
      <c r="AT115" s="27" t="s">
        <v>87</v>
      </c>
      <c r="AU115" s="27"/>
      <c r="AW115" s="25" t="s">
        <v>90</v>
      </c>
      <c r="AX115" s="27" t="s">
        <v>95</v>
      </c>
    </row>
    <row r="116" spans="1:53" x14ac:dyDescent="0.2">
      <c r="A116" s="25">
        <v>100</v>
      </c>
      <c r="B116" s="26">
        <v>45532</v>
      </c>
      <c r="C116" s="27"/>
      <c r="AS116" s="25" t="s">
        <v>96</v>
      </c>
      <c r="AT116" s="27" t="s">
        <v>87</v>
      </c>
      <c r="AU116" s="27"/>
      <c r="AW116" s="25" t="s">
        <v>90</v>
      </c>
      <c r="AX116" s="27" t="s">
        <v>95</v>
      </c>
    </row>
    <row r="117" spans="1:53" x14ac:dyDescent="0.2">
      <c r="A117" s="25">
        <v>101</v>
      </c>
      <c r="B117" s="26">
        <v>45533</v>
      </c>
      <c r="C117" s="27"/>
      <c r="AS117" s="25" t="s">
        <v>96</v>
      </c>
      <c r="AT117" s="27" t="s">
        <v>87</v>
      </c>
      <c r="AU117" s="27"/>
      <c r="AW117" s="25" t="s">
        <v>90</v>
      </c>
      <c r="AX117" s="27" t="s">
        <v>95</v>
      </c>
    </row>
    <row r="118" spans="1:53" x14ac:dyDescent="0.2">
      <c r="A118" s="25">
        <v>102</v>
      </c>
      <c r="B118" s="26">
        <v>45534</v>
      </c>
      <c r="C118" s="27"/>
      <c r="AS118" s="25" t="s">
        <v>96</v>
      </c>
      <c r="AT118" s="27" t="s">
        <v>87</v>
      </c>
      <c r="AU118" s="27"/>
      <c r="AW118" s="25" t="s">
        <v>90</v>
      </c>
      <c r="AX118" s="27" t="s">
        <v>95</v>
      </c>
    </row>
    <row r="119" spans="1:53" x14ac:dyDescent="0.2">
      <c r="A119" s="25">
        <v>103</v>
      </c>
      <c r="B119" s="26">
        <v>45535</v>
      </c>
      <c r="C119" s="27"/>
      <c r="AS119" s="25" t="s">
        <v>96</v>
      </c>
      <c r="AT119" s="27" t="s">
        <v>87</v>
      </c>
      <c r="AU119" s="27"/>
      <c r="AW119" s="25" t="s">
        <v>90</v>
      </c>
      <c r="AX119" s="27" t="s">
        <v>95</v>
      </c>
    </row>
    <row r="120" spans="1:53" x14ac:dyDescent="0.2">
      <c r="A120" s="25">
        <v>104</v>
      </c>
      <c r="B120" s="26">
        <v>45536</v>
      </c>
      <c r="C120" s="27"/>
      <c r="AS120" s="25" t="s">
        <v>96</v>
      </c>
      <c r="AT120" s="27" t="s">
        <v>87</v>
      </c>
      <c r="AU120" s="27"/>
      <c r="AW120" s="25" t="s">
        <v>90</v>
      </c>
      <c r="AX120" s="27" t="s">
        <v>95</v>
      </c>
    </row>
    <row r="121" spans="1:53" x14ac:dyDescent="0.2">
      <c r="A121" s="25">
        <v>105</v>
      </c>
      <c r="B121" s="26">
        <v>45537</v>
      </c>
      <c r="C121" s="27"/>
      <c r="AS121" s="25" t="s">
        <v>96</v>
      </c>
      <c r="AT121" s="27" t="s">
        <v>87</v>
      </c>
      <c r="AU121" s="27"/>
      <c r="AW121" s="25" t="s">
        <v>90</v>
      </c>
      <c r="AX121" s="27" t="s">
        <v>95</v>
      </c>
    </row>
    <row r="122" spans="1:53" x14ac:dyDescent="0.2">
      <c r="A122" s="25">
        <v>106</v>
      </c>
      <c r="B122" s="26">
        <v>45538</v>
      </c>
    </row>
    <row r="123" spans="1:53" x14ac:dyDescent="0.2">
      <c r="A123" s="25">
        <v>107</v>
      </c>
      <c r="B123" s="26">
        <v>45539</v>
      </c>
      <c r="C123" s="27"/>
    </row>
    <row r="124" spans="1:53" x14ac:dyDescent="0.2">
      <c r="A124" s="25">
        <v>108</v>
      </c>
      <c r="B124" s="26">
        <v>45540</v>
      </c>
      <c r="C124" s="27"/>
    </row>
    <row r="125" spans="1:53" x14ac:dyDescent="0.2">
      <c r="A125" s="25">
        <v>109</v>
      </c>
      <c r="B125" s="26">
        <v>45541</v>
      </c>
      <c r="C125" s="27"/>
    </row>
    <row r="126" spans="1:53" x14ac:dyDescent="0.2">
      <c r="A126" s="25">
        <v>110</v>
      </c>
      <c r="B126" s="26"/>
      <c r="C126" s="27"/>
    </row>
    <row r="127" spans="1:53" x14ac:dyDescent="0.2">
      <c r="A127" s="25">
        <v>111</v>
      </c>
      <c r="B127" s="26"/>
      <c r="C127" s="27"/>
    </row>
    <row r="128" spans="1:53" s="173" customFormat="1" x14ac:dyDescent="0.2">
      <c r="A128" s="173">
        <v>112</v>
      </c>
      <c r="B128" s="26"/>
    </row>
    <row r="129" spans="1:3" x14ac:dyDescent="0.2">
      <c r="A129" s="25">
        <v>113</v>
      </c>
      <c r="B129" s="26"/>
      <c r="C129" s="27"/>
    </row>
    <row r="130" spans="1:3" x14ac:dyDescent="0.2">
      <c r="A130" s="25">
        <v>114</v>
      </c>
      <c r="B130" s="26"/>
      <c r="C130" s="27"/>
    </row>
    <row r="131" spans="1:3" x14ac:dyDescent="0.2">
      <c r="A131" s="25">
        <v>115</v>
      </c>
      <c r="B131" s="26"/>
      <c r="C131" s="27"/>
    </row>
  </sheetData>
  <mergeCells count="52">
    <mergeCell ref="A10:C12"/>
    <mergeCell ref="D10:M12"/>
    <mergeCell ref="N10:P12"/>
    <mergeCell ref="Q10:Y12"/>
    <mergeCell ref="Z10:AF12"/>
    <mergeCell ref="A13:A15"/>
    <mergeCell ref="B13:B15"/>
    <mergeCell ref="C13:C15"/>
    <mergeCell ref="D13:E14"/>
    <mergeCell ref="F13:G14"/>
    <mergeCell ref="N13:N15"/>
    <mergeCell ref="AS10:AV12"/>
    <mergeCell ref="AW10:AZ12"/>
    <mergeCell ref="BA10:BA12"/>
    <mergeCell ref="AG12:AK12"/>
    <mergeCell ref="AM12:AP12"/>
    <mergeCell ref="AG10:AP11"/>
    <mergeCell ref="O13:O15"/>
    <mergeCell ref="P13:P15"/>
    <mergeCell ref="Q13:Q15"/>
    <mergeCell ref="R13:T14"/>
    <mergeCell ref="U13:W14"/>
    <mergeCell ref="AX13:AX15"/>
    <mergeCell ref="AY13:AY15"/>
    <mergeCell ref="AZ13:AZ15"/>
    <mergeCell ref="BA13:BA15"/>
    <mergeCell ref="H13:I14"/>
    <mergeCell ref="J13:J15"/>
    <mergeCell ref="K13:K15"/>
    <mergeCell ref="L13:L15"/>
    <mergeCell ref="M13:M15"/>
    <mergeCell ref="O36:O56"/>
    <mergeCell ref="AR13:AR15"/>
    <mergeCell ref="AS13:AS15"/>
    <mergeCell ref="AT13:AT15"/>
    <mergeCell ref="AU13:AU15"/>
    <mergeCell ref="AH13:AH15"/>
    <mergeCell ref="AI13:AK14"/>
    <mergeCell ref="AL13:AL15"/>
    <mergeCell ref="AM13:AM14"/>
    <mergeCell ref="AN13:AP14"/>
    <mergeCell ref="AQ13:AQ15"/>
    <mergeCell ref="Y13:Y15"/>
    <mergeCell ref="Z13:AB14"/>
    <mergeCell ref="AC13:AD14"/>
    <mergeCell ref="AE13:AE15"/>
    <mergeCell ref="AF13:AF15"/>
    <mergeCell ref="X20:X27"/>
    <mergeCell ref="AV13:AV15"/>
    <mergeCell ref="AW13:AW15"/>
    <mergeCell ref="AG13:AG14"/>
    <mergeCell ref="X13:X15"/>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E1634-F71D-490F-931C-ACC44A59B153}">
  <dimension ref="A1:BA131"/>
  <sheetViews>
    <sheetView tabSelected="1" topLeftCell="A7" zoomScale="85" zoomScaleNormal="85" workbookViewId="0">
      <pane xSplit="1" topLeftCell="B1" activePane="topRight" state="frozen"/>
      <selection pane="topRight" activeCell="M43" sqref="M43"/>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0.33203125"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22.33203125"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13.83203125" customWidth="1"/>
    <col min="50" max="50" width="26.5" bestFit="1" customWidth="1"/>
    <col min="51" max="51" width="24.1640625" bestFit="1" customWidth="1"/>
    <col min="52" max="52" width="41.1640625" bestFit="1" customWidth="1"/>
    <col min="53" max="53" width="18.83203125" bestFit="1" customWidth="1"/>
  </cols>
  <sheetData>
    <row r="1" spans="1:53" x14ac:dyDescent="0.2">
      <c r="A1" s="94" t="s">
        <v>99</v>
      </c>
      <c r="B1" t="s">
        <v>415</v>
      </c>
    </row>
    <row r="2" spans="1:53" x14ac:dyDescent="0.2">
      <c r="A2" s="94" t="s">
        <v>100</v>
      </c>
    </row>
    <row r="3" spans="1:53" x14ac:dyDescent="0.2">
      <c r="A3" s="94" t="s">
        <v>101</v>
      </c>
      <c r="B3">
        <f>1800+2800+4300</f>
        <v>8900</v>
      </c>
    </row>
    <row r="4" spans="1:53" x14ac:dyDescent="0.2">
      <c r="A4" s="94" t="s">
        <v>102</v>
      </c>
    </row>
    <row r="5" spans="1:53" x14ac:dyDescent="0.2">
      <c r="A5" s="94" t="s">
        <v>103</v>
      </c>
    </row>
    <row r="6" spans="1:53" x14ac:dyDescent="0.2">
      <c r="A6" s="94" t="s">
        <v>104</v>
      </c>
      <c r="B6" t="s">
        <v>234</v>
      </c>
    </row>
    <row r="7" spans="1:53" x14ac:dyDescent="0.2">
      <c r="A7" s="94" t="s">
        <v>106</v>
      </c>
    </row>
    <row r="8" spans="1:53" x14ac:dyDescent="0.2">
      <c r="A8" s="94" t="s">
        <v>416</v>
      </c>
      <c r="B8">
        <v>11</v>
      </c>
    </row>
    <row r="9" spans="1:53" ht="16" thickBot="1" x14ac:dyDescent="0.25">
      <c r="A9" s="94" t="s">
        <v>417</v>
      </c>
      <c r="B9">
        <v>1000</v>
      </c>
    </row>
    <row r="10" spans="1:53" ht="23" x14ac:dyDescent="0.2">
      <c r="A10" s="209" t="s">
        <v>0</v>
      </c>
      <c r="B10" s="210"/>
      <c r="C10" s="210"/>
      <c r="D10" s="215" t="s">
        <v>1</v>
      </c>
      <c r="E10" s="215"/>
      <c r="F10" s="215"/>
      <c r="G10" s="215"/>
      <c r="H10" s="215"/>
      <c r="I10" s="215"/>
      <c r="J10" s="215"/>
      <c r="K10" s="215"/>
      <c r="L10" s="215"/>
      <c r="M10" s="215"/>
      <c r="N10" s="218" t="s">
        <v>2</v>
      </c>
      <c r="O10" s="218"/>
      <c r="P10" s="219"/>
      <c r="Q10" s="224" t="s">
        <v>3</v>
      </c>
      <c r="R10" s="225"/>
      <c r="S10" s="225"/>
      <c r="T10" s="225"/>
      <c r="U10" s="225"/>
      <c r="V10" s="225"/>
      <c r="W10" s="225"/>
      <c r="X10" s="225"/>
      <c r="Y10" s="226"/>
      <c r="Z10" s="230" t="s">
        <v>4</v>
      </c>
      <c r="AA10" s="231"/>
      <c r="AB10" s="231"/>
      <c r="AC10" s="231"/>
      <c r="AD10" s="231"/>
      <c r="AE10" s="231"/>
      <c r="AF10" s="232"/>
      <c r="AG10" s="271" t="s">
        <v>5</v>
      </c>
      <c r="AH10" s="271"/>
      <c r="AI10" s="271"/>
      <c r="AJ10" s="271"/>
      <c r="AK10" s="271"/>
      <c r="AL10" s="271"/>
      <c r="AM10" s="271"/>
      <c r="AN10" s="271"/>
      <c r="AO10" s="271"/>
      <c r="AP10" s="271"/>
      <c r="AQ10" s="1"/>
      <c r="AR10" s="2"/>
      <c r="AS10" s="251" t="s">
        <v>6</v>
      </c>
      <c r="AT10" s="252"/>
      <c r="AU10" s="252"/>
      <c r="AV10" s="252"/>
      <c r="AW10" s="257" t="s">
        <v>7</v>
      </c>
      <c r="AX10" s="258"/>
      <c r="AY10" s="258"/>
      <c r="AZ10" s="259"/>
      <c r="BA10" s="266" t="s">
        <v>8</v>
      </c>
    </row>
    <row r="11" spans="1:53" ht="23" x14ac:dyDescent="0.2">
      <c r="A11" s="211"/>
      <c r="B11" s="212"/>
      <c r="C11" s="212"/>
      <c r="D11" s="216"/>
      <c r="E11" s="216"/>
      <c r="F11" s="216"/>
      <c r="G11" s="216"/>
      <c r="H11" s="216"/>
      <c r="I11" s="216"/>
      <c r="J11" s="216"/>
      <c r="K11" s="216"/>
      <c r="L11" s="216"/>
      <c r="M11" s="216"/>
      <c r="N11" s="220"/>
      <c r="O11" s="220"/>
      <c r="P11" s="221"/>
      <c r="Q11" s="227"/>
      <c r="R11" s="228"/>
      <c r="S11" s="228"/>
      <c r="T11" s="228"/>
      <c r="U11" s="228"/>
      <c r="V11" s="228"/>
      <c r="W11" s="228"/>
      <c r="X11" s="228"/>
      <c r="Y11" s="229"/>
      <c r="Z11" s="233"/>
      <c r="AA11" s="234"/>
      <c r="AB11" s="234"/>
      <c r="AC11" s="234"/>
      <c r="AD11" s="234"/>
      <c r="AE11" s="234"/>
      <c r="AF11" s="235"/>
      <c r="AG11" s="272"/>
      <c r="AH11" s="272"/>
      <c r="AI11" s="272"/>
      <c r="AJ11" s="272"/>
      <c r="AK11" s="272"/>
      <c r="AL11" s="272"/>
      <c r="AM11" s="272"/>
      <c r="AN11" s="272"/>
      <c r="AO11" s="272"/>
      <c r="AP11" s="272"/>
      <c r="AQ11" s="3"/>
      <c r="AR11" s="4"/>
      <c r="AS11" s="253"/>
      <c r="AT11" s="254"/>
      <c r="AU11" s="254"/>
      <c r="AV11" s="254"/>
      <c r="AW11" s="260"/>
      <c r="AX11" s="261"/>
      <c r="AY11" s="261"/>
      <c r="AZ11" s="262"/>
      <c r="BA11" s="267"/>
    </row>
    <row r="12" spans="1:53" ht="21" thickBot="1" x14ac:dyDescent="0.25">
      <c r="A12" s="213"/>
      <c r="B12" s="214"/>
      <c r="C12" s="214"/>
      <c r="D12" s="217"/>
      <c r="E12" s="217"/>
      <c r="F12" s="217"/>
      <c r="G12" s="217"/>
      <c r="H12" s="217"/>
      <c r="I12" s="217"/>
      <c r="J12" s="217"/>
      <c r="K12" s="217"/>
      <c r="L12" s="217"/>
      <c r="M12" s="217"/>
      <c r="N12" s="222"/>
      <c r="O12" s="222"/>
      <c r="P12" s="223"/>
      <c r="Q12" s="227"/>
      <c r="R12" s="228"/>
      <c r="S12" s="228"/>
      <c r="T12" s="228"/>
      <c r="U12" s="228"/>
      <c r="V12" s="228"/>
      <c r="W12" s="228"/>
      <c r="X12" s="228"/>
      <c r="Y12" s="229"/>
      <c r="Z12" s="233"/>
      <c r="AA12" s="234"/>
      <c r="AB12" s="234"/>
      <c r="AC12" s="234"/>
      <c r="AD12" s="234"/>
      <c r="AE12" s="234"/>
      <c r="AF12" s="235"/>
      <c r="AG12" s="269" t="s">
        <v>9</v>
      </c>
      <c r="AH12" s="269"/>
      <c r="AI12" s="269"/>
      <c r="AJ12" s="269"/>
      <c r="AK12" s="270"/>
      <c r="AL12" s="5"/>
      <c r="AM12" s="269" t="s">
        <v>10</v>
      </c>
      <c r="AN12" s="269"/>
      <c r="AO12" s="269"/>
      <c r="AP12" s="270"/>
      <c r="AQ12" s="6"/>
      <c r="AR12" s="7"/>
      <c r="AS12" s="255"/>
      <c r="AT12" s="256"/>
      <c r="AU12" s="256"/>
      <c r="AV12" s="256"/>
      <c r="AW12" s="263"/>
      <c r="AX12" s="264"/>
      <c r="AY12" s="264"/>
      <c r="AZ12" s="265"/>
      <c r="BA12" s="268"/>
    </row>
    <row r="13" spans="1:53" x14ac:dyDescent="0.2">
      <c r="A13" s="236" t="s">
        <v>11</v>
      </c>
      <c r="B13" s="239" t="s">
        <v>12</v>
      </c>
      <c r="C13" s="239" t="s">
        <v>13</v>
      </c>
      <c r="D13" s="242" t="s">
        <v>14</v>
      </c>
      <c r="E13" s="243"/>
      <c r="F13" s="246" t="s">
        <v>15</v>
      </c>
      <c r="G13" s="243"/>
      <c r="H13" s="292" t="s">
        <v>16</v>
      </c>
      <c r="I13" s="293"/>
      <c r="J13" s="296" t="s">
        <v>17</v>
      </c>
      <c r="K13" s="299" t="s">
        <v>18</v>
      </c>
      <c r="L13" s="292" t="s">
        <v>19</v>
      </c>
      <c r="M13" s="303" t="s">
        <v>20</v>
      </c>
      <c r="N13" s="248" t="s">
        <v>21</v>
      </c>
      <c r="O13" s="248" t="s">
        <v>19</v>
      </c>
      <c r="P13" s="248" t="s">
        <v>20</v>
      </c>
      <c r="Q13" s="273" t="s">
        <v>22</v>
      </c>
      <c r="R13" s="276" t="s">
        <v>23</v>
      </c>
      <c r="S13" s="276"/>
      <c r="T13" s="277"/>
      <c r="U13" s="280" t="s">
        <v>24</v>
      </c>
      <c r="V13" s="280"/>
      <c r="W13" s="281"/>
      <c r="X13" s="353" t="s">
        <v>19</v>
      </c>
      <c r="Y13" s="330" t="s">
        <v>20</v>
      </c>
      <c r="Z13" s="333" t="s">
        <v>23</v>
      </c>
      <c r="AA13" s="334"/>
      <c r="AB13" s="335"/>
      <c r="AC13" s="339" t="s">
        <v>24</v>
      </c>
      <c r="AD13" s="339"/>
      <c r="AE13" s="339" t="s">
        <v>19</v>
      </c>
      <c r="AF13" s="342" t="s">
        <v>20</v>
      </c>
      <c r="AG13" s="351" t="s">
        <v>25</v>
      </c>
      <c r="AH13" s="318" t="s">
        <v>26</v>
      </c>
      <c r="AI13" s="321" t="s">
        <v>24</v>
      </c>
      <c r="AJ13" s="321"/>
      <c r="AK13" s="321"/>
      <c r="AL13" s="323" t="s">
        <v>27</v>
      </c>
      <c r="AM13" s="325" t="s">
        <v>25</v>
      </c>
      <c r="AN13" s="321" t="s">
        <v>24</v>
      </c>
      <c r="AO13" s="321"/>
      <c r="AP13" s="309"/>
      <c r="AQ13" s="327" t="s">
        <v>19</v>
      </c>
      <c r="AR13" s="309" t="s">
        <v>20</v>
      </c>
      <c r="AS13" s="312" t="s">
        <v>28</v>
      </c>
      <c r="AT13" s="315" t="s">
        <v>29</v>
      </c>
      <c r="AU13" s="315" t="s">
        <v>19</v>
      </c>
      <c r="AV13" s="315" t="s">
        <v>20</v>
      </c>
      <c r="AW13" s="348" t="s">
        <v>30</v>
      </c>
      <c r="AX13" s="284" t="s">
        <v>29</v>
      </c>
      <c r="AY13" s="284" t="s">
        <v>19</v>
      </c>
      <c r="AZ13" s="287" t="s">
        <v>20</v>
      </c>
      <c r="BA13" s="290" t="s">
        <v>31</v>
      </c>
    </row>
    <row r="14" spans="1:53" x14ac:dyDescent="0.2">
      <c r="A14" s="237"/>
      <c r="B14" s="240"/>
      <c r="C14" s="240"/>
      <c r="D14" s="244"/>
      <c r="E14" s="245"/>
      <c r="F14" s="247"/>
      <c r="G14" s="245"/>
      <c r="H14" s="294"/>
      <c r="I14" s="295"/>
      <c r="J14" s="297"/>
      <c r="K14" s="300"/>
      <c r="L14" s="294"/>
      <c r="M14" s="304"/>
      <c r="N14" s="249"/>
      <c r="O14" s="249"/>
      <c r="P14" s="249"/>
      <c r="Q14" s="274"/>
      <c r="R14" s="278"/>
      <c r="S14" s="278"/>
      <c r="T14" s="279"/>
      <c r="U14" s="282"/>
      <c r="V14" s="282"/>
      <c r="W14" s="283"/>
      <c r="X14" s="354"/>
      <c r="Y14" s="331"/>
      <c r="Z14" s="336"/>
      <c r="AA14" s="337"/>
      <c r="AB14" s="338"/>
      <c r="AC14" s="340"/>
      <c r="AD14" s="340"/>
      <c r="AE14" s="340"/>
      <c r="AF14" s="343"/>
      <c r="AG14" s="352"/>
      <c r="AH14" s="319"/>
      <c r="AI14" s="322"/>
      <c r="AJ14" s="322"/>
      <c r="AK14" s="322"/>
      <c r="AL14" s="324"/>
      <c r="AM14" s="326"/>
      <c r="AN14" s="322"/>
      <c r="AO14" s="322"/>
      <c r="AP14" s="310"/>
      <c r="AQ14" s="328"/>
      <c r="AR14" s="310"/>
      <c r="AS14" s="313"/>
      <c r="AT14" s="316"/>
      <c r="AU14" s="316"/>
      <c r="AV14" s="316"/>
      <c r="AW14" s="349"/>
      <c r="AX14" s="285"/>
      <c r="AY14" s="285"/>
      <c r="AZ14" s="288"/>
      <c r="BA14" s="290"/>
    </row>
    <row r="15" spans="1:53" ht="57" thickBot="1" x14ac:dyDescent="0.25">
      <c r="A15" s="238"/>
      <c r="B15" s="241"/>
      <c r="C15" s="241"/>
      <c r="D15" s="8" t="s">
        <v>32</v>
      </c>
      <c r="E15" s="9" t="s">
        <v>33</v>
      </c>
      <c r="F15" s="10" t="s">
        <v>32</v>
      </c>
      <c r="G15" s="9" t="s">
        <v>33</v>
      </c>
      <c r="H15" s="11" t="s">
        <v>32</v>
      </c>
      <c r="I15" s="12" t="s">
        <v>33</v>
      </c>
      <c r="J15" s="298"/>
      <c r="K15" s="301"/>
      <c r="L15" s="302"/>
      <c r="M15" s="305"/>
      <c r="N15" s="250"/>
      <c r="O15" s="250"/>
      <c r="P15" s="250"/>
      <c r="Q15" s="275"/>
      <c r="R15" s="13" t="s">
        <v>32</v>
      </c>
      <c r="S15" s="13" t="s">
        <v>34</v>
      </c>
      <c r="T15" s="14" t="s">
        <v>33</v>
      </c>
      <c r="U15" s="15" t="s">
        <v>32</v>
      </c>
      <c r="V15" s="15" t="s">
        <v>34</v>
      </c>
      <c r="W15" s="16" t="s">
        <v>33</v>
      </c>
      <c r="X15" s="355"/>
      <c r="Y15" s="332"/>
      <c r="Z15" s="17" t="s">
        <v>32</v>
      </c>
      <c r="AA15" s="18" t="s">
        <v>34</v>
      </c>
      <c r="AB15" s="19" t="s">
        <v>33</v>
      </c>
      <c r="AC15" s="20" t="s">
        <v>32</v>
      </c>
      <c r="AD15" s="20" t="s">
        <v>34</v>
      </c>
      <c r="AE15" s="341"/>
      <c r="AF15" s="344"/>
      <c r="AG15" s="21" t="s">
        <v>34</v>
      </c>
      <c r="AH15" s="320"/>
      <c r="AI15" s="22" t="s">
        <v>32</v>
      </c>
      <c r="AJ15" s="22" t="s">
        <v>34</v>
      </c>
      <c r="AK15" s="22" t="s">
        <v>33</v>
      </c>
      <c r="AL15" s="324"/>
      <c r="AM15" s="23" t="s">
        <v>33</v>
      </c>
      <c r="AN15" s="22" t="s">
        <v>32</v>
      </c>
      <c r="AO15" s="22" t="s">
        <v>34</v>
      </c>
      <c r="AP15" s="24" t="s">
        <v>33</v>
      </c>
      <c r="AQ15" s="329"/>
      <c r="AR15" s="311"/>
      <c r="AS15" s="314"/>
      <c r="AT15" s="317"/>
      <c r="AU15" s="317"/>
      <c r="AV15" s="317"/>
      <c r="AW15" s="350"/>
      <c r="AX15" s="286"/>
      <c r="AY15" s="286"/>
      <c r="AZ15" s="289"/>
      <c r="BA15" s="291"/>
    </row>
    <row r="16" spans="1:53" ht="16" thickBot="1" x14ac:dyDescent="0.25">
      <c r="A16" s="25">
        <v>0</v>
      </c>
      <c r="B16" s="26">
        <v>45481</v>
      </c>
      <c r="C16" s="27" t="s">
        <v>232</v>
      </c>
      <c r="D16" s="25"/>
      <c r="E16" s="28"/>
      <c r="F16" s="27"/>
      <c r="G16" s="28"/>
      <c r="H16" s="27"/>
      <c r="I16" s="28"/>
      <c r="J16" s="27">
        <v>4</v>
      </c>
      <c r="K16" s="29" t="s">
        <v>35</v>
      </c>
      <c r="L16" s="30" t="s">
        <v>564</v>
      </c>
      <c r="M16" s="31" t="s">
        <v>539</v>
      </c>
      <c r="N16" s="27"/>
      <c r="P16" s="32"/>
      <c r="Q16" s="25"/>
      <c r="R16" s="27"/>
      <c r="S16" s="27"/>
      <c r="T16" s="28"/>
      <c r="U16" s="27"/>
      <c r="V16" s="27"/>
      <c r="W16" s="28"/>
      <c r="X16" s="33"/>
      <c r="Y16" s="32"/>
      <c r="Z16" s="25"/>
      <c r="AA16" s="27"/>
      <c r="AB16" s="28"/>
      <c r="AC16" s="27"/>
      <c r="AD16" s="27"/>
      <c r="AE16" s="33"/>
      <c r="AG16" s="25"/>
      <c r="AH16" s="34"/>
      <c r="AI16" s="27"/>
      <c r="AJ16" s="27"/>
      <c r="AK16" s="27"/>
      <c r="AL16" s="25"/>
      <c r="AM16" s="35"/>
      <c r="AN16" s="27"/>
      <c r="AO16" s="27"/>
      <c r="AP16" s="36"/>
      <c r="AQ16" s="37"/>
      <c r="AR16" s="32"/>
      <c r="AS16" s="25"/>
      <c r="AT16" s="27"/>
      <c r="AU16" s="27"/>
      <c r="AW16" s="25"/>
      <c r="AX16" s="27"/>
      <c r="AY16" s="27"/>
      <c r="AZ16" s="32"/>
      <c r="BA16" s="38"/>
    </row>
    <row r="17" spans="1:53" ht="16" thickBot="1" x14ac:dyDescent="0.25">
      <c r="A17" s="25">
        <v>1</v>
      </c>
      <c r="B17" s="26">
        <v>45482</v>
      </c>
      <c r="C17" s="27" t="s">
        <v>314</v>
      </c>
      <c r="D17" s="25"/>
      <c r="E17" s="28"/>
      <c r="F17" s="27"/>
      <c r="G17" s="28"/>
      <c r="H17" s="27"/>
      <c r="I17" s="28"/>
      <c r="J17" s="27">
        <v>4</v>
      </c>
      <c r="K17" s="29" t="s">
        <v>35</v>
      </c>
      <c r="L17" s="39"/>
      <c r="M17" s="31" t="s">
        <v>541</v>
      </c>
      <c r="N17" s="27"/>
      <c r="P17" s="32"/>
      <c r="Q17" s="40"/>
      <c r="R17" s="27"/>
      <c r="S17" s="27"/>
      <c r="T17" s="28"/>
      <c r="U17" s="27"/>
      <c r="V17" s="27"/>
      <c r="W17" s="28"/>
      <c r="X17" s="33"/>
      <c r="Y17" s="32"/>
      <c r="Z17" s="25"/>
      <c r="AA17" s="27"/>
      <c r="AB17" s="28"/>
      <c r="AC17" s="27"/>
      <c r="AD17" s="27"/>
      <c r="AE17" s="33"/>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2</v>
      </c>
      <c r="B18" s="26">
        <v>45483</v>
      </c>
      <c r="C18" s="27" t="s">
        <v>232</v>
      </c>
      <c r="D18" s="25"/>
      <c r="E18" s="28"/>
      <c r="F18" s="27"/>
      <c r="G18" s="28"/>
      <c r="H18" s="27"/>
      <c r="I18" s="28"/>
      <c r="J18" s="27">
        <v>4</v>
      </c>
      <c r="K18" s="29" t="s">
        <v>35</v>
      </c>
      <c r="L18" s="39"/>
      <c r="M18" s="31" t="s">
        <v>542</v>
      </c>
      <c r="N18" s="27"/>
      <c r="O18" s="42"/>
      <c r="Q18" s="43" t="s">
        <v>37</v>
      </c>
      <c r="R18" s="27"/>
      <c r="S18" s="27"/>
      <c r="T18" s="28"/>
      <c r="U18" s="27"/>
      <c r="V18" s="27"/>
      <c r="W18" s="28"/>
      <c r="X18" s="33"/>
      <c r="Y18" s="32"/>
      <c r="Z18" s="25"/>
      <c r="AA18" s="27"/>
      <c r="AB18" s="28"/>
      <c r="AC18" s="27"/>
      <c r="AD18" s="27"/>
      <c r="AE18" s="33"/>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3</v>
      </c>
      <c r="B19" s="26">
        <v>45484</v>
      </c>
      <c r="C19" s="27" t="s">
        <v>314</v>
      </c>
      <c r="D19" s="25"/>
      <c r="E19" s="28"/>
      <c r="F19" s="27"/>
      <c r="G19" s="28"/>
      <c r="H19" s="27"/>
      <c r="I19" s="28"/>
      <c r="J19" s="27">
        <v>6</v>
      </c>
      <c r="K19" s="29" t="s">
        <v>35</v>
      </c>
      <c r="L19" s="44" t="s">
        <v>287</v>
      </c>
      <c r="M19" s="31" t="s">
        <v>353</v>
      </c>
      <c r="N19" s="27" t="s">
        <v>240</v>
      </c>
      <c r="O19" s="45" t="s">
        <v>41</v>
      </c>
      <c r="P19" s="46"/>
      <c r="Q19" s="25"/>
      <c r="R19" s="27"/>
      <c r="S19" s="27"/>
      <c r="T19" s="28"/>
      <c r="U19" s="27">
        <v>5</v>
      </c>
      <c r="V19" s="27"/>
      <c r="W19" s="28">
        <v>5</v>
      </c>
      <c r="X19" s="47" t="s">
        <v>43</v>
      </c>
      <c r="Y19" s="32"/>
      <c r="Z19" s="25"/>
      <c r="AA19" s="27"/>
      <c r="AB19" s="28"/>
      <c r="AC19" s="27">
        <v>3</v>
      </c>
      <c r="AD19" s="27">
        <v>2</v>
      </c>
      <c r="AE19" s="48" t="s">
        <v>342</v>
      </c>
      <c r="AG19" s="25"/>
      <c r="AH19" s="34"/>
      <c r="AI19" s="27"/>
      <c r="AJ19" s="27"/>
      <c r="AK19" s="27"/>
      <c r="AL19" s="25"/>
      <c r="AM19" s="34"/>
      <c r="AN19" s="27"/>
      <c r="AO19" s="27"/>
      <c r="AP19" s="36"/>
      <c r="AQ19" s="37"/>
      <c r="AR19" s="32"/>
      <c r="AS19" s="25"/>
      <c r="AT19" s="27"/>
      <c r="AU19" s="27"/>
      <c r="AW19" s="25"/>
      <c r="AX19" s="27"/>
      <c r="AY19" s="27"/>
      <c r="AZ19" s="32"/>
      <c r="BA19" s="41"/>
    </row>
    <row r="20" spans="1:53" x14ac:dyDescent="0.2">
      <c r="A20" s="25">
        <v>4</v>
      </c>
      <c r="B20" s="26">
        <v>45485</v>
      </c>
      <c r="C20" s="27" t="s">
        <v>200</v>
      </c>
      <c r="D20" s="25"/>
      <c r="E20" s="28"/>
      <c r="F20" s="27"/>
      <c r="G20" s="28"/>
      <c r="H20" s="27"/>
      <c r="I20" s="28"/>
      <c r="J20" s="27">
        <v>6</v>
      </c>
      <c r="K20" s="29" t="s">
        <v>35</v>
      </c>
      <c r="L20" s="39"/>
      <c r="M20" s="31"/>
      <c r="N20" s="27" t="s">
        <v>240</v>
      </c>
      <c r="O20" t="s">
        <v>46</v>
      </c>
      <c r="P20" s="32"/>
      <c r="Q20" s="25"/>
      <c r="R20" s="27"/>
      <c r="S20" s="27"/>
      <c r="T20" s="28"/>
      <c r="U20" s="27">
        <v>5</v>
      </c>
      <c r="V20" s="27"/>
      <c r="W20" s="28">
        <v>5</v>
      </c>
      <c r="X20" s="345" t="s">
        <v>47</v>
      </c>
      <c r="Y20" s="32"/>
      <c r="Z20" s="25"/>
      <c r="AA20" s="27"/>
      <c r="AB20" s="28"/>
      <c r="AC20" s="27">
        <v>3</v>
      </c>
      <c r="AD20" s="27">
        <v>2</v>
      </c>
      <c r="AE20" s="33"/>
      <c r="AG20" s="25"/>
      <c r="AH20" s="34"/>
      <c r="AI20" s="27"/>
      <c r="AJ20" s="27"/>
      <c r="AK20" s="27"/>
      <c r="AL20" s="25"/>
      <c r="AM20" s="34"/>
      <c r="AN20" s="27"/>
      <c r="AO20" s="27"/>
      <c r="AP20" s="36"/>
      <c r="AQ20" s="37"/>
      <c r="AR20" s="32"/>
      <c r="AS20" s="25"/>
      <c r="AT20" s="27"/>
      <c r="AU20" s="27"/>
      <c r="AW20" s="25"/>
      <c r="AX20" s="27"/>
      <c r="AY20" s="27"/>
      <c r="AZ20" s="32"/>
      <c r="BA20" s="41"/>
    </row>
    <row r="21" spans="1:53" x14ac:dyDescent="0.2">
      <c r="A21" s="25">
        <v>5</v>
      </c>
      <c r="B21" s="26">
        <v>45486</v>
      </c>
      <c r="C21" s="27" t="s">
        <v>200</v>
      </c>
      <c r="D21" s="25"/>
      <c r="E21" s="28"/>
      <c r="F21" s="27"/>
      <c r="G21" s="28"/>
      <c r="H21" s="27"/>
      <c r="I21" s="28"/>
      <c r="J21" s="27">
        <v>6</v>
      </c>
      <c r="K21" s="29" t="s">
        <v>35</v>
      </c>
      <c r="L21" s="39"/>
      <c r="M21" s="31"/>
      <c r="N21" s="27" t="s">
        <v>240</v>
      </c>
      <c r="P21" s="32"/>
      <c r="Q21" s="25"/>
      <c r="R21" s="27"/>
      <c r="S21" s="27"/>
      <c r="T21" s="28"/>
      <c r="U21" s="27">
        <v>5</v>
      </c>
      <c r="V21" s="27"/>
      <c r="W21" s="28">
        <v>5</v>
      </c>
      <c r="X21" s="346"/>
      <c r="Y21" s="32"/>
      <c r="Z21" s="25"/>
      <c r="AA21" s="27"/>
      <c r="AB21" s="28"/>
      <c r="AC21" s="27">
        <v>3</v>
      </c>
      <c r="AD21" s="27">
        <v>2</v>
      </c>
      <c r="AE21" s="33"/>
      <c r="AG21" s="25"/>
      <c r="AH21" s="34"/>
      <c r="AI21" s="27"/>
      <c r="AJ21" s="27"/>
      <c r="AK21" s="27"/>
      <c r="AL21" s="25"/>
      <c r="AM21" s="34"/>
      <c r="AN21" s="27"/>
      <c r="AO21" s="27"/>
      <c r="AP21" s="36"/>
      <c r="AQ21" s="37"/>
      <c r="AR21" s="32"/>
      <c r="AS21" s="25"/>
      <c r="AT21" s="27"/>
      <c r="AU21" s="27"/>
      <c r="AW21" s="25"/>
      <c r="AX21" s="27"/>
      <c r="AY21" s="27"/>
      <c r="AZ21" s="32"/>
      <c r="BA21" s="41"/>
    </row>
    <row r="22" spans="1:53" x14ac:dyDescent="0.2">
      <c r="A22" s="25">
        <v>6</v>
      </c>
      <c r="B22" s="26">
        <v>45487</v>
      </c>
      <c r="C22" s="27" t="s">
        <v>232</v>
      </c>
      <c r="D22" s="25"/>
      <c r="E22" s="28"/>
      <c r="F22" s="27"/>
      <c r="G22" s="28"/>
      <c r="H22" s="27"/>
      <c r="I22" s="28"/>
      <c r="J22" s="27">
        <v>6</v>
      </c>
      <c r="K22" s="29" t="s">
        <v>35</v>
      </c>
      <c r="L22" s="39"/>
      <c r="M22" s="31"/>
      <c r="N22" s="27" t="s">
        <v>240</v>
      </c>
      <c r="P22" s="32"/>
      <c r="Q22" s="25"/>
      <c r="R22" s="27"/>
      <c r="S22" s="27"/>
      <c r="T22" s="28"/>
      <c r="U22" s="27">
        <v>5</v>
      </c>
      <c r="V22" s="27"/>
      <c r="W22" s="28">
        <v>5</v>
      </c>
      <c r="X22" s="346"/>
      <c r="Y22" s="32"/>
      <c r="Z22" s="25"/>
      <c r="AA22" s="27"/>
      <c r="AB22" s="28"/>
      <c r="AC22" s="27">
        <v>3</v>
      </c>
      <c r="AD22" s="27">
        <v>2</v>
      </c>
      <c r="AE22" s="33"/>
      <c r="AG22" s="25"/>
      <c r="AH22" s="34"/>
      <c r="AI22" s="27"/>
      <c r="AJ22" s="27"/>
      <c r="AK22" s="27"/>
      <c r="AL22" s="25"/>
      <c r="AM22" s="34"/>
      <c r="AN22" s="27"/>
      <c r="AO22" s="27"/>
      <c r="AP22" s="36"/>
      <c r="AQ22" s="37"/>
      <c r="AR22" s="32"/>
      <c r="AS22" s="25"/>
      <c r="AT22" s="27"/>
      <c r="AU22" s="27"/>
      <c r="AW22" s="25"/>
      <c r="AX22" s="27"/>
      <c r="AY22" s="27"/>
      <c r="AZ22" s="32"/>
      <c r="BA22" s="41"/>
    </row>
    <row r="23" spans="1:53" x14ac:dyDescent="0.2">
      <c r="A23" s="25">
        <v>7</v>
      </c>
      <c r="B23" s="26">
        <v>45488</v>
      </c>
      <c r="C23" s="27" t="s">
        <v>232</v>
      </c>
      <c r="D23" s="25"/>
      <c r="E23" s="28"/>
      <c r="F23" s="27"/>
      <c r="G23" s="28"/>
      <c r="H23" s="27"/>
      <c r="I23" s="28"/>
      <c r="J23" s="27">
        <v>6</v>
      </c>
      <c r="K23" s="29" t="s">
        <v>35</v>
      </c>
      <c r="L23" s="39"/>
      <c r="M23" s="31"/>
      <c r="N23" s="27" t="s">
        <v>533</v>
      </c>
      <c r="P23" s="32" t="s">
        <v>550</v>
      </c>
      <c r="Q23" s="25"/>
      <c r="R23" s="27"/>
      <c r="S23" s="27"/>
      <c r="T23" s="28"/>
      <c r="U23" s="27">
        <v>5</v>
      </c>
      <c r="V23" s="27"/>
      <c r="W23" s="28">
        <v>5</v>
      </c>
      <c r="X23" s="346"/>
      <c r="Y23" s="32"/>
      <c r="Z23" s="25"/>
      <c r="AA23" s="27"/>
      <c r="AB23" s="28"/>
      <c r="AC23" s="27">
        <v>3</v>
      </c>
      <c r="AD23" s="27">
        <v>2</v>
      </c>
      <c r="AE23" s="33"/>
      <c r="AG23" s="25"/>
      <c r="AH23" s="34"/>
      <c r="AI23" s="27"/>
      <c r="AJ23" s="27"/>
      <c r="AK23" s="27"/>
      <c r="AL23" s="25"/>
      <c r="AM23" s="34"/>
      <c r="AN23" s="27"/>
      <c r="AO23" s="27"/>
      <c r="AP23" s="36"/>
      <c r="AQ23" s="37"/>
      <c r="AR23" s="32"/>
      <c r="AS23" s="25"/>
      <c r="AT23" s="27"/>
      <c r="AU23" s="27"/>
      <c r="AW23" s="25"/>
      <c r="AX23" s="27"/>
      <c r="AY23" s="27"/>
      <c r="AZ23" s="32"/>
      <c r="BA23" s="41"/>
    </row>
    <row r="24" spans="1:53" x14ac:dyDescent="0.2">
      <c r="A24" s="25">
        <v>8</v>
      </c>
      <c r="B24" s="26">
        <v>45489</v>
      </c>
      <c r="C24" s="27" t="s">
        <v>227</v>
      </c>
      <c r="D24" s="25"/>
      <c r="E24" s="28"/>
      <c r="F24" s="27"/>
      <c r="G24" s="28"/>
      <c r="H24" s="27"/>
      <c r="I24" s="28"/>
      <c r="J24" s="27">
        <v>6</v>
      </c>
      <c r="K24" s="29" t="s">
        <v>35</v>
      </c>
      <c r="L24" s="39"/>
      <c r="M24" s="31"/>
      <c r="N24" s="27" t="s">
        <v>240</v>
      </c>
      <c r="P24" s="32"/>
      <c r="Q24" s="25"/>
      <c r="R24" s="27"/>
      <c r="S24" s="27"/>
      <c r="T24" s="28"/>
      <c r="U24" s="27">
        <v>5</v>
      </c>
      <c r="V24" s="27"/>
      <c r="W24" s="28">
        <v>2</v>
      </c>
      <c r="X24" s="346"/>
      <c r="Y24" s="32" t="s">
        <v>551</v>
      </c>
      <c r="Z24" s="25"/>
      <c r="AA24" s="27"/>
      <c r="AB24" s="28"/>
      <c r="AC24" s="27">
        <v>3</v>
      </c>
      <c r="AD24" s="27">
        <v>2</v>
      </c>
      <c r="AE24" s="33"/>
      <c r="AG24" s="25"/>
      <c r="AH24" s="34"/>
      <c r="AI24" s="27"/>
      <c r="AJ24" s="27"/>
      <c r="AK24" s="27"/>
      <c r="AL24" s="25"/>
      <c r="AM24" s="34"/>
      <c r="AN24" s="27"/>
      <c r="AO24" s="27"/>
      <c r="AP24" s="36"/>
      <c r="AQ24" s="37"/>
      <c r="AR24" s="32"/>
      <c r="AS24" s="25"/>
      <c r="AT24" s="27"/>
      <c r="AU24" s="27"/>
      <c r="AW24" s="25"/>
      <c r="AX24" s="27"/>
      <c r="AY24" s="27"/>
      <c r="AZ24" s="32"/>
      <c r="BA24" s="41"/>
    </row>
    <row r="25" spans="1:53" ht="16" thickBot="1" x14ac:dyDescent="0.25">
      <c r="A25" s="25">
        <v>9</v>
      </c>
      <c r="B25" s="26">
        <v>45490</v>
      </c>
      <c r="C25" s="27" t="s">
        <v>227</v>
      </c>
      <c r="D25" s="25"/>
      <c r="E25" s="28"/>
      <c r="F25" s="27"/>
      <c r="G25" s="28"/>
      <c r="H25" s="27"/>
      <c r="I25" s="28"/>
      <c r="J25" s="27">
        <v>6</v>
      </c>
      <c r="K25" s="29" t="s">
        <v>35</v>
      </c>
      <c r="L25" s="39"/>
      <c r="M25" s="31"/>
      <c r="N25" s="27" t="s">
        <v>240</v>
      </c>
      <c r="P25" s="32"/>
      <c r="Q25" s="25"/>
      <c r="R25" s="27"/>
      <c r="S25" s="27"/>
      <c r="T25" s="28"/>
      <c r="U25" s="27">
        <v>5</v>
      </c>
      <c r="V25" s="27"/>
      <c r="W25" s="28">
        <v>5</v>
      </c>
      <c r="X25" s="346"/>
      <c r="Y25" s="32"/>
      <c r="Z25" s="25"/>
      <c r="AA25" s="27"/>
      <c r="AB25" s="28"/>
      <c r="AC25" s="27">
        <v>3</v>
      </c>
      <c r="AD25" s="27">
        <v>2</v>
      </c>
      <c r="AE25" s="33"/>
      <c r="AG25" s="25"/>
      <c r="AH25" s="34"/>
      <c r="AI25" s="27"/>
      <c r="AJ25" s="27"/>
      <c r="AK25" s="27"/>
      <c r="AL25" s="25"/>
      <c r="AM25" s="34"/>
      <c r="AN25" s="27"/>
      <c r="AO25" s="27"/>
      <c r="AP25" s="36"/>
      <c r="AQ25" s="37"/>
      <c r="AR25" s="32"/>
      <c r="AS25" s="25"/>
      <c r="AT25" s="27"/>
      <c r="AU25" s="27"/>
      <c r="AW25" s="25"/>
      <c r="AX25" s="27"/>
      <c r="AY25" s="27"/>
      <c r="AZ25" s="32"/>
      <c r="BA25" s="41"/>
    </row>
    <row r="26" spans="1:53" ht="16" thickBot="1" x14ac:dyDescent="0.25">
      <c r="A26" s="25">
        <v>10</v>
      </c>
      <c r="B26" s="26">
        <v>45491</v>
      </c>
      <c r="C26" s="27" t="s">
        <v>200</v>
      </c>
      <c r="D26" s="25"/>
      <c r="E26" s="28"/>
      <c r="F26" s="27"/>
      <c r="G26" s="28"/>
      <c r="H26" s="27"/>
      <c r="I26" s="28"/>
      <c r="J26" s="27">
        <v>6</v>
      </c>
      <c r="K26" s="29" t="s">
        <v>35</v>
      </c>
      <c r="L26" s="39"/>
      <c r="M26" s="31"/>
      <c r="N26" s="27" t="s">
        <v>240</v>
      </c>
      <c r="O26" s="49"/>
      <c r="P26" s="32"/>
      <c r="Q26" s="25"/>
      <c r="R26" s="27"/>
      <c r="S26" s="27"/>
      <c r="T26" s="28"/>
      <c r="U26" s="27">
        <v>5</v>
      </c>
      <c r="V26" s="27"/>
      <c r="W26" s="28">
        <v>5</v>
      </c>
      <c r="X26" s="346"/>
      <c r="Y26" s="32"/>
      <c r="Z26" s="25"/>
      <c r="AA26" s="27"/>
      <c r="AB26" s="28"/>
      <c r="AC26" s="27">
        <v>5</v>
      </c>
      <c r="AD26" s="27">
        <v>5</v>
      </c>
      <c r="AE26" s="50" t="s">
        <v>343</v>
      </c>
      <c r="AG26" s="25"/>
      <c r="AH26" s="34"/>
      <c r="AI26" s="27"/>
      <c r="AJ26" s="27"/>
      <c r="AK26" s="27"/>
      <c r="AL26" s="25"/>
      <c r="AM26" s="34"/>
      <c r="AN26" s="27"/>
      <c r="AO26" s="27"/>
      <c r="AP26" s="36"/>
      <c r="AQ26" s="37"/>
      <c r="AR26" s="32"/>
      <c r="AS26" s="25"/>
      <c r="AT26" s="27"/>
      <c r="AU26" s="27"/>
      <c r="AW26" s="25"/>
      <c r="AX26" s="27"/>
      <c r="AY26" s="27"/>
      <c r="AZ26" s="32"/>
      <c r="BA26" s="41"/>
    </row>
    <row r="27" spans="1:53" ht="16" thickBot="1" x14ac:dyDescent="0.25">
      <c r="A27" s="25">
        <v>11</v>
      </c>
      <c r="B27" s="26">
        <v>45492</v>
      </c>
      <c r="C27" s="27" t="s">
        <v>200</v>
      </c>
      <c r="D27" s="25"/>
      <c r="E27" s="28"/>
      <c r="F27" s="27"/>
      <c r="G27" s="28"/>
      <c r="H27" s="27"/>
      <c r="I27" s="28"/>
      <c r="J27" s="27">
        <v>6</v>
      </c>
      <c r="K27" s="29" t="s">
        <v>35</v>
      </c>
      <c r="L27" s="52"/>
      <c r="M27" s="31"/>
      <c r="N27" s="27" t="s">
        <v>240</v>
      </c>
      <c r="P27" s="32"/>
      <c r="Q27" s="25"/>
      <c r="R27" s="27"/>
      <c r="S27" s="27"/>
      <c r="T27" s="28"/>
      <c r="U27" s="27">
        <v>5</v>
      </c>
      <c r="V27" s="27"/>
      <c r="W27" s="28">
        <v>5</v>
      </c>
      <c r="X27" s="347"/>
      <c r="Y27" s="32"/>
      <c r="Z27" s="25"/>
      <c r="AA27" s="27"/>
      <c r="AB27" s="28"/>
      <c r="AC27" s="27">
        <v>5</v>
      </c>
      <c r="AD27" s="27">
        <v>5</v>
      </c>
      <c r="AE27" s="33"/>
      <c r="AF27" s="32"/>
      <c r="AG27" s="25"/>
      <c r="AH27" s="34"/>
      <c r="AI27" s="27"/>
      <c r="AJ27" s="27"/>
      <c r="AK27" s="27"/>
      <c r="AL27" s="25"/>
      <c r="AM27" s="34"/>
      <c r="AN27" s="27"/>
      <c r="AO27" s="27"/>
      <c r="AP27" s="36"/>
      <c r="AQ27" s="37"/>
      <c r="AR27" s="32"/>
      <c r="AS27" s="25"/>
      <c r="AT27" s="27"/>
      <c r="AU27" s="27"/>
      <c r="AW27" s="25"/>
      <c r="AX27" s="27"/>
      <c r="AY27" s="27"/>
      <c r="AZ27" s="32"/>
      <c r="BA27" s="41"/>
    </row>
    <row r="28" spans="1:53" ht="16" thickBot="1" x14ac:dyDescent="0.25">
      <c r="A28" s="25">
        <v>12</v>
      </c>
      <c r="B28" s="26">
        <v>45493</v>
      </c>
      <c r="C28" s="27" t="s">
        <v>232</v>
      </c>
      <c r="D28" s="25"/>
      <c r="E28" s="28"/>
      <c r="F28" s="27"/>
      <c r="G28" s="28"/>
      <c r="H28" s="27"/>
      <c r="I28" s="28"/>
      <c r="J28" s="27">
        <v>6</v>
      </c>
      <c r="K28" s="29" t="s">
        <v>35</v>
      </c>
      <c r="L28" s="53"/>
      <c r="M28" s="31"/>
      <c r="N28" s="27" t="s">
        <v>240</v>
      </c>
      <c r="P28" s="32"/>
      <c r="Q28" s="25"/>
      <c r="R28" s="27"/>
      <c r="S28" s="27"/>
      <c r="T28" s="28"/>
      <c r="U28" s="27">
        <v>1</v>
      </c>
      <c r="V28" s="27"/>
      <c r="W28" s="28">
        <v>1</v>
      </c>
      <c r="X28" s="54" t="s">
        <v>49</v>
      </c>
      <c r="Y28" s="32"/>
      <c r="Z28" s="25"/>
      <c r="AA28" s="27"/>
      <c r="AB28" s="28"/>
      <c r="AC28" s="27">
        <v>10</v>
      </c>
      <c r="AD28" s="27">
        <v>5</v>
      </c>
      <c r="AE28" s="50" t="s">
        <v>344</v>
      </c>
      <c r="AG28" s="25"/>
      <c r="AH28" s="34"/>
      <c r="AI28" s="27"/>
      <c r="AJ28" s="27"/>
      <c r="AK28" s="27"/>
      <c r="AL28" s="25"/>
      <c r="AM28" s="34"/>
      <c r="AN28" s="27"/>
      <c r="AO28" s="27"/>
      <c r="AP28" s="36"/>
      <c r="AQ28" s="37"/>
      <c r="AR28" s="32"/>
      <c r="AS28" s="25"/>
      <c r="AT28" s="27"/>
      <c r="AU28" s="27"/>
      <c r="AW28" s="25"/>
      <c r="AX28" s="27"/>
      <c r="AY28" s="27"/>
      <c r="AZ28" s="32"/>
      <c r="BA28" s="41"/>
    </row>
    <row r="29" spans="1:53" ht="16" thickBot="1" x14ac:dyDescent="0.25">
      <c r="A29" s="25">
        <v>13</v>
      </c>
      <c r="B29" s="26">
        <v>45494</v>
      </c>
      <c r="C29" s="27" t="s">
        <v>232</v>
      </c>
      <c r="D29" s="25"/>
      <c r="E29" s="28"/>
      <c r="F29" s="27"/>
      <c r="G29" s="28"/>
      <c r="H29" s="27"/>
      <c r="I29" s="28"/>
      <c r="J29" s="27">
        <v>6</v>
      </c>
      <c r="K29" s="29" t="s">
        <v>35</v>
      </c>
      <c r="L29" s="39" t="s">
        <v>557</v>
      </c>
      <c r="M29" s="31"/>
      <c r="N29" s="27" t="s">
        <v>240</v>
      </c>
      <c r="P29" s="32"/>
      <c r="Q29" s="25"/>
      <c r="R29" s="27"/>
      <c r="S29" s="27"/>
      <c r="T29" s="28"/>
      <c r="U29" s="27">
        <v>1</v>
      </c>
      <c r="V29" s="27"/>
      <c r="W29" s="28">
        <v>1</v>
      </c>
      <c r="X29" s="33"/>
      <c r="Y29" s="32"/>
      <c r="Z29" s="55"/>
      <c r="AA29" s="56"/>
      <c r="AB29" s="57"/>
      <c r="AC29" s="27">
        <v>10</v>
      </c>
      <c r="AD29" s="27">
        <v>5</v>
      </c>
      <c r="AE29" s="33"/>
      <c r="AG29" s="25"/>
      <c r="AH29" s="34"/>
      <c r="AI29" s="27"/>
      <c r="AJ29" s="27"/>
      <c r="AK29" s="27"/>
      <c r="AL29" s="25"/>
      <c r="AM29" s="34"/>
      <c r="AN29" s="27"/>
      <c r="AO29" s="27"/>
      <c r="AP29" s="36"/>
      <c r="AQ29" s="37"/>
      <c r="AR29" s="32"/>
      <c r="AS29" s="25"/>
      <c r="AT29" s="27"/>
      <c r="AU29" s="201"/>
      <c r="AW29" s="25"/>
      <c r="AX29" s="27"/>
      <c r="AY29" s="27"/>
      <c r="AZ29" s="32"/>
      <c r="BA29" s="41"/>
    </row>
    <row r="30" spans="1:53" ht="16" thickBot="1" x14ac:dyDescent="0.25">
      <c r="A30" s="25">
        <v>14</v>
      </c>
      <c r="B30" s="26">
        <v>45495</v>
      </c>
      <c r="C30" s="27" t="s">
        <v>232</v>
      </c>
      <c r="D30" s="25"/>
      <c r="E30" s="28"/>
      <c r="F30" s="27"/>
      <c r="G30" s="28"/>
      <c r="H30" s="27"/>
      <c r="I30" s="28"/>
      <c r="J30" s="27">
        <v>6</v>
      </c>
      <c r="K30" s="29" t="s">
        <v>35</v>
      </c>
      <c r="L30" s="39"/>
      <c r="M30" s="31"/>
      <c r="N30" s="27" t="s">
        <v>240</v>
      </c>
      <c r="P30" s="32"/>
      <c r="Q30" s="25"/>
      <c r="R30" s="27"/>
      <c r="S30" s="27"/>
      <c r="T30" s="28"/>
      <c r="U30" s="27">
        <v>1</v>
      </c>
      <c r="V30" s="27"/>
      <c r="W30" s="28">
        <v>1</v>
      </c>
      <c r="X30" s="33"/>
      <c r="Y30" s="32"/>
      <c r="Z30" s="59"/>
      <c r="AA30" s="60"/>
      <c r="AB30" s="61"/>
      <c r="AC30" s="27">
        <v>10</v>
      </c>
      <c r="AD30" s="27">
        <v>5</v>
      </c>
      <c r="AE30" s="33"/>
      <c r="AG30" s="25"/>
      <c r="AH30" s="34"/>
      <c r="AI30" s="27"/>
      <c r="AJ30" s="27"/>
      <c r="AK30" s="27"/>
      <c r="AL30" s="25"/>
      <c r="AM30" s="34"/>
      <c r="AN30" s="27"/>
      <c r="AO30" s="27"/>
      <c r="AP30" s="36"/>
      <c r="AQ30" s="37"/>
      <c r="AR30" s="32"/>
      <c r="AS30" s="25"/>
      <c r="AT30" s="27"/>
      <c r="AW30" s="25"/>
      <c r="AX30" s="27"/>
      <c r="AY30" s="27"/>
      <c r="AZ30" s="32"/>
      <c r="BA30" s="62"/>
    </row>
    <row r="31" spans="1:53" ht="16" thickBot="1" x14ac:dyDescent="0.25">
      <c r="A31" s="25">
        <v>15</v>
      </c>
      <c r="B31" s="26">
        <v>45496</v>
      </c>
      <c r="C31" s="27" t="s">
        <v>232</v>
      </c>
      <c r="D31" s="25"/>
      <c r="E31" s="28"/>
      <c r="F31" s="27"/>
      <c r="G31" s="28"/>
      <c r="H31" s="27"/>
      <c r="I31" s="28"/>
      <c r="J31" s="27">
        <v>6</v>
      </c>
      <c r="K31" s="29" t="s">
        <v>35</v>
      </c>
      <c r="L31" s="39"/>
      <c r="M31" s="31"/>
      <c r="N31" s="27" t="s">
        <v>240</v>
      </c>
      <c r="P31" s="32"/>
      <c r="Q31" s="25"/>
      <c r="R31" s="27"/>
      <c r="S31" s="27"/>
      <c r="T31" s="28"/>
      <c r="U31" s="27">
        <v>1</v>
      </c>
      <c r="V31" s="27"/>
      <c r="W31" s="28">
        <v>1</v>
      </c>
      <c r="X31" s="33"/>
      <c r="Y31" s="32"/>
      <c r="Z31" s="25"/>
      <c r="AA31" s="27"/>
      <c r="AB31" s="28"/>
      <c r="AC31" s="27">
        <v>10</v>
      </c>
      <c r="AD31" s="27">
        <v>5</v>
      </c>
      <c r="AE31" s="33"/>
      <c r="AG31" s="25"/>
      <c r="AH31" s="34"/>
      <c r="AI31" s="27"/>
      <c r="AJ31" s="27"/>
      <c r="AK31" s="27"/>
      <c r="AL31" s="25"/>
      <c r="AM31" s="34"/>
      <c r="AN31" s="27"/>
      <c r="AO31" s="27"/>
      <c r="AP31" s="36"/>
      <c r="AQ31" s="37"/>
      <c r="AR31" s="32"/>
      <c r="AS31" s="25"/>
      <c r="AT31" s="27"/>
      <c r="AU31" s="201"/>
      <c r="AW31" s="25"/>
      <c r="AX31" s="27"/>
      <c r="AY31" s="27"/>
      <c r="AZ31" s="32"/>
      <c r="BA31" s="41"/>
    </row>
    <row r="32" spans="1:53" ht="16" thickBot="1" x14ac:dyDescent="0.25">
      <c r="A32" s="25">
        <v>16</v>
      </c>
      <c r="B32" s="26">
        <v>45497</v>
      </c>
      <c r="C32" s="27" t="s">
        <v>227</v>
      </c>
      <c r="D32" s="25"/>
      <c r="E32" s="28"/>
      <c r="F32" s="27"/>
      <c r="G32" s="28"/>
      <c r="H32" s="27"/>
      <c r="I32" s="28"/>
      <c r="J32" s="27">
        <v>6</v>
      </c>
      <c r="K32" s="29" t="s">
        <v>35</v>
      </c>
      <c r="L32" s="44" t="s">
        <v>288</v>
      </c>
      <c r="M32" s="31"/>
      <c r="N32" s="27" t="s">
        <v>240</v>
      </c>
      <c r="P32" s="32"/>
      <c r="Q32" s="25"/>
      <c r="R32" s="27"/>
      <c r="S32" s="27"/>
      <c r="T32" s="28"/>
      <c r="U32" s="27">
        <v>1</v>
      </c>
      <c r="V32" s="27"/>
      <c r="W32" s="28">
        <v>1</v>
      </c>
      <c r="X32" s="63" t="s">
        <v>60</v>
      </c>
      <c r="Y32" s="46" t="s">
        <v>61</v>
      </c>
      <c r="AB32" s="28"/>
      <c r="AC32" s="27">
        <v>10</v>
      </c>
      <c r="AD32" s="27">
        <v>5</v>
      </c>
      <c r="AE32" s="33"/>
      <c r="AG32" s="25"/>
      <c r="AH32" s="34"/>
      <c r="AI32" s="27"/>
      <c r="AJ32" s="27"/>
      <c r="AK32" s="27"/>
      <c r="AL32" s="25"/>
      <c r="AM32" s="34"/>
      <c r="AN32" s="27"/>
      <c r="AO32" s="27"/>
      <c r="AP32" s="36"/>
      <c r="AQ32" s="64"/>
      <c r="AR32" s="65"/>
      <c r="AS32" s="25"/>
      <c r="AT32" s="27"/>
      <c r="AU32" s="27"/>
      <c r="AW32" s="25"/>
      <c r="AX32" s="27"/>
      <c r="AY32" s="27"/>
      <c r="AZ32" s="32"/>
      <c r="BA32" s="41"/>
    </row>
    <row r="33" spans="1:53" x14ac:dyDescent="0.2">
      <c r="A33" s="25">
        <v>17</v>
      </c>
      <c r="B33" s="26">
        <v>45498</v>
      </c>
      <c r="C33" s="27" t="s">
        <v>227</v>
      </c>
      <c r="D33" s="25"/>
      <c r="E33" s="28"/>
      <c r="F33" s="27"/>
      <c r="G33" s="28"/>
      <c r="H33" s="27"/>
      <c r="I33" s="28"/>
      <c r="J33" s="27">
        <v>6</v>
      </c>
      <c r="K33" s="29" t="s">
        <v>35</v>
      </c>
      <c r="L33" s="39"/>
      <c r="M33" s="31"/>
      <c r="N33" s="27" t="s">
        <v>240</v>
      </c>
      <c r="P33" s="32"/>
      <c r="Q33" s="25"/>
      <c r="R33" s="27"/>
      <c r="S33" s="27"/>
      <c r="T33" s="28"/>
      <c r="U33" s="27"/>
      <c r="V33" s="27" t="s">
        <v>154</v>
      </c>
      <c r="W33" s="28"/>
      <c r="X33" s="33" t="s">
        <v>155</v>
      </c>
      <c r="Y33" s="32"/>
      <c r="Z33" s="25"/>
      <c r="AA33" s="27"/>
      <c r="AB33" s="28"/>
      <c r="AC33" s="27">
        <v>10</v>
      </c>
      <c r="AD33" s="27">
        <v>5</v>
      </c>
      <c r="AE33" s="33"/>
      <c r="AG33" s="25"/>
      <c r="AH33" s="34"/>
      <c r="AI33" s="27"/>
      <c r="AJ33" s="27"/>
      <c r="AK33" s="27"/>
      <c r="AL33" s="25"/>
      <c r="AM33" s="34"/>
      <c r="AN33" s="27"/>
      <c r="AO33" s="27"/>
      <c r="AP33" s="36"/>
      <c r="AQ33" s="37"/>
      <c r="AR33" s="32"/>
      <c r="AS33" s="25"/>
      <c r="AT33" s="27"/>
      <c r="AU33" s="27"/>
      <c r="AW33" s="25"/>
      <c r="AX33" s="27"/>
      <c r="AY33" s="27"/>
      <c r="AZ33" s="32"/>
      <c r="BA33" s="41"/>
    </row>
    <row r="34" spans="1:53" ht="16" thickBot="1" x14ac:dyDescent="0.25">
      <c r="A34" s="25">
        <v>18</v>
      </c>
      <c r="B34" s="26">
        <v>45499</v>
      </c>
      <c r="C34" s="27" t="s">
        <v>200</v>
      </c>
      <c r="D34" s="25"/>
      <c r="E34" s="28"/>
      <c r="F34" s="27"/>
      <c r="G34" s="28"/>
      <c r="H34" s="27"/>
      <c r="I34" s="28"/>
      <c r="J34" s="27">
        <v>6</v>
      </c>
      <c r="K34" s="29" t="s">
        <v>35</v>
      </c>
      <c r="L34" s="39"/>
      <c r="M34" s="31"/>
      <c r="N34" s="27" t="s">
        <v>240</v>
      </c>
      <c r="P34" s="66"/>
      <c r="Q34" s="25"/>
      <c r="R34" s="27"/>
      <c r="S34" s="27"/>
      <c r="T34" s="28"/>
      <c r="U34" s="27"/>
      <c r="V34" s="27" t="s">
        <v>154</v>
      </c>
      <c r="W34" s="28"/>
      <c r="X34" s="33"/>
      <c r="Y34" s="32"/>
      <c r="Z34" s="25"/>
      <c r="AA34" s="27"/>
      <c r="AB34" s="28"/>
      <c r="AC34" s="27">
        <v>10</v>
      </c>
      <c r="AD34" s="27">
        <v>5</v>
      </c>
      <c r="AE34" s="33"/>
      <c r="AG34" s="25"/>
      <c r="AH34" s="34"/>
      <c r="AI34" s="27">
        <v>2.5000000000000001E-2</v>
      </c>
      <c r="AJ34" s="27"/>
      <c r="AK34" s="27">
        <v>2.5000000000000001E-2</v>
      </c>
      <c r="AL34" s="25"/>
      <c r="AM34" s="34"/>
      <c r="AN34" s="27"/>
      <c r="AO34" s="27"/>
      <c r="AP34" s="36"/>
      <c r="AQ34" s="67" t="s">
        <v>65</v>
      </c>
      <c r="AR34" s="46" t="s">
        <v>350</v>
      </c>
      <c r="AS34" s="25"/>
      <c r="AT34" s="27"/>
      <c r="AW34" s="25"/>
      <c r="AX34" s="27"/>
      <c r="AY34" s="27"/>
      <c r="AZ34" s="32"/>
      <c r="BA34" s="41"/>
    </row>
    <row r="35" spans="1:53" ht="16" thickBot="1" x14ac:dyDescent="0.25">
      <c r="A35" s="25">
        <v>19</v>
      </c>
      <c r="B35" s="26">
        <v>45500</v>
      </c>
      <c r="C35" s="27" t="s">
        <v>200</v>
      </c>
      <c r="D35" s="25"/>
      <c r="E35" s="28"/>
      <c r="F35" s="27"/>
      <c r="G35" s="28"/>
      <c r="H35" s="27"/>
      <c r="I35" s="28"/>
      <c r="J35" s="27">
        <v>6</v>
      </c>
      <c r="K35" s="29" t="s">
        <v>35</v>
      </c>
      <c r="L35" s="39"/>
      <c r="M35" s="31"/>
      <c r="N35" s="27" t="s">
        <v>240</v>
      </c>
      <c r="P35" s="32"/>
      <c r="Q35" s="25"/>
      <c r="R35" s="27"/>
      <c r="S35" s="27"/>
      <c r="T35" s="28"/>
      <c r="U35" s="27"/>
      <c r="V35" s="27" t="s">
        <v>154</v>
      </c>
      <c r="W35" s="28"/>
      <c r="X35" s="33"/>
      <c r="Y35" s="32"/>
      <c r="Z35" s="25"/>
      <c r="AA35" s="27"/>
      <c r="AB35" s="28"/>
      <c r="AC35" s="27">
        <v>10</v>
      </c>
      <c r="AD35" s="27">
        <v>5</v>
      </c>
      <c r="AE35" s="33"/>
      <c r="AG35" s="25"/>
      <c r="AH35" s="34"/>
      <c r="AI35" s="27">
        <v>2.5000000000000001E-2</v>
      </c>
      <c r="AJ35" s="27"/>
      <c r="AK35" s="27">
        <v>2.5000000000000001E-2</v>
      </c>
      <c r="AL35" s="25"/>
      <c r="AM35" s="34"/>
      <c r="AN35" s="27"/>
      <c r="AO35" s="27"/>
      <c r="AP35" s="36"/>
      <c r="AQ35" s="203"/>
      <c r="AR35" s="32" t="s">
        <v>64</v>
      </c>
      <c r="AS35" s="25"/>
      <c r="AT35" s="27"/>
      <c r="AU35" s="27"/>
      <c r="AW35" s="25"/>
      <c r="AX35" s="27"/>
      <c r="AY35" s="27"/>
      <c r="AZ35" s="32"/>
      <c r="BA35" s="62"/>
    </row>
    <row r="36" spans="1:53" x14ac:dyDescent="0.2">
      <c r="A36" s="25">
        <v>20</v>
      </c>
      <c r="B36" s="26">
        <v>45501</v>
      </c>
      <c r="C36" s="27" t="s">
        <v>200</v>
      </c>
      <c r="D36" s="25"/>
      <c r="E36" s="28"/>
      <c r="F36" s="27"/>
      <c r="G36" s="28"/>
      <c r="H36" s="27"/>
      <c r="I36" s="28"/>
      <c r="J36" s="27">
        <v>6</v>
      </c>
      <c r="K36" s="29" t="s">
        <v>35</v>
      </c>
      <c r="L36" s="39"/>
      <c r="M36" s="197"/>
      <c r="N36" s="27" t="s">
        <v>240</v>
      </c>
      <c r="O36" s="306" t="s">
        <v>66</v>
      </c>
      <c r="P36" s="32"/>
      <c r="Q36" s="25"/>
      <c r="R36" s="27"/>
      <c r="S36" s="27"/>
      <c r="T36" s="28"/>
      <c r="U36" s="27"/>
      <c r="V36" s="27" t="s">
        <v>154</v>
      </c>
      <c r="W36" s="28"/>
      <c r="X36" s="33"/>
      <c r="Y36" s="32"/>
      <c r="Z36" s="25"/>
      <c r="AA36" s="27"/>
      <c r="AB36" s="28"/>
      <c r="AC36" s="27">
        <v>10</v>
      </c>
      <c r="AD36" s="27">
        <v>5</v>
      </c>
      <c r="AE36" s="33"/>
      <c r="AG36" s="25"/>
      <c r="AH36" s="34"/>
      <c r="AI36" s="27">
        <v>2.5000000000000001E-2</v>
      </c>
      <c r="AJ36" s="27"/>
      <c r="AK36" s="27">
        <v>2.5000000000000001E-2</v>
      </c>
      <c r="AL36" s="25"/>
      <c r="AM36" s="34"/>
      <c r="AN36" s="27"/>
      <c r="AO36" s="27"/>
      <c r="AP36" s="36"/>
      <c r="AQ36" s="37"/>
      <c r="AR36" s="32" t="s">
        <v>64</v>
      </c>
      <c r="AS36" s="25"/>
      <c r="AT36" s="27"/>
      <c r="AU36" s="27"/>
      <c r="AW36" s="25"/>
      <c r="AX36" s="27"/>
      <c r="AY36" s="27"/>
      <c r="AZ36" s="32"/>
      <c r="BA36" s="41"/>
    </row>
    <row r="37" spans="1:53" ht="16" thickBot="1" x14ac:dyDescent="0.25">
      <c r="A37" s="70">
        <v>21</v>
      </c>
      <c r="B37" s="26">
        <v>45502</v>
      </c>
      <c r="C37" s="71" t="s">
        <v>232</v>
      </c>
      <c r="D37" s="70"/>
      <c r="E37" s="72"/>
      <c r="F37" s="71"/>
      <c r="G37" s="72"/>
      <c r="H37" s="71"/>
      <c r="I37" s="72"/>
      <c r="J37" s="27">
        <v>6</v>
      </c>
      <c r="K37" s="29" t="s">
        <v>35</v>
      </c>
      <c r="L37" s="39"/>
      <c r="M37" s="198"/>
      <c r="N37" s="27" t="s">
        <v>240</v>
      </c>
      <c r="O37" s="307"/>
      <c r="P37" s="74"/>
      <c r="Q37" s="70"/>
      <c r="R37" s="71"/>
      <c r="S37" s="71"/>
      <c r="T37" s="72"/>
      <c r="U37" s="71"/>
      <c r="V37" s="71" t="s">
        <v>154</v>
      </c>
      <c r="W37" s="72"/>
      <c r="X37" s="33"/>
      <c r="Y37" s="75"/>
      <c r="Z37" s="70"/>
      <c r="AA37" s="71"/>
      <c r="AB37" s="72"/>
      <c r="AC37" s="27">
        <v>10</v>
      </c>
      <c r="AD37" s="71">
        <v>5</v>
      </c>
      <c r="AE37" s="33"/>
      <c r="AF37" s="76"/>
      <c r="AG37" s="70"/>
      <c r="AH37" s="77"/>
      <c r="AI37" s="27">
        <v>0.1</v>
      </c>
      <c r="AJ37" s="27"/>
      <c r="AK37" s="27">
        <v>0.1</v>
      </c>
      <c r="AL37" s="70"/>
      <c r="AM37" s="77"/>
      <c r="AN37" s="27"/>
      <c r="AO37" s="71"/>
      <c r="AP37" s="78"/>
      <c r="AQ37" s="37"/>
      <c r="AR37" s="32" t="s">
        <v>64</v>
      </c>
      <c r="AS37" s="70"/>
      <c r="AT37" s="27"/>
      <c r="AU37" s="71"/>
      <c r="AV37" s="76"/>
      <c r="AW37" s="70"/>
      <c r="AX37" s="71"/>
      <c r="AY37" s="71"/>
      <c r="AZ37" s="75"/>
      <c r="BA37" s="79"/>
    </row>
    <row r="38" spans="1:53" ht="16" thickBot="1" x14ac:dyDescent="0.25">
      <c r="A38" s="25">
        <v>22</v>
      </c>
      <c r="B38" s="26">
        <v>45503</v>
      </c>
      <c r="C38" s="27" t="s">
        <v>227</v>
      </c>
      <c r="D38" s="25"/>
      <c r="E38" s="28"/>
      <c r="F38" s="27"/>
      <c r="G38" s="28"/>
      <c r="H38" s="27"/>
      <c r="I38" s="28"/>
      <c r="J38" s="27">
        <v>6</v>
      </c>
      <c r="K38" s="29" t="s">
        <v>35</v>
      </c>
      <c r="L38" s="39" t="s">
        <v>587</v>
      </c>
      <c r="M38" s="197" t="s">
        <v>593</v>
      </c>
      <c r="N38" s="27" t="s">
        <v>240</v>
      </c>
      <c r="O38" s="307"/>
      <c r="P38" s="46"/>
      <c r="Q38" s="43"/>
      <c r="R38" s="27"/>
      <c r="S38" s="27"/>
      <c r="T38" s="28"/>
      <c r="U38" s="27"/>
      <c r="V38" s="27" t="s">
        <v>154</v>
      </c>
      <c r="W38" s="28"/>
      <c r="X38" s="33"/>
      <c r="Y38" s="32"/>
      <c r="Z38" s="60"/>
      <c r="AA38" s="60"/>
      <c r="AB38" s="61"/>
      <c r="AC38" s="27">
        <v>10</v>
      </c>
      <c r="AD38" s="27">
        <v>5</v>
      </c>
      <c r="AE38" s="33"/>
      <c r="AG38" s="25"/>
      <c r="AH38" s="34"/>
      <c r="AI38" s="27">
        <v>0.1</v>
      </c>
      <c r="AJ38" s="27"/>
      <c r="AK38" s="27">
        <v>0.1</v>
      </c>
      <c r="AL38" s="25"/>
      <c r="AM38" s="34"/>
      <c r="AN38" s="27"/>
      <c r="AO38" s="27"/>
      <c r="AP38" s="36"/>
      <c r="AQ38" s="37"/>
      <c r="AR38" s="32" t="s">
        <v>64</v>
      </c>
      <c r="AS38" s="25"/>
      <c r="AT38" s="27"/>
      <c r="AU38" s="27"/>
      <c r="AW38" s="25"/>
      <c r="AX38" s="27"/>
      <c r="AY38" s="27"/>
      <c r="AZ38" s="32"/>
      <c r="BA38" s="80" t="s">
        <v>592</v>
      </c>
    </row>
    <row r="39" spans="1:53" ht="16" thickBot="1" x14ac:dyDescent="0.25">
      <c r="A39" s="25">
        <v>23</v>
      </c>
      <c r="B39" s="26">
        <v>45504</v>
      </c>
      <c r="C39" s="27"/>
      <c r="D39" s="25"/>
      <c r="E39" s="28"/>
      <c r="F39" s="27"/>
      <c r="G39" s="28"/>
      <c r="H39" s="27"/>
      <c r="I39" s="28"/>
      <c r="J39" s="27">
        <v>6</v>
      </c>
      <c r="K39" s="29" t="s">
        <v>35</v>
      </c>
      <c r="L39" s="39"/>
      <c r="M39" s="31"/>
      <c r="N39" s="27" t="s">
        <v>240</v>
      </c>
      <c r="O39" s="307"/>
      <c r="P39" s="32"/>
      <c r="Q39" s="25"/>
      <c r="R39" s="27"/>
      <c r="S39" s="27"/>
      <c r="T39" s="28"/>
      <c r="U39" s="27"/>
      <c r="V39" s="27" t="s">
        <v>154</v>
      </c>
      <c r="W39" s="28"/>
      <c r="X39" s="33"/>
      <c r="Y39" s="32"/>
      <c r="Z39" s="25"/>
      <c r="AA39" s="27"/>
      <c r="AB39" s="28"/>
      <c r="AC39" s="27">
        <v>10</v>
      </c>
      <c r="AD39" s="27">
        <v>5</v>
      </c>
      <c r="AE39" s="33"/>
      <c r="AG39" s="25"/>
      <c r="AH39" s="34"/>
      <c r="AI39" s="27"/>
      <c r="AJ39" s="27"/>
      <c r="AK39" s="27"/>
      <c r="AL39" s="25"/>
      <c r="AM39" s="34"/>
      <c r="AN39" s="27"/>
      <c r="AO39" s="27"/>
      <c r="AP39" s="36"/>
      <c r="AQ39" s="37"/>
      <c r="AR39" s="32" t="s">
        <v>64</v>
      </c>
      <c r="AS39" s="25"/>
      <c r="AT39" s="27"/>
      <c r="AU39" s="201"/>
      <c r="AW39" s="25"/>
      <c r="AX39" s="27"/>
      <c r="AY39" s="27"/>
      <c r="AZ39" s="32"/>
      <c r="BA39" s="41"/>
    </row>
    <row r="40" spans="1:53" ht="16" thickBot="1" x14ac:dyDescent="0.25">
      <c r="A40" s="25">
        <v>24</v>
      </c>
      <c r="B40" s="26">
        <v>45505</v>
      </c>
      <c r="C40" s="27"/>
      <c r="D40" s="25"/>
      <c r="E40" s="28"/>
      <c r="F40" s="27"/>
      <c r="G40" s="28"/>
      <c r="H40" s="27"/>
      <c r="I40" s="28"/>
      <c r="J40" s="27">
        <v>6</v>
      </c>
      <c r="K40" s="29" t="s">
        <v>35</v>
      </c>
      <c r="L40" s="44" t="s">
        <v>289</v>
      </c>
      <c r="M40" s="31"/>
      <c r="N40" s="27" t="s">
        <v>240</v>
      </c>
      <c r="O40" s="307"/>
      <c r="P40" s="32"/>
      <c r="Q40" s="25"/>
      <c r="R40" s="27"/>
      <c r="S40" s="27"/>
      <c r="T40" s="28"/>
      <c r="U40" s="27"/>
      <c r="V40" s="27" t="s">
        <v>154</v>
      </c>
      <c r="W40" s="28"/>
      <c r="X40" s="33"/>
      <c r="Y40" s="32"/>
      <c r="Z40" s="25"/>
      <c r="AA40" s="27"/>
      <c r="AB40" s="28"/>
      <c r="AC40" s="27">
        <v>10</v>
      </c>
      <c r="AD40" s="27">
        <v>5</v>
      </c>
      <c r="AF40" s="46" t="s">
        <v>290</v>
      </c>
      <c r="AG40" s="25"/>
      <c r="AH40" s="34"/>
      <c r="AI40" s="27"/>
      <c r="AJ40" s="27"/>
      <c r="AK40" s="27"/>
      <c r="AL40" s="25"/>
      <c r="AM40" s="34"/>
      <c r="AN40" s="27"/>
      <c r="AO40" s="27"/>
      <c r="AP40" s="36"/>
      <c r="AQ40" s="37"/>
      <c r="AR40" s="46" t="s">
        <v>351</v>
      </c>
      <c r="AS40" s="25" t="s">
        <v>72</v>
      </c>
      <c r="AT40" s="27" t="s">
        <v>52</v>
      </c>
      <c r="AU40" s="58" t="s">
        <v>295</v>
      </c>
      <c r="AW40" s="25"/>
      <c r="AX40" s="27"/>
      <c r="AY40" s="27"/>
      <c r="AZ40" s="32"/>
      <c r="BA40" s="41"/>
    </row>
    <row r="41" spans="1:53" ht="16" thickBot="1" x14ac:dyDescent="0.25">
      <c r="A41" s="25">
        <v>25</v>
      </c>
      <c r="B41" s="26">
        <v>45506</v>
      </c>
      <c r="C41" s="27"/>
      <c r="D41" s="25"/>
      <c r="E41" s="28"/>
      <c r="F41" s="27"/>
      <c r="G41" s="28"/>
      <c r="H41" s="27"/>
      <c r="I41" s="28"/>
      <c r="J41" s="27">
        <v>6</v>
      </c>
      <c r="K41" s="29" t="s">
        <v>35</v>
      </c>
      <c r="L41" s="39"/>
      <c r="M41" s="31"/>
      <c r="N41" s="27" t="s">
        <v>240</v>
      </c>
      <c r="O41" s="307"/>
      <c r="P41" s="81"/>
      <c r="Q41" s="43"/>
      <c r="R41" s="27"/>
      <c r="S41" s="27"/>
      <c r="T41" s="28"/>
      <c r="U41" s="27"/>
      <c r="V41" s="27" t="s">
        <v>154</v>
      </c>
      <c r="W41" s="28"/>
      <c r="X41" s="33"/>
      <c r="Y41" s="32"/>
      <c r="Z41" s="27"/>
      <c r="AA41" s="27"/>
      <c r="AB41" s="28"/>
      <c r="AC41" s="27"/>
      <c r="AD41" s="27"/>
      <c r="AE41" s="27"/>
      <c r="AG41" s="25"/>
      <c r="AH41" s="34"/>
      <c r="AI41" s="27"/>
      <c r="AJ41" s="27"/>
      <c r="AK41" s="27"/>
      <c r="AL41" s="25"/>
      <c r="AM41" s="34"/>
      <c r="AN41" s="27"/>
      <c r="AO41" s="27"/>
      <c r="AP41" s="36"/>
      <c r="AQ41" s="37"/>
      <c r="AR41" s="32" t="s">
        <v>75</v>
      </c>
      <c r="AS41" s="25" t="s">
        <v>72</v>
      </c>
      <c r="AT41" s="27" t="s">
        <v>52</v>
      </c>
      <c r="AW41" s="25"/>
      <c r="AX41" s="27"/>
      <c r="AY41" s="27"/>
      <c r="AZ41" s="32"/>
      <c r="BA41" s="41"/>
    </row>
    <row r="42" spans="1:53" ht="16" thickBot="1" x14ac:dyDescent="0.25">
      <c r="A42" s="25">
        <v>26</v>
      </c>
      <c r="B42" s="26">
        <v>45507</v>
      </c>
      <c r="C42" s="27"/>
      <c r="D42" s="25"/>
      <c r="E42" s="28"/>
      <c r="F42" s="27"/>
      <c r="G42" s="28"/>
      <c r="H42" s="27"/>
      <c r="I42" s="28"/>
      <c r="J42" s="27">
        <v>6</v>
      </c>
      <c r="K42" s="29" t="s">
        <v>35</v>
      </c>
      <c r="L42" s="39"/>
      <c r="M42" s="31"/>
      <c r="N42" s="27" t="s">
        <v>240</v>
      </c>
      <c r="O42" s="307"/>
      <c r="P42" s="32"/>
      <c r="Q42" s="25"/>
      <c r="R42" s="27"/>
      <c r="S42" s="27"/>
      <c r="T42" s="28"/>
      <c r="U42" s="27"/>
      <c r="V42" s="27" t="s">
        <v>154</v>
      </c>
      <c r="W42" s="28"/>
      <c r="X42" s="33"/>
      <c r="Y42" s="32"/>
      <c r="Z42" s="25"/>
      <c r="AA42" s="27"/>
      <c r="AB42" s="28"/>
      <c r="AC42" s="27"/>
      <c r="AD42" s="27"/>
      <c r="AE42" s="33"/>
      <c r="AG42" s="25"/>
      <c r="AH42" s="34"/>
      <c r="AI42" s="27"/>
      <c r="AJ42" s="27"/>
      <c r="AK42" s="27"/>
      <c r="AL42" s="25"/>
      <c r="AM42" s="34"/>
      <c r="AN42" s="27"/>
      <c r="AO42" s="27"/>
      <c r="AP42" s="36"/>
      <c r="AQ42" s="37"/>
      <c r="AR42" s="32" t="s">
        <v>75</v>
      </c>
      <c r="AS42" s="25" t="s">
        <v>72</v>
      </c>
      <c r="AT42" s="27" t="s">
        <v>52</v>
      </c>
      <c r="AW42" s="25"/>
      <c r="AX42" s="27"/>
      <c r="AY42" s="27"/>
      <c r="AZ42" s="32"/>
      <c r="BA42" s="41"/>
    </row>
    <row r="43" spans="1:53" ht="16" thickBot="1" x14ac:dyDescent="0.25">
      <c r="A43" s="25">
        <v>27</v>
      </c>
      <c r="B43" s="26">
        <v>45508</v>
      </c>
      <c r="C43" s="27"/>
      <c r="D43" s="25"/>
      <c r="E43" s="28"/>
      <c r="F43" s="27"/>
      <c r="G43" s="28"/>
      <c r="H43" s="27"/>
      <c r="I43" s="28"/>
      <c r="J43" s="27">
        <v>6</v>
      </c>
      <c r="K43" s="29" t="s">
        <v>35</v>
      </c>
      <c r="L43" s="39"/>
      <c r="M43" s="31"/>
      <c r="N43" s="27" t="s">
        <v>240</v>
      </c>
      <c r="O43" s="307"/>
      <c r="P43" s="32"/>
      <c r="Q43" s="25"/>
      <c r="R43" s="27"/>
      <c r="S43" s="27"/>
      <c r="T43" s="28"/>
      <c r="U43" s="27"/>
      <c r="V43" s="27" t="s">
        <v>154</v>
      </c>
      <c r="W43" s="28"/>
      <c r="X43" s="33"/>
      <c r="Y43" s="32"/>
      <c r="Z43" s="25"/>
      <c r="AA43" s="27"/>
      <c r="AB43" s="28"/>
      <c r="AC43" s="27"/>
      <c r="AD43" s="27"/>
      <c r="AE43" s="33"/>
      <c r="AG43" s="25"/>
      <c r="AH43" s="34"/>
      <c r="AI43" s="27"/>
      <c r="AJ43" s="27"/>
      <c r="AK43" s="27"/>
      <c r="AL43" s="25"/>
      <c r="AM43" s="34"/>
      <c r="AN43" s="27"/>
      <c r="AO43" s="27"/>
      <c r="AP43" s="36"/>
      <c r="AQ43" s="82" t="s">
        <v>292</v>
      </c>
      <c r="AR43" s="32" t="s">
        <v>352</v>
      </c>
      <c r="AS43" s="25" t="s">
        <v>72</v>
      </c>
      <c r="AT43" s="27" t="s">
        <v>52</v>
      </c>
      <c r="AU43" s="27"/>
      <c r="AW43" s="25"/>
      <c r="AX43" s="27"/>
      <c r="AY43" s="27"/>
      <c r="AZ43" s="32"/>
      <c r="BA43" s="41"/>
    </row>
    <row r="44" spans="1:53" x14ac:dyDescent="0.2">
      <c r="A44" s="25">
        <v>28</v>
      </c>
      <c r="B44" s="26">
        <v>45509</v>
      </c>
      <c r="C44" s="27"/>
      <c r="D44" s="25"/>
      <c r="E44" s="28"/>
      <c r="F44" s="27"/>
      <c r="G44" s="28"/>
      <c r="H44" s="27"/>
      <c r="I44" s="28"/>
      <c r="J44" s="27">
        <v>6</v>
      </c>
      <c r="K44" s="29" t="s">
        <v>35</v>
      </c>
      <c r="L44" s="39"/>
      <c r="M44" s="31"/>
      <c r="N44" s="27" t="s">
        <v>240</v>
      </c>
      <c r="O44" s="307"/>
      <c r="P44" s="32"/>
      <c r="Q44" s="25"/>
      <c r="R44" s="27"/>
      <c r="S44" s="27"/>
      <c r="T44" s="28"/>
      <c r="U44" s="27"/>
      <c r="V44" s="27" t="s">
        <v>154</v>
      </c>
      <c r="W44" s="28"/>
      <c r="Y44" s="32"/>
      <c r="Z44" s="25"/>
      <c r="AA44" s="27"/>
      <c r="AB44" s="28"/>
      <c r="AC44" s="27"/>
      <c r="AD44" s="27"/>
      <c r="AE44" s="33"/>
      <c r="AG44" s="25"/>
      <c r="AH44" s="34"/>
      <c r="AI44" s="27"/>
      <c r="AJ44" s="27"/>
      <c r="AK44" s="27"/>
      <c r="AL44" s="25"/>
      <c r="AM44" s="34"/>
      <c r="AN44" s="27"/>
      <c r="AO44" s="27"/>
      <c r="AP44" s="36"/>
      <c r="AR44" s="32" t="s">
        <v>293</v>
      </c>
      <c r="AS44" s="25" t="s">
        <v>72</v>
      </c>
      <c r="AT44" s="27" t="s">
        <v>52</v>
      </c>
      <c r="AU44" s="27"/>
      <c r="AW44" s="25"/>
      <c r="AX44" s="27"/>
      <c r="AY44" s="27"/>
      <c r="AZ44" s="32"/>
      <c r="BA44" s="41"/>
    </row>
    <row r="45" spans="1:53" ht="17.25" customHeight="1" thickBot="1" x14ac:dyDescent="0.25">
      <c r="A45" s="25">
        <v>29</v>
      </c>
      <c r="B45" s="26">
        <v>45510</v>
      </c>
      <c r="C45" s="27"/>
      <c r="D45" s="25"/>
      <c r="E45" s="28"/>
      <c r="F45" s="27"/>
      <c r="G45" s="28"/>
      <c r="H45" s="27"/>
      <c r="I45" s="28"/>
      <c r="J45" s="27">
        <v>6</v>
      </c>
      <c r="K45" s="29" t="s">
        <v>345</v>
      </c>
      <c r="L45" s="39"/>
      <c r="M45" s="31"/>
      <c r="N45" s="27" t="s">
        <v>240</v>
      </c>
      <c r="O45" s="307"/>
      <c r="P45" s="32"/>
      <c r="Q45" s="25"/>
      <c r="R45" s="27"/>
      <c r="S45" s="27"/>
      <c r="T45" s="28"/>
      <c r="U45" s="27"/>
      <c r="V45" s="27" t="s">
        <v>154</v>
      </c>
      <c r="W45" s="28"/>
      <c r="X45" s="33"/>
      <c r="Y45" s="32"/>
      <c r="Z45" s="25"/>
      <c r="AA45" s="27"/>
      <c r="AB45" s="28"/>
      <c r="AC45" s="27"/>
      <c r="AD45" s="27"/>
      <c r="AE45" s="33"/>
      <c r="AG45" s="25"/>
      <c r="AH45" s="34"/>
      <c r="AI45" s="27"/>
      <c r="AJ45" s="27"/>
      <c r="AK45" s="27"/>
      <c r="AL45" s="25"/>
      <c r="AM45" s="34"/>
      <c r="AN45" s="27"/>
      <c r="AO45" s="27"/>
      <c r="AP45" s="36"/>
      <c r="AQ45" s="37"/>
      <c r="AR45" s="32" t="s">
        <v>293</v>
      </c>
      <c r="AS45" s="25" t="s">
        <v>72</v>
      </c>
      <c r="AT45" s="27" t="s">
        <v>52</v>
      </c>
      <c r="AU45" s="27"/>
      <c r="AW45" s="25"/>
      <c r="AX45" s="27"/>
      <c r="AY45" s="27"/>
      <c r="AZ45" s="32"/>
      <c r="BA45" s="41"/>
    </row>
    <row r="46" spans="1:53" s="87" customFormat="1" ht="16" thickBot="1" x14ac:dyDescent="0.25">
      <c r="A46" s="25">
        <v>30</v>
      </c>
      <c r="B46" s="26">
        <v>45511</v>
      </c>
      <c r="C46" s="27"/>
      <c r="D46" s="25"/>
      <c r="E46" s="28"/>
      <c r="F46" s="27"/>
      <c r="G46" s="28"/>
      <c r="H46" s="27"/>
      <c r="I46" s="28"/>
      <c r="J46" s="27">
        <v>6</v>
      </c>
      <c r="K46" s="29" t="s">
        <v>346</v>
      </c>
      <c r="L46" s="39"/>
      <c r="M46" s="31"/>
      <c r="N46" s="27" t="s">
        <v>240</v>
      </c>
      <c r="O46" s="307"/>
      <c r="Q46" s="83"/>
      <c r="R46" s="83"/>
      <c r="S46" s="83"/>
      <c r="T46" s="83"/>
      <c r="U46" s="83"/>
      <c r="V46" s="83" t="s">
        <v>154</v>
      </c>
      <c r="W46" s="83"/>
      <c r="X46" s="83"/>
      <c r="Z46" s="83"/>
      <c r="AA46" s="83"/>
      <c r="AB46" s="83"/>
      <c r="AC46" s="83"/>
      <c r="AD46" s="83"/>
      <c r="AE46" s="83"/>
      <c r="AG46" s="83"/>
      <c r="AH46" s="83"/>
      <c r="AI46" s="83"/>
      <c r="AJ46" s="83"/>
      <c r="AK46" s="83"/>
      <c r="AL46" s="83"/>
      <c r="AM46" s="83"/>
      <c r="AN46" s="83"/>
      <c r="AO46" s="83"/>
      <c r="AP46" s="83"/>
      <c r="AR46" s="190" t="s">
        <v>294</v>
      </c>
      <c r="AS46" s="83" t="s">
        <v>72</v>
      </c>
      <c r="AT46" s="83" t="s">
        <v>52</v>
      </c>
      <c r="AU46" s="83"/>
      <c r="AW46" s="83"/>
      <c r="AX46" s="83"/>
      <c r="AY46" s="83"/>
      <c r="BA46" s="83"/>
    </row>
    <row r="47" spans="1:53" x14ac:dyDescent="0.2">
      <c r="A47" s="25">
        <v>31</v>
      </c>
      <c r="B47" s="26">
        <v>45512</v>
      </c>
      <c r="C47" s="27"/>
      <c r="D47" s="25"/>
      <c r="E47" s="28"/>
      <c r="F47" s="27"/>
      <c r="G47" s="28"/>
      <c r="H47" s="27"/>
      <c r="I47" s="28"/>
      <c r="J47" s="202">
        <v>45357</v>
      </c>
      <c r="K47" s="29" t="s">
        <v>347</v>
      </c>
      <c r="L47" s="39"/>
      <c r="M47" s="31"/>
      <c r="N47" s="27" t="s">
        <v>272</v>
      </c>
      <c r="O47" s="307"/>
      <c r="P47" s="32"/>
      <c r="Q47" s="25"/>
      <c r="R47" s="27"/>
      <c r="S47" s="27"/>
      <c r="T47" s="28"/>
      <c r="U47" s="27"/>
      <c r="V47" s="27" t="s">
        <v>154</v>
      </c>
      <c r="W47" s="28"/>
      <c r="X47" s="33"/>
      <c r="Y47" s="32"/>
      <c r="Z47" s="25"/>
      <c r="AA47" s="27"/>
      <c r="AB47" s="28"/>
      <c r="AC47" s="27"/>
      <c r="AD47" s="27"/>
      <c r="AE47" s="33"/>
      <c r="AG47" s="25"/>
      <c r="AH47" s="34"/>
      <c r="AI47" s="27"/>
      <c r="AJ47" s="27"/>
      <c r="AK47" s="27"/>
      <c r="AL47" s="25"/>
      <c r="AM47" s="34"/>
      <c r="AN47" s="27"/>
      <c r="AO47" s="27"/>
      <c r="AP47" s="36"/>
      <c r="AQ47" s="37"/>
      <c r="AR47" s="66"/>
      <c r="AS47" s="25" t="s">
        <v>72</v>
      </c>
      <c r="AT47" s="27" t="s">
        <v>52</v>
      </c>
      <c r="AU47" s="27"/>
      <c r="AW47" s="25"/>
      <c r="AX47" s="27"/>
      <c r="AY47" s="27"/>
      <c r="AZ47" s="32"/>
      <c r="BA47" s="41"/>
    </row>
    <row r="48" spans="1:53" x14ac:dyDescent="0.2">
      <c r="A48" s="25">
        <v>32</v>
      </c>
      <c r="B48" s="26">
        <v>45513</v>
      </c>
      <c r="C48" s="27"/>
      <c r="D48" s="25"/>
      <c r="E48" s="28"/>
      <c r="F48" s="27"/>
      <c r="G48" s="28"/>
      <c r="H48" s="27"/>
      <c r="I48" s="28"/>
      <c r="J48" s="202">
        <v>45357</v>
      </c>
      <c r="K48" s="29" t="s">
        <v>35</v>
      </c>
      <c r="L48" s="39"/>
      <c r="M48" s="31"/>
      <c r="N48" s="27" t="s">
        <v>272</v>
      </c>
      <c r="O48" s="307"/>
      <c r="P48" s="32"/>
      <c r="Q48" s="25"/>
      <c r="R48" s="27"/>
      <c r="S48" s="27"/>
      <c r="T48" s="28"/>
      <c r="U48" s="27"/>
      <c r="V48" s="27" t="s">
        <v>154</v>
      </c>
      <c r="W48" s="28"/>
      <c r="X48" s="33"/>
      <c r="Y48" s="32"/>
      <c r="Z48" s="25"/>
      <c r="AA48" s="27"/>
      <c r="AB48" s="28"/>
      <c r="AC48" s="27"/>
      <c r="AD48" s="27"/>
      <c r="AE48" s="33"/>
      <c r="AG48" s="25"/>
      <c r="AH48" s="34"/>
      <c r="AI48" s="27"/>
      <c r="AJ48" s="27"/>
      <c r="AK48" s="27"/>
      <c r="AL48" s="25"/>
      <c r="AM48" s="34"/>
      <c r="AN48" s="27"/>
      <c r="AO48" s="27"/>
      <c r="AP48" s="36"/>
      <c r="AQ48" s="37"/>
      <c r="AR48" s="32"/>
      <c r="AS48" s="25" t="s">
        <v>72</v>
      </c>
      <c r="AT48" s="27" t="s">
        <v>52</v>
      </c>
      <c r="AU48" s="27"/>
      <c r="AW48" s="25"/>
      <c r="AX48" s="27"/>
      <c r="AY48" s="27"/>
      <c r="AZ48" s="32"/>
      <c r="BA48" s="41"/>
    </row>
    <row r="49" spans="1:53" x14ac:dyDescent="0.2">
      <c r="A49" s="25">
        <v>33</v>
      </c>
      <c r="B49" s="26">
        <v>45514</v>
      </c>
      <c r="C49" s="27"/>
      <c r="D49" s="25"/>
      <c r="E49" s="28"/>
      <c r="F49" s="27"/>
      <c r="G49" s="28"/>
      <c r="H49" s="27"/>
      <c r="I49" s="28"/>
      <c r="J49" s="202">
        <v>45357</v>
      </c>
      <c r="K49" s="29" t="s">
        <v>35</v>
      </c>
      <c r="L49" s="39"/>
      <c r="M49" s="31"/>
      <c r="N49" s="27" t="s">
        <v>272</v>
      </c>
      <c r="O49" s="307"/>
      <c r="P49" s="32"/>
      <c r="Q49" s="25"/>
      <c r="R49" s="27"/>
      <c r="S49" s="27"/>
      <c r="T49" s="28"/>
      <c r="U49" s="27"/>
      <c r="V49" s="27" t="s">
        <v>154</v>
      </c>
      <c r="W49" s="28"/>
      <c r="X49" s="33"/>
      <c r="Y49" s="32"/>
      <c r="Z49" s="25"/>
      <c r="AA49" s="27"/>
      <c r="AB49" s="28"/>
      <c r="AC49" s="27"/>
      <c r="AD49" s="27"/>
      <c r="AE49" s="33"/>
      <c r="AG49" s="25"/>
      <c r="AH49" s="34"/>
      <c r="AI49" s="27"/>
      <c r="AJ49" s="27"/>
      <c r="AK49" s="27"/>
      <c r="AL49" s="25"/>
      <c r="AM49" s="34"/>
      <c r="AN49" s="27"/>
      <c r="AO49" s="27"/>
      <c r="AP49" s="36"/>
      <c r="AQ49" s="37"/>
      <c r="AR49" s="32"/>
      <c r="AS49" s="25" t="s">
        <v>72</v>
      </c>
      <c r="AT49" s="27" t="s">
        <v>52</v>
      </c>
      <c r="AW49" s="25"/>
      <c r="AX49" s="27"/>
      <c r="AY49" s="27"/>
      <c r="AZ49" s="32"/>
      <c r="BA49" s="41"/>
    </row>
    <row r="50" spans="1:53" ht="16" thickBot="1" x14ac:dyDescent="0.25">
      <c r="A50" s="25">
        <v>34</v>
      </c>
      <c r="B50" s="26">
        <v>45515</v>
      </c>
      <c r="C50" s="27"/>
      <c r="D50" s="25"/>
      <c r="E50" s="28"/>
      <c r="F50" s="27"/>
      <c r="G50" s="28"/>
      <c r="H50" s="27"/>
      <c r="I50" s="28"/>
      <c r="J50" s="202">
        <v>45357</v>
      </c>
      <c r="K50" s="29" t="s">
        <v>35</v>
      </c>
      <c r="L50" s="39"/>
      <c r="M50" s="31"/>
      <c r="N50" s="27" t="s">
        <v>272</v>
      </c>
      <c r="O50" s="307"/>
      <c r="P50" s="32"/>
      <c r="Q50" s="25"/>
      <c r="R50" s="27"/>
      <c r="S50" s="27"/>
      <c r="T50" s="28"/>
      <c r="U50" s="27"/>
      <c r="V50" s="27" t="s">
        <v>154</v>
      </c>
      <c r="W50" s="28"/>
      <c r="X50" s="33"/>
      <c r="Y50" s="32"/>
      <c r="Z50" s="25"/>
      <c r="AA50" s="27"/>
      <c r="AB50" s="28"/>
      <c r="AC50" s="27"/>
      <c r="AD50" s="27"/>
      <c r="AE50" s="33"/>
      <c r="AG50" s="25"/>
      <c r="AH50" s="34"/>
      <c r="AI50" s="27"/>
      <c r="AJ50" s="27"/>
      <c r="AK50" s="27"/>
      <c r="AL50" s="25"/>
      <c r="AM50" s="34"/>
      <c r="AN50" s="27"/>
      <c r="AO50" s="27"/>
      <c r="AP50" s="36"/>
      <c r="AQ50" s="37"/>
      <c r="AR50" s="32"/>
      <c r="AS50" s="25" t="s">
        <v>72</v>
      </c>
      <c r="AT50" s="27" t="s">
        <v>52</v>
      </c>
      <c r="AU50" s="27"/>
      <c r="AW50" s="25"/>
      <c r="AX50" s="27"/>
      <c r="AY50" s="27"/>
      <c r="AZ50" s="32"/>
      <c r="BA50" s="41"/>
    </row>
    <row r="51" spans="1:53" ht="16" thickBot="1" x14ac:dyDescent="0.25">
      <c r="A51" s="25">
        <v>35</v>
      </c>
      <c r="B51" s="26">
        <v>45516</v>
      </c>
      <c r="C51" s="27"/>
      <c r="D51" s="25"/>
      <c r="E51" s="28"/>
      <c r="F51" s="27"/>
      <c r="G51" s="28"/>
      <c r="H51" s="27"/>
      <c r="I51" s="28"/>
      <c r="J51" s="202">
        <v>45357</v>
      </c>
      <c r="K51" s="29" t="s">
        <v>35</v>
      </c>
      <c r="L51" s="39"/>
      <c r="M51" s="31"/>
      <c r="N51" s="27" t="s">
        <v>272</v>
      </c>
      <c r="O51" s="307"/>
      <c r="P51" s="32"/>
      <c r="Q51" s="25"/>
      <c r="R51" s="27"/>
      <c r="S51" s="27"/>
      <c r="T51" s="28"/>
      <c r="U51" s="27"/>
      <c r="V51" s="27" t="s">
        <v>154</v>
      </c>
      <c r="W51" s="28"/>
      <c r="X51" s="33"/>
      <c r="Y51" s="32"/>
      <c r="Z51" s="25"/>
      <c r="AA51" s="27"/>
      <c r="AB51" s="28"/>
      <c r="AC51" s="27"/>
      <c r="AD51" s="27"/>
      <c r="AE51" s="33"/>
      <c r="AG51" s="25"/>
      <c r="AH51" s="34"/>
      <c r="AI51" s="27"/>
      <c r="AJ51" s="27"/>
      <c r="AK51" s="27"/>
      <c r="AL51" s="25"/>
      <c r="AM51" s="34"/>
      <c r="AN51" s="27"/>
      <c r="AO51" s="27"/>
      <c r="AP51" s="36"/>
      <c r="AQ51" s="37"/>
      <c r="AR51" s="32"/>
      <c r="AS51" s="25" t="s">
        <v>72</v>
      </c>
      <c r="AT51" s="27" t="s">
        <v>52</v>
      </c>
      <c r="AU51" s="58" t="s">
        <v>77</v>
      </c>
      <c r="AW51" s="27" t="s">
        <v>325</v>
      </c>
      <c r="AX51" s="27" t="s">
        <v>91</v>
      </c>
      <c r="AY51" s="27"/>
      <c r="AZ51" s="32"/>
      <c r="BA51" s="41"/>
    </row>
    <row r="52" spans="1:53" ht="16" thickBot="1" x14ac:dyDescent="0.25">
      <c r="A52" s="25">
        <v>36</v>
      </c>
      <c r="B52" s="26">
        <v>45517</v>
      </c>
      <c r="C52" s="27"/>
      <c r="D52" s="25"/>
      <c r="E52" s="28"/>
      <c r="F52" s="27"/>
      <c r="G52" s="28"/>
      <c r="H52" s="27"/>
      <c r="I52" s="28"/>
      <c r="J52" s="202">
        <v>45357</v>
      </c>
      <c r="K52" s="29" t="s">
        <v>35</v>
      </c>
      <c r="L52" s="53"/>
      <c r="M52" s="31"/>
      <c r="N52" s="27" t="s">
        <v>272</v>
      </c>
      <c r="O52" s="307"/>
      <c r="P52" s="32"/>
      <c r="Q52" s="25"/>
      <c r="R52" s="27"/>
      <c r="S52" s="27"/>
      <c r="T52" s="28"/>
      <c r="U52" s="27"/>
      <c r="V52" s="27" t="s">
        <v>154</v>
      </c>
      <c r="W52" s="28"/>
      <c r="X52" s="33"/>
      <c r="Y52" s="32"/>
      <c r="Z52" s="25"/>
      <c r="AA52" s="27"/>
      <c r="AB52" s="28"/>
      <c r="AC52" s="27"/>
      <c r="AD52" s="27"/>
      <c r="AE52" s="33"/>
      <c r="AG52" s="25"/>
      <c r="AH52" s="34"/>
      <c r="AI52" s="27"/>
      <c r="AJ52" s="27"/>
      <c r="AK52" s="27"/>
      <c r="AL52" s="25"/>
      <c r="AM52" s="34"/>
      <c r="AN52" s="27"/>
      <c r="AO52" s="27"/>
      <c r="AP52" s="36"/>
      <c r="AQ52" s="37"/>
      <c r="AR52" s="32"/>
      <c r="AS52" s="25" t="s">
        <v>78</v>
      </c>
      <c r="AT52" s="27" t="s">
        <v>52</v>
      </c>
      <c r="AW52" s="27" t="s">
        <v>325</v>
      </c>
      <c r="AX52" s="27" t="s">
        <v>91</v>
      </c>
      <c r="AY52" s="27"/>
      <c r="AZ52" s="32"/>
      <c r="BA52" s="41"/>
    </row>
    <row r="53" spans="1:53" ht="16" thickBot="1" x14ac:dyDescent="0.25">
      <c r="A53" s="25">
        <v>37</v>
      </c>
      <c r="B53" s="26">
        <v>45518</v>
      </c>
      <c r="C53" s="27"/>
      <c r="D53" s="25"/>
      <c r="E53" s="28"/>
      <c r="F53" s="27"/>
      <c r="G53" s="28"/>
      <c r="H53" s="27"/>
      <c r="I53" s="28"/>
      <c r="J53" s="202">
        <v>45357</v>
      </c>
      <c r="K53" s="29" t="s">
        <v>35</v>
      </c>
      <c r="L53" s="53"/>
      <c r="M53" s="31"/>
      <c r="N53" s="27" t="s">
        <v>272</v>
      </c>
      <c r="O53" s="307"/>
      <c r="P53" s="32"/>
      <c r="Q53" s="25"/>
      <c r="R53" s="27"/>
      <c r="S53" s="27"/>
      <c r="T53" s="28"/>
      <c r="U53" s="27"/>
      <c r="V53" s="27" t="s">
        <v>154</v>
      </c>
      <c r="W53" s="28"/>
      <c r="X53" s="33"/>
      <c r="Y53" s="32"/>
      <c r="Z53" s="59"/>
      <c r="AA53" s="60"/>
      <c r="AB53" s="61"/>
      <c r="AC53" s="27"/>
      <c r="AD53" s="27"/>
      <c r="AE53" s="33"/>
      <c r="AG53" s="25"/>
      <c r="AH53" s="34"/>
      <c r="AI53" s="27"/>
      <c r="AJ53" s="27"/>
      <c r="AK53" s="27"/>
      <c r="AL53" s="25"/>
      <c r="AM53" s="34"/>
      <c r="AN53" s="27"/>
      <c r="AO53" s="27"/>
      <c r="AP53" s="36"/>
      <c r="AQ53" s="37"/>
      <c r="AR53" s="32"/>
      <c r="AS53" s="25" t="s">
        <v>78</v>
      </c>
      <c r="AT53" s="27" t="s">
        <v>52</v>
      </c>
      <c r="AU53" s="27"/>
      <c r="AW53" s="27" t="s">
        <v>325</v>
      </c>
      <c r="AX53" s="27" t="s">
        <v>91</v>
      </c>
      <c r="AY53" s="27"/>
      <c r="AZ53" s="32"/>
      <c r="BA53" s="41"/>
    </row>
    <row r="54" spans="1:53" x14ac:dyDescent="0.2">
      <c r="A54" s="25">
        <v>38</v>
      </c>
      <c r="B54" s="26">
        <v>45519</v>
      </c>
      <c r="C54" s="27"/>
      <c r="D54" s="25"/>
      <c r="E54" s="28"/>
      <c r="F54" s="27"/>
      <c r="G54" s="28"/>
      <c r="H54" s="27"/>
      <c r="I54" s="28"/>
      <c r="J54" s="202">
        <v>45357</v>
      </c>
      <c r="K54" s="29" t="s">
        <v>35</v>
      </c>
      <c r="L54" s="39"/>
      <c r="M54" s="31"/>
      <c r="N54" s="27" t="s">
        <v>272</v>
      </c>
      <c r="O54" s="307"/>
      <c r="P54" s="32"/>
      <c r="Q54" s="25"/>
      <c r="R54" s="27"/>
      <c r="S54" s="27"/>
      <c r="T54" s="28"/>
      <c r="U54" s="27"/>
      <c r="V54" s="27" t="s">
        <v>154</v>
      </c>
      <c r="W54" s="28"/>
      <c r="X54" s="33"/>
      <c r="Y54" s="32"/>
      <c r="Z54" s="25"/>
      <c r="AA54" s="27"/>
      <c r="AB54" s="28"/>
      <c r="AC54" s="27"/>
      <c r="AD54" s="27"/>
      <c r="AE54" s="33"/>
      <c r="AG54" s="25"/>
      <c r="AH54" s="34"/>
      <c r="AI54" s="27"/>
      <c r="AJ54" s="27"/>
      <c r="AK54" s="27"/>
      <c r="AL54" s="25"/>
      <c r="AM54" s="34"/>
      <c r="AN54" s="27"/>
      <c r="AO54" s="27"/>
      <c r="AP54" s="36"/>
      <c r="AQ54" s="37"/>
      <c r="AR54" s="32"/>
      <c r="AS54" s="25" t="s">
        <v>78</v>
      </c>
      <c r="AT54" s="27" t="s">
        <v>52</v>
      </c>
      <c r="AU54" s="27"/>
      <c r="AW54" s="27" t="s">
        <v>325</v>
      </c>
      <c r="AX54" s="27" t="s">
        <v>91</v>
      </c>
      <c r="AY54" s="27"/>
      <c r="AZ54" s="32"/>
      <c r="BA54" s="41"/>
    </row>
    <row r="55" spans="1:53" ht="16" thickBot="1" x14ac:dyDescent="0.25">
      <c r="A55" s="25">
        <v>39</v>
      </c>
      <c r="B55" s="26">
        <v>45520</v>
      </c>
      <c r="C55" s="27"/>
      <c r="D55" s="25"/>
      <c r="E55" s="28"/>
      <c r="F55" s="27"/>
      <c r="G55" s="28"/>
      <c r="H55" s="27"/>
      <c r="I55" s="28"/>
      <c r="J55" s="202">
        <v>45357</v>
      </c>
      <c r="K55" s="29" t="s">
        <v>35</v>
      </c>
      <c r="M55" s="31"/>
      <c r="N55" s="27" t="s">
        <v>272</v>
      </c>
      <c r="O55" s="307"/>
      <c r="P55" s="32"/>
      <c r="Q55" s="25"/>
      <c r="R55" s="27"/>
      <c r="S55" s="27"/>
      <c r="T55" s="28"/>
      <c r="U55" s="27"/>
      <c r="V55" s="27" t="s">
        <v>154</v>
      </c>
      <c r="W55" s="28"/>
      <c r="X55" s="33"/>
      <c r="Y55" s="32"/>
      <c r="Z55" s="25"/>
      <c r="AA55" s="27"/>
      <c r="AB55" s="28"/>
      <c r="AC55" s="27"/>
      <c r="AD55" s="27"/>
      <c r="AE55" s="33"/>
      <c r="AG55" s="25"/>
      <c r="AH55" s="34"/>
      <c r="AI55" s="27"/>
      <c r="AJ55" s="27"/>
      <c r="AK55" s="27"/>
      <c r="AL55" s="25"/>
      <c r="AM55" s="34"/>
      <c r="AN55" s="27"/>
      <c r="AO55" s="27"/>
      <c r="AP55" s="36"/>
      <c r="AQ55" s="37"/>
      <c r="AR55" s="32"/>
      <c r="AS55" s="25" t="s">
        <v>78</v>
      </c>
      <c r="AT55" s="27" t="s">
        <v>52</v>
      </c>
      <c r="AU55" s="27"/>
      <c r="AW55" s="27" t="s">
        <v>325</v>
      </c>
      <c r="AX55" s="27" t="s">
        <v>91</v>
      </c>
      <c r="AY55" s="27"/>
      <c r="AZ55" s="32"/>
      <c r="BA55" s="41"/>
    </row>
    <row r="56" spans="1:53" ht="16" thickBot="1" x14ac:dyDescent="0.25">
      <c r="A56" s="25">
        <v>40</v>
      </c>
      <c r="B56" s="26">
        <v>45521</v>
      </c>
      <c r="C56" s="27"/>
      <c r="D56" s="25"/>
      <c r="E56" s="28"/>
      <c r="F56" s="27"/>
      <c r="G56" s="28"/>
      <c r="H56" s="27"/>
      <c r="I56" s="28"/>
      <c r="J56" s="202">
        <v>45357</v>
      </c>
      <c r="K56" s="29" t="s">
        <v>35</v>
      </c>
      <c r="L56" s="53"/>
      <c r="M56" s="31"/>
      <c r="N56" s="27" t="s">
        <v>272</v>
      </c>
      <c r="O56" s="308"/>
      <c r="Q56" s="25"/>
      <c r="R56" s="27"/>
      <c r="S56" s="27"/>
      <c r="T56" s="28"/>
      <c r="U56" s="27"/>
      <c r="V56" s="27" t="s">
        <v>154</v>
      </c>
      <c r="W56" s="28"/>
      <c r="X56" s="33"/>
      <c r="Y56" s="32"/>
      <c r="Z56" s="59"/>
      <c r="AA56" s="60"/>
      <c r="AB56" s="61"/>
      <c r="AC56" s="27"/>
      <c r="AD56" s="27"/>
      <c r="AE56" s="33"/>
      <c r="AG56" s="25"/>
      <c r="AH56" s="34"/>
      <c r="AI56" s="27"/>
      <c r="AJ56" s="27"/>
      <c r="AK56" s="27"/>
      <c r="AL56" s="25"/>
      <c r="AM56" s="34"/>
      <c r="AN56" s="27"/>
      <c r="AO56" s="27"/>
      <c r="AP56" s="36"/>
      <c r="AQ56" s="37"/>
      <c r="AR56" s="32"/>
      <c r="AS56" s="25" t="s">
        <v>79</v>
      </c>
      <c r="AT56" s="27" t="s">
        <v>52</v>
      </c>
      <c r="AU56" s="58" t="s">
        <v>80</v>
      </c>
      <c r="AW56" s="27" t="s">
        <v>325</v>
      </c>
      <c r="AX56" s="27" t="s">
        <v>91</v>
      </c>
      <c r="AY56" s="27"/>
      <c r="AZ56" s="32"/>
      <c r="BA56" s="41"/>
    </row>
    <row r="57" spans="1:53" x14ac:dyDescent="0.2">
      <c r="A57" s="25">
        <v>41</v>
      </c>
      <c r="B57" s="26">
        <v>45522</v>
      </c>
      <c r="C57" s="27"/>
      <c r="D57" s="25"/>
      <c r="E57" s="28"/>
      <c r="F57" s="27"/>
      <c r="G57" s="28"/>
      <c r="H57" s="27"/>
      <c r="I57" s="28"/>
      <c r="J57" s="202">
        <v>45357</v>
      </c>
      <c r="K57" s="29" t="s">
        <v>35</v>
      </c>
      <c r="M57" s="31"/>
      <c r="N57" s="27" t="s">
        <v>272</v>
      </c>
      <c r="P57" s="32"/>
      <c r="Q57" s="25"/>
      <c r="R57" s="27"/>
      <c r="S57" s="27"/>
      <c r="T57" s="28"/>
      <c r="U57" s="27"/>
      <c r="V57" s="27" t="s">
        <v>154</v>
      </c>
      <c r="W57" s="28"/>
      <c r="X57" s="33"/>
      <c r="Y57" s="32"/>
      <c r="Z57" s="25"/>
      <c r="AA57" s="27"/>
      <c r="AB57" s="28"/>
      <c r="AC57" s="27"/>
      <c r="AD57" s="27"/>
      <c r="AE57" s="33"/>
      <c r="AG57" s="25"/>
      <c r="AH57" s="34"/>
      <c r="AI57" s="27"/>
      <c r="AJ57" s="27"/>
      <c r="AK57" s="27"/>
      <c r="AL57" s="25"/>
      <c r="AM57" s="34"/>
      <c r="AN57" s="27"/>
      <c r="AO57" s="27"/>
      <c r="AP57" s="36"/>
      <c r="AQ57" s="37"/>
      <c r="AR57" s="32"/>
      <c r="AS57" s="25" t="s">
        <v>79</v>
      </c>
      <c r="AT57" s="27" t="s">
        <v>52</v>
      </c>
      <c r="AU57" s="27"/>
      <c r="AW57" s="27" t="s">
        <v>325</v>
      </c>
      <c r="AX57" s="27" t="s">
        <v>91</v>
      </c>
      <c r="AY57" s="27"/>
      <c r="AZ57" s="32"/>
      <c r="BA57" s="41"/>
    </row>
    <row r="58" spans="1:53" x14ac:dyDescent="0.2">
      <c r="A58" s="25">
        <v>42</v>
      </c>
      <c r="B58" s="26">
        <v>45523</v>
      </c>
      <c r="C58" s="27"/>
      <c r="D58" s="25"/>
      <c r="E58" s="28"/>
      <c r="F58" s="27"/>
      <c r="G58" s="28"/>
      <c r="H58" s="27"/>
      <c r="I58" s="28"/>
      <c r="J58" s="202">
        <v>45357</v>
      </c>
      <c r="K58" s="29" t="s">
        <v>35</v>
      </c>
      <c r="L58" s="39"/>
      <c r="M58" s="31"/>
      <c r="N58" s="27" t="s">
        <v>272</v>
      </c>
      <c r="P58" s="32"/>
      <c r="Q58" s="25"/>
      <c r="R58" s="27"/>
      <c r="S58" s="27"/>
      <c r="T58" s="28"/>
      <c r="U58" s="27"/>
      <c r="V58" s="27" t="s">
        <v>154</v>
      </c>
      <c r="W58" s="28"/>
      <c r="X58" s="33"/>
      <c r="Y58" s="32"/>
      <c r="Z58" s="25"/>
      <c r="AA58" s="27"/>
      <c r="AB58" s="28"/>
      <c r="AC58" s="27"/>
      <c r="AD58" s="27"/>
      <c r="AE58" s="33"/>
      <c r="AG58" s="25"/>
      <c r="AH58" s="34"/>
      <c r="AI58" s="27"/>
      <c r="AJ58" s="27"/>
      <c r="AK58" s="27"/>
      <c r="AL58" s="25"/>
      <c r="AM58" s="34"/>
      <c r="AN58" s="27"/>
      <c r="AO58" s="27"/>
      <c r="AP58" s="36"/>
      <c r="AQ58" s="37"/>
      <c r="AR58" s="32"/>
      <c r="AS58" s="25" t="s">
        <v>79</v>
      </c>
      <c r="AT58" s="27" t="s">
        <v>52</v>
      </c>
      <c r="AU58" s="27"/>
      <c r="AW58" s="27" t="s">
        <v>325</v>
      </c>
      <c r="AX58" s="27" t="s">
        <v>91</v>
      </c>
      <c r="AY58" s="27"/>
      <c r="AZ58" s="32"/>
      <c r="BA58" s="41"/>
    </row>
    <row r="59" spans="1:53" ht="16" thickBot="1" x14ac:dyDescent="0.25">
      <c r="A59" s="25">
        <v>43</v>
      </c>
      <c r="B59" s="26">
        <v>45524</v>
      </c>
      <c r="C59" s="27"/>
      <c r="D59" s="25"/>
      <c r="E59" s="28"/>
      <c r="F59" s="27"/>
      <c r="G59" s="28"/>
      <c r="H59" s="27"/>
      <c r="I59" s="28"/>
      <c r="J59" s="202">
        <v>45357</v>
      </c>
      <c r="K59" s="29" t="s">
        <v>35</v>
      </c>
      <c r="L59" s="39"/>
      <c r="M59" s="31"/>
      <c r="N59" s="27" t="s">
        <v>272</v>
      </c>
      <c r="P59" s="32"/>
      <c r="Q59" s="25"/>
      <c r="R59" s="27"/>
      <c r="S59" s="27"/>
      <c r="T59" s="28"/>
      <c r="U59" s="27"/>
      <c r="V59" s="27" t="s">
        <v>154</v>
      </c>
      <c r="W59" s="28"/>
      <c r="X59" s="33"/>
      <c r="Y59" s="32"/>
      <c r="Z59" s="25"/>
      <c r="AA59" s="27"/>
      <c r="AB59" s="28"/>
      <c r="AC59" s="27"/>
      <c r="AD59" s="27"/>
      <c r="AE59" s="33"/>
      <c r="AG59" s="25"/>
      <c r="AH59" s="34"/>
      <c r="AI59" s="27"/>
      <c r="AJ59" s="27"/>
      <c r="AK59" s="27"/>
      <c r="AL59" s="25"/>
      <c r="AM59" s="34"/>
      <c r="AN59" s="27"/>
      <c r="AO59" s="27"/>
      <c r="AP59" s="36"/>
      <c r="AQ59" s="37"/>
      <c r="AR59" s="32"/>
      <c r="AS59" s="25" t="s">
        <v>79</v>
      </c>
      <c r="AT59" s="27" t="s">
        <v>52</v>
      </c>
      <c r="AU59" s="27"/>
      <c r="AW59" s="27" t="s">
        <v>325</v>
      </c>
      <c r="AX59" s="27" t="s">
        <v>91</v>
      </c>
      <c r="AY59" s="27"/>
      <c r="AZ59" s="32"/>
      <c r="BA59" s="41"/>
    </row>
    <row r="60" spans="1:53" ht="16" thickBot="1" x14ac:dyDescent="0.25">
      <c r="A60" s="25">
        <v>44</v>
      </c>
      <c r="B60" s="26">
        <v>45525</v>
      </c>
      <c r="C60" s="27"/>
      <c r="D60" s="25"/>
      <c r="E60" s="28"/>
      <c r="F60" s="27"/>
      <c r="G60" s="28"/>
      <c r="H60" s="27"/>
      <c r="I60" s="28"/>
      <c r="J60" s="202">
        <v>45357</v>
      </c>
      <c r="K60" s="29" t="s">
        <v>35</v>
      </c>
      <c r="L60" s="39"/>
      <c r="M60" s="31"/>
      <c r="N60" s="27" t="s">
        <v>272</v>
      </c>
      <c r="P60" s="32"/>
      <c r="Q60" s="27"/>
      <c r="R60" s="27"/>
      <c r="S60" s="27"/>
      <c r="T60" s="28"/>
      <c r="U60" s="27"/>
      <c r="V60" s="27" t="s">
        <v>154</v>
      </c>
      <c r="W60" s="28"/>
      <c r="X60" s="33"/>
      <c r="Y60" s="32"/>
      <c r="Z60" s="59"/>
      <c r="AA60" s="60"/>
      <c r="AB60" s="61"/>
      <c r="AC60" s="27"/>
      <c r="AD60" s="27"/>
      <c r="AE60" s="33"/>
      <c r="AG60" s="25"/>
      <c r="AH60" s="34"/>
      <c r="AI60" s="27"/>
      <c r="AJ60" s="27"/>
      <c r="AK60" s="27"/>
      <c r="AL60" s="25"/>
      <c r="AM60" s="34"/>
      <c r="AN60" s="27"/>
      <c r="AO60" s="27"/>
      <c r="AP60" s="36"/>
      <c r="AQ60" s="37"/>
      <c r="AR60" s="32"/>
      <c r="AS60" s="25" t="s">
        <v>79</v>
      </c>
      <c r="AT60" s="27" t="s">
        <v>52</v>
      </c>
      <c r="AU60" s="58" t="s">
        <v>81</v>
      </c>
      <c r="AW60" s="27" t="s">
        <v>325</v>
      </c>
      <c r="AX60" s="27" t="s">
        <v>303</v>
      </c>
      <c r="AY60" s="27"/>
      <c r="AZ60" s="32"/>
      <c r="BA60" s="41"/>
    </row>
    <row r="61" spans="1:53" x14ac:dyDescent="0.2">
      <c r="A61" s="25">
        <v>45</v>
      </c>
      <c r="B61" s="26">
        <v>45526</v>
      </c>
      <c r="C61" s="27"/>
      <c r="D61" s="25"/>
      <c r="E61" s="28"/>
      <c r="F61" s="27"/>
      <c r="G61" s="28"/>
      <c r="H61" s="27"/>
      <c r="I61" s="28"/>
      <c r="J61" s="202">
        <v>45357</v>
      </c>
      <c r="K61" s="29" t="s">
        <v>35</v>
      </c>
      <c r="L61" s="39"/>
      <c r="M61" s="31"/>
      <c r="N61" s="27" t="s">
        <v>272</v>
      </c>
      <c r="P61" s="32"/>
      <c r="Q61" s="25"/>
      <c r="R61" s="27"/>
      <c r="S61" s="27"/>
      <c r="T61" s="28"/>
      <c r="U61" s="27"/>
      <c r="V61" s="27" t="s">
        <v>154</v>
      </c>
      <c r="W61" s="28"/>
      <c r="X61" s="33"/>
      <c r="Y61" s="32"/>
      <c r="Z61" s="25"/>
      <c r="AA61" s="27"/>
      <c r="AB61" s="28"/>
      <c r="AC61" s="27"/>
      <c r="AD61" s="27"/>
      <c r="AE61" s="33"/>
      <c r="AG61" s="25"/>
      <c r="AH61" s="34"/>
      <c r="AI61" s="27"/>
      <c r="AJ61" s="27"/>
      <c r="AK61" s="27"/>
      <c r="AL61" s="25"/>
      <c r="AM61" s="34"/>
      <c r="AN61" s="27"/>
      <c r="AO61" s="27"/>
      <c r="AP61" s="36"/>
      <c r="AQ61" s="37"/>
      <c r="AR61" s="32"/>
      <c r="AS61" s="25" t="s">
        <v>82</v>
      </c>
      <c r="AT61" s="27" t="s">
        <v>52</v>
      </c>
      <c r="AW61" s="27" t="s">
        <v>325</v>
      </c>
      <c r="AX61" s="27" t="s">
        <v>303</v>
      </c>
      <c r="AY61" s="27"/>
      <c r="AZ61" s="32"/>
      <c r="BA61" s="41"/>
    </row>
    <row r="62" spans="1:53" x14ac:dyDescent="0.2">
      <c r="A62" s="25">
        <v>46</v>
      </c>
      <c r="B62" s="26">
        <v>45527</v>
      </c>
      <c r="C62" s="27"/>
      <c r="D62" s="25"/>
      <c r="E62" s="28"/>
      <c r="F62" s="27"/>
      <c r="G62" s="28"/>
      <c r="H62" s="27"/>
      <c r="I62" s="28"/>
      <c r="J62" s="202">
        <v>45357</v>
      </c>
      <c r="K62" s="29" t="s">
        <v>35</v>
      </c>
      <c r="L62" s="39"/>
      <c r="M62" s="31"/>
      <c r="N62" s="27" t="s">
        <v>272</v>
      </c>
      <c r="P62" s="32"/>
      <c r="Q62" s="25"/>
      <c r="R62" s="27"/>
      <c r="S62" s="27"/>
      <c r="T62" s="28"/>
      <c r="U62" s="27"/>
      <c r="V62" s="27" t="s">
        <v>154</v>
      </c>
      <c r="W62" s="28"/>
      <c r="X62" s="33"/>
      <c r="Y62" s="32"/>
      <c r="Z62" s="25"/>
      <c r="AA62" s="27"/>
      <c r="AB62" s="28"/>
      <c r="AC62" s="27"/>
      <c r="AD62" s="27"/>
      <c r="AE62" s="33"/>
      <c r="AG62" s="25"/>
      <c r="AH62" s="34"/>
      <c r="AI62" s="27"/>
      <c r="AJ62" s="27"/>
      <c r="AK62" s="27"/>
      <c r="AL62" s="25"/>
      <c r="AM62" s="34"/>
      <c r="AN62" s="27"/>
      <c r="AO62" s="27"/>
      <c r="AP62" s="36"/>
      <c r="AQ62" s="37"/>
      <c r="AR62" s="32"/>
      <c r="AS62" s="25" t="s">
        <v>82</v>
      </c>
      <c r="AT62" s="27" t="s">
        <v>52</v>
      </c>
      <c r="AU62" s="27"/>
      <c r="AW62" s="27" t="s">
        <v>325</v>
      </c>
      <c r="AX62" s="27" t="s">
        <v>303</v>
      </c>
      <c r="AY62" s="27"/>
      <c r="AZ62" s="32"/>
      <c r="BA62" s="41"/>
    </row>
    <row r="63" spans="1:53" x14ac:dyDescent="0.2">
      <c r="A63" s="25">
        <v>47</v>
      </c>
      <c r="B63" s="26">
        <v>45528</v>
      </c>
      <c r="C63" s="27"/>
      <c r="D63" s="25"/>
      <c r="E63" s="28"/>
      <c r="F63" s="27"/>
      <c r="G63" s="28"/>
      <c r="H63" s="27"/>
      <c r="I63" s="28"/>
      <c r="J63" s="202">
        <v>45357</v>
      </c>
      <c r="K63" s="29" t="s">
        <v>35</v>
      </c>
      <c r="L63" s="39"/>
      <c r="M63" s="31"/>
      <c r="N63" s="27" t="s">
        <v>272</v>
      </c>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c r="AO63" s="27"/>
      <c r="AP63" s="36"/>
      <c r="AQ63" s="37"/>
      <c r="AR63" s="32"/>
      <c r="AS63" s="25" t="s">
        <v>82</v>
      </c>
      <c r="AT63" s="27" t="s">
        <v>52</v>
      </c>
      <c r="AU63" s="27"/>
      <c r="AW63" s="27" t="s">
        <v>325</v>
      </c>
      <c r="AX63" s="27" t="s">
        <v>303</v>
      </c>
      <c r="AY63" s="27"/>
      <c r="AZ63" s="32"/>
      <c r="BA63" s="41"/>
    </row>
    <row r="64" spans="1:53" x14ac:dyDescent="0.2">
      <c r="A64" s="25">
        <v>48</v>
      </c>
      <c r="B64" s="26">
        <v>45529</v>
      </c>
      <c r="C64" s="27"/>
      <c r="D64" s="25"/>
      <c r="E64" s="28"/>
      <c r="F64" s="27"/>
      <c r="G64" s="28"/>
      <c r="H64" s="27"/>
      <c r="I64" s="28"/>
      <c r="J64" s="202">
        <v>45357</v>
      </c>
      <c r="K64" s="29" t="s">
        <v>35</v>
      </c>
      <c r="M64" s="31"/>
      <c r="N64" s="27" t="s">
        <v>272</v>
      </c>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c r="AO64" s="27"/>
      <c r="AP64" s="36"/>
      <c r="AQ64" s="37"/>
      <c r="AR64" s="32"/>
      <c r="AS64" s="25" t="s">
        <v>82</v>
      </c>
      <c r="AT64" s="27" t="s">
        <v>52</v>
      </c>
      <c r="AU64" s="27"/>
      <c r="AW64" s="27" t="s">
        <v>325</v>
      </c>
      <c r="AX64" s="27" t="s">
        <v>303</v>
      </c>
      <c r="AY64" s="27"/>
      <c r="AZ64" s="32"/>
      <c r="BA64" s="41"/>
    </row>
    <row r="65" spans="1:53" ht="16" thickBot="1" x14ac:dyDescent="0.25">
      <c r="A65" s="25">
        <v>49</v>
      </c>
      <c r="B65" s="26">
        <v>45530</v>
      </c>
      <c r="C65" s="27"/>
      <c r="D65" s="25"/>
      <c r="E65" s="28"/>
      <c r="F65" s="27"/>
      <c r="G65" s="28"/>
      <c r="H65" s="27"/>
      <c r="I65" s="28"/>
      <c r="J65" s="202">
        <v>45357</v>
      </c>
      <c r="K65" s="29" t="s">
        <v>35</v>
      </c>
      <c r="L65" s="39"/>
      <c r="M65" s="31"/>
      <c r="N65" s="27" t="s">
        <v>272</v>
      </c>
      <c r="P65" s="32"/>
      <c r="Q65" s="25"/>
      <c r="R65" s="27"/>
      <c r="S65" s="27"/>
      <c r="T65" s="28"/>
      <c r="U65" s="27"/>
      <c r="V65" s="27" t="s">
        <v>154</v>
      </c>
      <c r="W65" s="28"/>
      <c r="X65" s="33"/>
      <c r="Y65" s="32"/>
      <c r="Z65" s="25"/>
      <c r="AA65" s="27"/>
      <c r="AB65" s="28"/>
      <c r="AC65" s="27"/>
      <c r="AD65" s="27"/>
      <c r="AE65" s="33"/>
      <c r="AG65" s="25"/>
      <c r="AH65" s="34"/>
      <c r="AI65" s="27"/>
      <c r="AJ65" s="27"/>
      <c r="AK65" s="27"/>
      <c r="AL65" s="25"/>
      <c r="AM65" s="34"/>
      <c r="AN65" s="27"/>
      <c r="AO65" s="27"/>
      <c r="AP65" s="36"/>
      <c r="AQ65" s="37"/>
      <c r="AR65" s="32"/>
      <c r="AS65" s="25" t="s">
        <v>82</v>
      </c>
      <c r="AT65" s="27" t="s">
        <v>52</v>
      </c>
      <c r="AU65" s="27"/>
      <c r="AW65" s="27" t="s">
        <v>325</v>
      </c>
      <c r="AX65" s="27" t="s">
        <v>303</v>
      </c>
      <c r="AY65" s="27"/>
      <c r="AZ65" s="32"/>
      <c r="BA65" s="41"/>
    </row>
    <row r="66" spans="1:53" ht="16" thickBot="1" x14ac:dyDescent="0.25">
      <c r="A66" s="25">
        <v>50</v>
      </c>
      <c r="B66" s="26">
        <v>45531</v>
      </c>
      <c r="C66" s="27"/>
      <c r="D66" s="25"/>
      <c r="E66" s="28"/>
      <c r="F66" s="27"/>
      <c r="G66" s="28"/>
      <c r="H66" s="27"/>
      <c r="I66" s="28"/>
      <c r="J66" s="202">
        <v>45357</v>
      </c>
      <c r="K66" s="29" t="s">
        <v>35</v>
      </c>
      <c r="L66" s="44" t="s">
        <v>83</v>
      </c>
      <c r="M66" s="31"/>
      <c r="N66" s="27" t="s">
        <v>272</v>
      </c>
      <c r="O66" s="45" t="s">
        <v>349</v>
      </c>
      <c r="P66" s="46" t="s">
        <v>61</v>
      </c>
      <c r="Q66" s="25"/>
      <c r="R66" s="27"/>
      <c r="S66" s="27"/>
      <c r="T66" s="28"/>
      <c r="U66" s="27"/>
      <c r="V66" s="27" t="s">
        <v>154</v>
      </c>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58" t="s">
        <v>88</v>
      </c>
      <c r="AW66" s="27" t="s">
        <v>325</v>
      </c>
      <c r="AX66" s="27" t="s">
        <v>303</v>
      </c>
      <c r="AY66" s="27"/>
      <c r="AZ66" s="32"/>
      <c r="BA66" s="41"/>
    </row>
    <row r="67" spans="1:53" ht="16" thickBot="1" x14ac:dyDescent="0.25">
      <c r="A67" s="25">
        <v>51</v>
      </c>
      <c r="B67" s="26">
        <v>45532</v>
      </c>
      <c r="C67" s="27"/>
      <c r="D67" s="25"/>
      <c r="E67" s="28"/>
      <c r="F67" s="27"/>
      <c r="G67" s="28"/>
      <c r="H67" s="27"/>
      <c r="I67" s="28"/>
      <c r="J67" s="27">
        <v>8</v>
      </c>
      <c r="K67" s="29" t="s">
        <v>35</v>
      </c>
      <c r="L67" s="88" t="s">
        <v>348</v>
      </c>
      <c r="M67" s="31"/>
      <c r="N67" s="27"/>
      <c r="P67" s="46"/>
      <c r="Q67" s="27"/>
      <c r="R67" s="27"/>
      <c r="S67" s="27"/>
      <c r="T67" s="28"/>
      <c r="U67" s="27"/>
      <c r="V67" s="27" t="s">
        <v>154</v>
      </c>
      <c r="W67" s="28"/>
      <c r="X67" s="33"/>
      <c r="Y67" s="32"/>
      <c r="Z67" s="25"/>
      <c r="AA67" s="27"/>
      <c r="AB67" s="28"/>
      <c r="AC67" s="27"/>
      <c r="AD67" s="27"/>
      <c r="AE67" s="33"/>
      <c r="AG67" s="25"/>
      <c r="AH67" s="34"/>
      <c r="AI67" s="27"/>
      <c r="AJ67" s="27"/>
      <c r="AK67" s="27"/>
      <c r="AL67" s="25"/>
      <c r="AM67" s="34"/>
      <c r="AN67" s="27"/>
      <c r="AO67" s="27"/>
      <c r="AP67" s="36"/>
      <c r="AQ67" s="37"/>
      <c r="AR67" s="32"/>
      <c r="AS67" s="25" t="s">
        <v>86</v>
      </c>
      <c r="AT67" s="27" t="s">
        <v>87</v>
      </c>
      <c r="AU67" s="27"/>
      <c r="AW67" s="27" t="s">
        <v>325</v>
      </c>
      <c r="AX67" s="27" t="s">
        <v>303</v>
      </c>
      <c r="AY67" s="27"/>
      <c r="AZ67" s="32"/>
      <c r="BA67" s="41"/>
    </row>
    <row r="68" spans="1:53" ht="16" thickBot="1" x14ac:dyDescent="0.25">
      <c r="A68" s="25">
        <v>52</v>
      </c>
      <c r="B68" s="26">
        <v>45533</v>
      </c>
      <c r="C68" s="27"/>
      <c r="D68" s="25"/>
      <c r="E68" s="28"/>
      <c r="F68" s="27"/>
      <c r="G68" s="28"/>
      <c r="H68" s="27"/>
      <c r="I68" s="28"/>
      <c r="J68" s="27">
        <v>8</v>
      </c>
      <c r="K68" s="29" t="s">
        <v>35</v>
      </c>
      <c r="L68" s="39"/>
      <c r="M68" s="31"/>
      <c r="N68" s="27"/>
      <c r="P68" s="32"/>
      <c r="Q68" s="25"/>
      <c r="R68" s="27"/>
      <c r="S68" s="27"/>
      <c r="T68" s="28"/>
      <c r="U68" s="27"/>
      <c r="V68" s="27" t="s">
        <v>154</v>
      </c>
      <c r="W68" s="28"/>
      <c r="X68" s="33"/>
      <c r="Y68" s="32"/>
      <c r="Z68" s="25"/>
      <c r="AA68" s="27"/>
      <c r="AB68" s="28"/>
      <c r="AC68" s="27"/>
      <c r="AD68" s="27"/>
      <c r="AE68" s="33"/>
      <c r="AG68" s="25"/>
      <c r="AH68" s="34"/>
      <c r="AI68" s="27"/>
      <c r="AJ68" s="27"/>
      <c r="AK68" s="27"/>
      <c r="AL68" s="25"/>
      <c r="AM68" s="34"/>
      <c r="AN68" s="27"/>
      <c r="AO68" s="27"/>
      <c r="AP68" s="36"/>
      <c r="AQ68" s="37"/>
      <c r="AR68" s="32"/>
      <c r="AS68" s="25" t="s">
        <v>86</v>
      </c>
      <c r="AT68" s="27" t="s">
        <v>87</v>
      </c>
      <c r="AW68" s="27" t="s">
        <v>325</v>
      </c>
      <c r="AX68" s="27" t="s">
        <v>303</v>
      </c>
      <c r="AY68" s="27"/>
      <c r="AZ68" s="32"/>
      <c r="BA68" s="41"/>
    </row>
    <row r="69" spans="1:53" ht="16" thickBot="1" x14ac:dyDescent="0.25">
      <c r="A69" s="25">
        <v>53</v>
      </c>
      <c r="B69" s="26">
        <v>45534</v>
      </c>
      <c r="C69" s="27"/>
      <c r="D69" s="25"/>
      <c r="E69" s="28"/>
      <c r="F69" s="27"/>
      <c r="G69" s="28"/>
      <c r="H69" s="27"/>
      <c r="I69" s="28"/>
      <c r="J69" s="27">
        <v>8</v>
      </c>
      <c r="K69" s="29" t="s">
        <v>35</v>
      </c>
      <c r="L69" s="39"/>
      <c r="M69" s="31"/>
      <c r="N69" s="27"/>
      <c r="P69" s="32"/>
      <c r="Q69" s="25"/>
      <c r="R69" s="27"/>
      <c r="S69" s="27"/>
      <c r="T69" s="28"/>
      <c r="U69" s="27"/>
      <c r="V69" s="27" t="s">
        <v>154</v>
      </c>
      <c r="W69" s="28"/>
      <c r="X69" s="33"/>
      <c r="Y69" s="32"/>
      <c r="Z69" s="25"/>
      <c r="AA69" s="27"/>
      <c r="AB69" s="28"/>
      <c r="AC69" s="27"/>
      <c r="AD69" s="27"/>
      <c r="AE69" s="33"/>
      <c r="AG69" s="25"/>
      <c r="AH69" s="34"/>
      <c r="AI69" s="27"/>
      <c r="AJ69" s="27"/>
      <c r="AK69" s="27"/>
      <c r="AL69" s="25"/>
      <c r="AM69" s="34"/>
      <c r="AN69" s="27"/>
      <c r="AO69" s="27"/>
      <c r="AP69" s="36"/>
      <c r="AQ69" s="37"/>
      <c r="AR69" s="32"/>
      <c r="AS69" s="25" t="s">
        <v>86</v>
      </c>
      <c r="AT69" s="27" t="s">
        <v>87</v>
      </c>
      <c r="AU69" s="27"/>
      <c r="AW69" s="25" t="s">
        <v>341</v>
      </c>
      <c r="AX69" s="27" t="s">
        <v>91</v>
      </c>
      <c r="AY69" s="89" t="s">
        <v>92</v>
      </c>
      <c r="AZ69" s="32"/>
      <c r="BA69" s="41"/>
    </row>
    <row r="70" spans="1:53" ht="16" thickBot="1" x14ac:dyDescent="0.25">
      <c r="A70" s="25">
        <v>54</v>
      </c>
      <c r="B70" s="26">
        <v>45535</v>
      </c>
      <c r="C70" s="27"/>
      <c r="D70" s="25"/>
      <c r="E70" s="28"/>
      <c r="F70" s="27"/>
      <c r="G70" s="28"/>
      <c r="H70" s="27"/>
      <c r="I70" s="28"/>
      <c r="J70" s="27">
        <v>8</v>
      </c>
      <c r="K70" s="29" t="s">
        <v>35</v>
      </c>
      <c r="L70" s="39"/>
      <c r="M70" s="31"/>
      <c r="N70" s="27"/>
      <c r="P70" s="32"/>
      <c r="Q70" s="25"/>
      <c r="R70" s="27"/>
      <c r="S70" s="27"/>
      <c r="T70" s="28"/>
      <c r="U70" s="27"/>
      <c r="V70" s="27" t="s">
        <v>154</v>
      </c>
      <c r="W70" s="28"/>
      <c r="X70" s="33"/>
      <c r="Y70" s="32"/>
      <c r="Z70" s="25"/>
      <c r="AA70" s="27"/>
      <c r="AB70" s="28"/>
      <c r="AC70" s="27"/>
      <c r="AD70" s="27"/>
      <c r="AE70" s="33"/>
      <c r="AG70" s="25"/>
      <c r="AH70" s="34"/>
      <c r="AI70" s="27"/>
      <c r="AJ70" s="27"/>
      <c r="AK70" s="27"/>
      <c r="AL70" s="25"/>
      <c r="AM70" s="34"/>
      <c r="AN70" s="27"/>
      <c r="AO70" s="27"/>
      <c r="AP70" s="36"/>
      <c r="AQ70" s="37"/>
      <c r="AR70" s="32"/>
      <c r="AS70" s="25" t="s">
        <v>86</v>
      </c>
      <c r="AT70" s="27" t="s">
        <v>87</v>
      </c>
      <c r="AU70" s="27"/>
      <c r="AW70" s="25" t="s">
        <v>341</v>
      </c>
      <c r="AX70" s="27" t="s">
        <v>91</v>
      </c>
      <c r="AY70" s="27"/>
      <c r="AZ70" s="32"/>
      <c r="BA70" s="41"/>
    </row>
    <row r="71" spans="1:53" ht="16" thickBot="1" x14ac:dyDescent="0.25">
      <c r="A71" s="25">
        <v>55</v>
      </c>
      <c r="B71" s="26">
        <v>45536</v>
      </c>
      <c r="C71" s="27"/>
      <c r="D71" s="25"/>
      <c r="E71" s="28"/>
      <c r="F71" s="27"/>
      <c r="G71" s="28"/>
      <c r="H71" s="27"/>
      <c r="I71" s="28"/>
      <c r="J71" s="27">
        <v>8</v>
      </c>
      <c r="K71" s="29" t="s">
        <v>35</v>
      </c>
      <c r="L71" s="39"/>
      <c r="M71" s="31"/>
      <c r="N71" s="27"/>
      <c r="P71" s="32"/>
      <c r="Q71" s="25"/>
      <c r="R71" s="27"/>
      <c r="S71" s="27"/>
      <c r="T71" s="28"/>
      <c r="U71" s="27"/>
      <c r="V71" s="27" t="s">
        <v>154</v>
      </c>
      <c r="W71" s="28"/>
      <c r="X71" s="33"/>
      <c r="Y71" s="32"/>
      <c r="Z71" s="25"/>
      <c r="AA71" s="27"/>
      <c r="AB71" s="28"/>
      <c r="AC71" s="27"/>
      <c r="AD71" s="27"/>
      <c r="AE71" s="33"/>
      <c r="AG71" s="25"/>
      <c r="AH71" s="34"/>
      <c r="AI71" s="27"/>
      <c r="AJ71" s="27"/>
      <c r="AK71" s="27"/>
      <c r="AL71" s="25"/>
      <c r="AM71" s="34"/>
      <c r="AN71" s="27"/>
      <c r="AO71" s="27"/>
      <c r="AP71" s="36"/>
      <c r="AQ71" s="82"/>
      <c r="AR71" s="32"/>
      <c r="AS71" s="25" t="s">
        <v>86</v>
      </c>
      <c r="AT71" s="27" t="s">
        <v>87</v>
      </c>
      <c r="AW71" s="25" t="s">
        <v>341</v>
      </c>
      <c r="AX71" s="27" t="s">
        <v>91</v>
      </c>
      <c r="AY71" s="27"/>
      <c r="AZ71" s="32"/>
      <c r="BA71" s="41"/>
    </row>
    <row r="72" spans="1:53" x14ac:dyDescent="0.2">
      <c r="A72" s="25">
        <v>56</v>
      </c>
      <c r="B72" s="26">
        <v>45537</v>
      </c>
      <c r="C72" s="27"/>
      <c r="D72" s="25"/>
      <c r="E72" s="28"/>
      <c r="F72" s="27"/>
      <c r="G72" s="28"/>
      <c r="H72" s="27"/>
      <c r="I72" s="28"/>
      <c r="J72" s="27">
        <v>8</v>
      </c>
      <c r="K72" s="29" t="s">
        <v>35</v>
      </c>
      <c r="L72" s="39"/>
      <c r="M72" s="31"/>
      <c r="N72" s="27"/>
      <c r="P72" s="32"/>
      <c r="Q72" s="25"/>
      <c r="R72" s="27"/>
      <c r="S72" s="27"/>
      <c r="T72" s="28"/>
      <c r="U72" s="27"/>
      <c r="V72" s="27" t="s">
        <v>154</v>
      </c>
      <c r="W72" s="28"/>
      <c r="X72" s="33"/>
      <c r="Y72" s="32"/>
      <c r="Z72" s="25"/>
      <c r="AA72" s="27"/>
      <c r="AB72" s="28"/>
      <c r="AC72" s="27"/>
      <c r="AD72" s="27"/>
      <c r="AE72" s="33"/>
      <c r="AG72" s="25"/>
      <c r="AH72" s="34"/>
      <c r="AI72" s="27"/>
      <c r="AJ72" s="27"/>
      <c r="AK72" s="27"/>
      <c r="AL72" s="25"/>
      <c r="AM72" s="34"/>
      <c r="AN72" s="27"/>
      <c r="AO72" s="27"/>
      <c r="AP72" s="36"/>
      <c r="AQ72" s="37"/>
      <c r="AR72" s="32"/>
      <c r="AS72" s="25" t="s">
        <v>86</v>
      </c>
      <c r="AT72" s="27" t="s">
        <v>87</v>
      </c>
      <c r="AU72" s="27"/>
      <c r="AW72" s="25" t="s">
        <v>341</v>
      </c>
      <c r="AX72" s="27" t="s">
        <v>91</v>
      </c>
      <c r="AY72" s="27"/>
      <c r="AZ72" s="32"/>
      <c r="BA72" s="41"/>
    </row>
    <row r="73" spans="1:53" ht="16" thickBot="1" x14ac:dyDescent="0.25">
      <c r="A73" s="25">
        <v>57</v>
      </c>
      <c r="B73" s="26">
        <v>45538</v>
      </c>
      <c r="C73" s="27"/>
      <c r="D73" s="25"/>
      <c r="E73" s="28"/>
      <c r="F73" s="27"/>
      <c r="G73" s="28"/>
      <c r="H73" s="27"/>
      <c r="I73" s="28"/>
      <c r="J73" s="27">
        <v>8</v>
      </c>
      <c r="K73" s="29" t="s">
        <v>35</v>
      </c>
      <c r="L73" s="39"/>
      <c r="M73" s="31"/>
      <c r="N73" s="27"/>
      <c r="P73" s="32"/>
      <c r="Q73" s="25"/>
      <c r="R73" s="27"/>
      <c r="S73" s="27"/>
      <c r="T73" s="28"/>
      <c r="U73" s="27"/>
      <c r="V73" s="27" t="s">
        <v>154</v>
      </c>
      <c r="W73" s="28"/>
      <c r="X73" s="33"/>
      <c r="Y73" s="32"/>
      <c r="Z73" s="25"/>
      <c r="AA73" s="27"/>
      <c r="AB73" s="28"/>
      <c r="AC73" s="27"/>
      <c r="AD73" s="27"/>
      <c r="AE73" s="33"/>
      <c r="AG73" s="25"/>
      <c r="AH73" s="34"/>
      <c r="AI73" s="27"/>
      <c r="AJ73" s="27"/>
      <c r="AK73" s="27"/>
      <c r="AL73" s="25"/>
      <c r="AM73" s="34"/>
      <c r="AN73" s="27"/>
      <c r="AO73" s="27"/>
      <c r="AP73" s="36"/>
      <c r="AQ73" s="37"/>
      <c r="AR73" s="32"/>
      <c r="AS73" s="25" t="s">
        <v>86</v>
      </c>
      <c r="AT73" s="27" t="s">
        <v>87</v>
      </c>
      <c r="AU73" s="27"/>
      <c r="AW73" s="25" t="s">
        <v>341</v>
      </c>
      <c r="AX73" s="27" t="s">
        <v>91</v>
      </c>
      <c r="AY73" s="27"/>
      <c r="AZ73" s="32"/>
      <c r="BA73" s="41"/>
    </row>
    <row r="74" spans="1:53" ht="16" thickBot="1" x14ac:dyDescent="0.25">
      <c r="A74" s="25">
        <v>58</v>
      </c>
      <c r="B74" s="26">
        <v>45539</v>
      </c>
      <c r="C74" s="27"/>
      <c r="D74" s="25"/>
      <c r="E74" s="28"/>
      <c r="F74" s="27"/>
      <c r="G74" s="28"/>
      <c r="H74" s="27"/>
      <c r="I74" s="28"/>
      <c r="J74" s="27">
        <v>8</v>
      </c>
      <c r="K74" s="29" t="s">
        <v>35</v>
      </c>
      <c r="L74" s="39"/>
      <c r="M74" s="31"/>
      <c r="N74" s="27"/>
      <c r="P74" s="32"/>
      <c r="Q74" s="25"/>
      <c r="R74" s="27"/>
      <c r="S74" s="27"/>
      <c r="T74" s="28"/>
      <c r="U74" s="27"/>
      <c r="V74" s="27" t="s">
        <v>154</v>
      </c>
      <c r="W74" s="28"/>
      <c r="X74" s="33"/>
      <c r="Y74" s="32"/>
      <c r="Z74" s="25"/>
      <c r="AA74" s="27"/>
      <c r="AB74" s="28"/>
      <c r="AC74" s="27"/>
      <c r="AD74" s="27"/>
      <c r="AE74" s="33"/>
      <c r="AG74" s="25"/>
      <c r="AH74" s="34"/>
      <c r="AI74" s="27"/>
      <c r="AJ74" s="27"/>
      <c r="AK74" s="27"/>
      <c r="AL74" s="25"/>
      <c r="AM74" s="34"/>
      <c r="AN74" s="27"/>
      <c r="AO74" s="27"/>
      <c r="AP74" s="36"/>
      <c r="AQ74" s="37"/>
      <c r="AR74" s="32"/>
      <c r="AS74" s="25" t="s">
        <v>86</v>
      </c>
      <c r="AT74" s="27" t="s">
        <v>87</v>
      </c>
      <c r="AU74" s="27"/>
      <c r="AW74" s="25" t="s">
        <v>90</v>
      </c>
      <c r="AX74" s="27" t="s">
        <v>91</v>
      </c>
      <c r="AY74" s="89" t="s">
        <v>94</v>
      </c>
      <c r="AZ74" s="32"/>
      <c r="BA74" s="41"/>
    </row>
    <row r="75" spans="1:53" ht="16" thickBot="1" x14ac:dyDescent="0.25">
      <c r="A75" s="25">
        <v>59</v>
      </c>
      <c r="B75" s="26">
        <v>45540</v>
      </c>
      <c r="C75" s="27"/>
      <c r="D75" s="25"/>
      <c r="E75" s="28"/>
      <c r="F75" s="27"/>
      <c r="G75" s="28"/>
      <c r="H75" s="27"/>
      <c r="I75" s="28"/>
      <c r="J75" s="27">
        <v>8</v>
      </c>
      <c r="K75" s="29" t="s">
        <v>35</v>
      </c>
      <c r="L75" s="39"/>
      <c r="M75" s="31"/>
      <c r="N75" s="27"/>
      <c r="P75" s="32"/>
      <c r="Q75" s="25"/>
      <c r="R75" s="27"/>
      <c r="S75" s="27"/>
      <c r="T75" s="28"/>
      <c r="U75" s="27"/>
      <c r="V75" s="27" t="s">
        <v>154</v>
      </c>
      <c r="W75" s="28"/>
      <c r="X75" s="33"/>
      <c r="Y75" s="32"/>
      <c r="Z75" s="25"/>
      <c r="AA75" s="27"/>
      <c r="AB75" s="28"/>
      <c r="AC75" s="27"/>
      <c r="AD75" s="27"/>
      <c r="AE75" s="33"/>
      <c r="AG75" s="25"/>
      <c r="AH75" s="34"/>
      <c r="AI75" s="27"/>
      <c r="AJ75" s="27"/>
      <c r="AK75" s="27"/>
      <c r="AL75" s="25"/>
      <c r="AM75" s="34"/>
      <c r="AN75" s="27"/>
      <c r="AO75" s="27"/>
      <c r="AP75" s="36"/>
      <c r="AQ75" s="37"/>
      <c r="AR75" s="32"/>
      <c r="AS75" s="25" t="s">
        <v>86</v>
      </c>
      <c r="AT75" s="27" t="s">
        <v>87</v>
      </c>
      <c r="AU75" s="27"/>
      <c r="AW75" s="25" t="s">
        <v>90</v>
      </c>
      <c r="AX75" s="27" t="s">
        <v>95</v>
      </c>
      <c r="AY75" s="27"/>
      <c r="AZ75" s="32"/>
      <c r="BA75" s="41"/>
    </row>
    <row r="76" spans="1:53" ht="16" thickBot="1" x14ac:dyDescent="0.25">
      <c r="A76" s="25">
        <v>60</v>
      </c>
      <c r="B76" s="26">
        <v>45541</v>
      </c>
      <c r="C76" s="27"/>
      <c r="D76" s="25"/>
      <c r="E76" s="28"/>
      <c r="F76" s="27"/>
      <c r="G76" s="28"/>
      <c r="H76" s="27"/>
      <c r="I76" s="28"/>
      <c r="J76" s="27">
        <v>8</v>
      </c>
      <c r="K76" s="29" t="s">
        <v>35</v>
      </c>
      <c r="L76" s="39"/>
      <c r="M76" s="31"/>
      <c r="N76" s="27"/>
      <c r="P76" s="32"/>
      <c r="Q76" s="25"/>
      <c r="R76" s="27"/>
      <c r="S76" s="27"/>
      <c r="T76" s="28"/>
      <c r="U76" s="27"/>
      <c r="V76" s="27" t="s">
        <v>154</v>
      </c>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58" t="s">
        <v>97</v>
      </c>
      <c r="AW76" s="25" t="s">
        <v>90</v>
      </c>
      <c r="AX76" s="27" t="s">
        <v>95</v>
      </c>
      <c r="AY76" s="27"/>
      <c r="AZ76" s="32"/>
      <c r="BA76" s="41"/>
    </row>
    <row r="77" spans="1:53" x14ac:dyDescent="0.2">
      <c r="A77" s="25">
        <v>61</v>
      </c>
      <c r="B77" s="26">
        <v>45542</v>
      </c>
      <c r="C77" s="27"/>
      <c r="D77" s="25"/>
      <c r="E77" s="28"/>
      <c r="F77" s="27"/>
      <c r="G77" s="28"/>
      <c r="H77" s="27"/>
      <c r="I77" s="28"/>
      <c r="J77" s="27">
        <v>8</v>
      </c>
      <c r="K77" s="29" t="s">
        <v>35</v>
      </c>
      <c r="L77" s="39"/>
      <c r="M77" s="31"/>
      <c r="N77" s="27"/>
      <c r="P77" s="32"/>
      <c r="Q77" s="25"/>
      <c r="R77" s="27"/>
      <c r="S77" s="27"/>
      <c r="T77" s="28"/>
      <c r="U77" s="27"/>
      <c r="V77" s="27" t="s">
        <v>154</v>
      </c>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62</v>
      </c>
      <c r="B78" s="26">
        <v>45543</v>
      </c>
      <c r="C78" s="27"/>
      <c r="D78" s="25"/>
      <c r="E78" s="28"/>
      <c r="F78" s="27"/>
      <c r="G78" s="28"/>
      <c r="H78" s="27"/>
      <c r="I78" s="28"/>
      <c r="J78" s="27">
        <v>8</v>
      </c>
      <c r="K78" s="29" t="s">
        <v>35</v>
      </c>
      <c r="L78" s="39"/>
      <c r="M78" s="31"/>
      <c r="N78" s="27"/>
      <c r="P78" s="32"/>
      <c r="Q78" s="25"/>
      <c r="R78" s="27"/>
      <c r="S78" s="27"/>
      <c r="T78" s="28"/>
      <c r="U78" s="27"/>
      <c r="V78" s="27" t="s">
        <v>154</v>
      </c>
      <c r="W78" s="28"/>
      <c r="X78" s="33"/>
      <c r="Y78" s="32"/>
      <c r="Z78" s="25"/>
      <c r="AA78" s="27"/>
      <c r="AB78" s="28"/>
      <c r="AC78" s="27"/>
      <c r="AD78" s="27"/>
      <c r="AE78" s="33"/>
      <c r="AG78" s="25"/>
      <c r="AH78" s="34"/>
      <c r="AI78" s="27"/>
      <c r="AJ78" s="27"/>
      <c r="AK78" s="27"/>
      <c r="AL78" s="25"/>
      <c r="AM78" s="34"/>
      <c r="AN78" s="27"/>
      <c r="AO78" s="27"/>
      <c r="AP78" s="36"/>
      <c r="AQ78" s="37"/>
      <c r="AR78" s="32"/>
      <c r="AS78" s="25" t="s">
        <v>96</v>
      </c>
      <c r="AT78" s="27" t="s">
        <v>87</v>
      </c>
      <c r="AU78" s="27"/>
      <c r="AW78" s="25" t="s">
        <v>90</v>
      </c>
      <c r="AX78" s="27" t="s">
        <v>95</v>
      </c>
      <c r="AY78" s="27"/>
      <c r="AZ78" s="32"/>
      <c r="BA78" s="41"/>
    </row>
    <row r="79" spans="1:53" x14ac:dyDescent="0.2">
      <c r="A79" s="25">
        <v>63</v>
      </c>
      <c r="B79" s="26">
        <v>45544</v>
      </c>
      <c r="C79" s="27"/>
      <c r="D79" s="25"/>
      <c r="E79" s="28"/>
      <c r="F79" s="27"/>
      <c r="G79" s="28"/>
      <c r="H79" s="27"/>
      <c r="I79" s="28"/>
      <c r="J79" s="27">
        <v>8</v>
      </c>
      <c r="K79" s="29" t="s">
        <v>35</v>
      </c>
      <c r="L79" s="39"/>
      <c r="M79" s="31"/>
      <c r="N79" s="27"/>
      <c r="P79" s="32"/>
      <c r="Q79" s="25"/>
      <c r="R79" s="27"/>
      <c r="S79" s="27"/>
      <c r="T79" s="28"/>
      <c r="U79" s="27"/>
      <c r="V79" s="27" t="s">
        <v>154</v>
      </c>
      <c r="W79" s="28"/>
      <c r="X79" s="33"/>
      <c r="Y79" s="32"/>
      <c r="Z79" s="25"/>
      <c r="AA79" s="27"/>
      <c r="AB79" s="28"/>
      <c r="AC79" s="27"/>
      <c r="AD79" s="27"/>
      <c r="AE79" s="33"/>
      <c r="AG79" s="25"/>
      <c r="AH79" s="34"/>
      <c r="AI79" s="27"/>
      <c r="AJ79" s="27"/>
      <c r="AK79" s="27"/>
      <c r="AL79" s="25"/>
      <c r="AM79" s="34"/>
      <c r="AN79" s="27"/>
      <c r="AO79" s="27"/>
      <c r="AP79" s="36"/>
      <c r="AQ79" s="37"/>
      <c r="AR79" s="32"/>
      <c r="AS79" s="25" t="s">
        <v>96</v>
      </c>
      <c r="AT79" s="27" t="s">
        <v>87</v>
      </c>
      <c r="AU79" s="27"/>
      <c r="AW79" s="25" t="s">
        <v>90</v>
      </c>
      <c r="AX79" s="27" t="s">
        <v>95</v>
      </c>
      <c r="AY79" s="27"/>
      <c r="AZ79" s="32"/>
      <c r="BA79" s="41"/>
    </row>
    <row r="80" spans="1:53" x14ac:dyDescent="0.2">
      <c r="A80" s="25">
        <v>64</v>
      </c>
      <c r="B80" s="26">
        <v>45545</v>
      </c>
      <c r="C80" s="27"/>
      <c r="D80" s="25"/>
      <c r="E80" s="28"/>
      <c r="F80" s="27"/>
      <c r="G80" s="28"/>
      <c r="H80" s="27"/>
      <c r="I80" s="28"/>
      <c r="J80" s="27">
        <v>8</v>
      </c>
      <c r="K80" s="29" t="s">
        <v>35</v>
      </c>
      <c r="L80" s="39"/>
      <c r="M80" s="31"/>
      <c r="N80" s="27"/>
      <c r="P80" s="32"/>
      <c r="Q80" s="25"/>
      <c r="R80" s="27"/>
      <c r="S80" s="27"/>
      <c r="T80" s="28"/>
      <c r="U80" s="27"/>
      <c r="V80" s="27" t="s">
        <v>154</v>
      </c>
      <c r="W80" s="28"/>
      <c r="X80" s="33"/>
      <c r="Y80" s="32"/>
      <c r="Z80" s="25"/>
      <c r="AA80" s="27"/>
      <c r="AB80" s="28"/>
      <c r="AC80" s="27"/>
      <c r="AD80" s="27"/>
      <c r="AE80" s="33"/>
      <c r="AG80" s="25"/>
      <c r="AH80" s="34"/>
      <c r="AI80" s="27"/>
      <c r="AJ80" s="27"/>
      <c r="AK80" s="27"/>
      <c r="AL80" s="25"/>
      <c r="AM80" s="34"/>
      <c r="AN80" s="27"/>
      <c r="AO80" s="27"/>
      <c r="AP80" s="36"/>
      <c r="AQ80" s="37"/>
      <c r="AR80" s="32"/>
      <c r="AS80" s="25" t="s">
        <v>96</v>
      </c>
      <c r="AT80" s="27" t="s">
        <v>87</v>
      </c>
      <c r="AU80" s="27"/>
      <c r="AW80" s="25" t="s">
        <v>90</v>
      </c>
      <c r="AX80" s="27" t="s">
        <v>95</v>
      </c>
      <c r="AY80" s="27"/>
      <c r="AZ80" s="32"/>
      <c r="BA80" s="41"/>
    </row>
    <row r="81" spans="1:53" x14ac:dyDescent="0.2">
      <c r="A81" s="25">
        <v>65</v>
      </c>
      <c r="B81" s="26">
        <v>45546</v>
      </c>
      <c r="C81" s="27"/>
      <c r="D81" s="25"/>
      <c r="E81" s="28"/>
      <c r="F81" s="27"/>
      <c r="G81" s="28"/>
      <c r="H81" s="27"/>
      <c r="I81" s="28"/>
      <c r="J81" s="27">
        <v>8</v>
      </c>
      <c r="K81" s="29" t="s">
        <v>35</v>
      </c>
      <c r="L81" s="39"/>
      <c r="M81" s="31"/>
      <c r="N81" s="27"/>
      <c r="P81" s="32"/>
      <c r="Q81" s="25"/>
      <c r="R81" s="27"/>
      <c r="S81" s="27"/>
      <c r="T81" s="28"/>
      <c r="U81" s="27"/>
      <c r="V81" s="27" t="s">
        <v>154</v>
      </c>
      <c r="W81" s="28"/>
      <c r="X81" s="33"/>
      <c r="Y81" s="32"/>
      <c r="Z81" s="25"/>
      <c r="AA81" s="27"/>
      <c r="AB81" s="28"/>
      <c r="AC81" s="27"/>
      <c r="AD81" s="27"/>
      <c r="AE81" s="33"/>
      <c r="AG81" s="25"/>
      <c r="AH81" s="34"/>
      <c r="AI81" s="27"/>
      <c r="AJ81" s="27"/>
      <c r="AK81" s="27"/>
      <c r="AL81" s="25"/>
      <c r="AM81" s="34"/>
      <c r="AN81" s="27"/>
      <c r="AO81" s="27"/>
      <c r="AP81" s="36"/>
      <c r="AQ81" s="37"/>
      <c r="AR81" s="32"/>
      <c r="AS81" s="25" t="s">
        <v>96</v>
      </c>
      <c r="AT81" s="27" t="s">
        <v>87</v>
      </c>
      <c r="AU81" s="27"/>
      <c r="AW81" s="25" t="s">
        <v>90</v>
      </c>
      <c r="AX81" s="27" t="s">
        <v>95</v>
      </c>
      <c r="AY81" s="27"/>
      <c r="AZ81" s="32"/>
      <c r="BA81" s="41"/>
    </row>
    <row r="82" spans="1:53" x14ac:dyDescent="0.2">
      <c r="A82" s="25">
        <v>66</v>
      </c>
      <c r="B82" s="26">
        <v>45547</v>
      </c>
      <c r="C82" s="27"/>
      <c r="D82" s="25"/>
      <c r="E82" s="28"/>
      <c r="F82" s="27"/>
      <c r="G82" s="28"/>
      <c r="H82" s="27"/>
      <c r="I82" s="28"/>
      <c r="J82" s="27">
        <v>8</v>
      </c>
      <c r="K82" s="29" t="s">
        <v>35</v>
      </c>
      <c r="L82" s="39"/>
      <c r="M82" s="31"/>
      <c r="N82" s="27"/>
      <c r="P82" s="32"/>
      <c r="Q82" s="25"/>
      <c r="R82" s="27"/>
      <c r="S82" s="27"/>
      <c r="T82" s="28"/>
      <c r="U82" s="27"/>
      <c r="V82" s="27" t="s">
        <v>154</v>
      </c>
      <c r="W82" s="28"/>
      <c r="X82" s="33"/>
      <c r="Y82" s="32"/>
      <c r="Z82" s="25"/>
      <c r="AA82" s="27"/>
      <c r="AB82" s="28"/>
      <c r="AC82" s="27"/>
      <c r="AD82" s="27"/>
      <c r="AE82" s="33"/>
      <c r="AG82" s="25"/>
      <c r="AH82" s="34"/>
      <c r="AI82" s="27"/>
      <c r="AJ82" s="27"/>
      <c r="AK82" s="27"/>
      <c r="AL82" s="25"/>
      <c r="AM82" s="34"/>
      <c r="AN82" s="27"/>
      <c r="AO82" s="27"/>
      <c r="AP82" s="36"/>
      <c r="AQ82" s="37"/>
      <c r="AR82" s="32"/>
      <c r="AS82" s="25" t="s">
        <v>96</v>
      </c>
      <c r="AT82" s="27" t="s">
        <v>87</v>
      </c>
      <c r="AU82" s="27"/>
      <c r="AW82" s="25" t="s">
        <v>90</v>
      </c>
      <c r="AX82" s="27" t="s">
        <v>95</v>
      </c>
      <c r="AY82" s="27"/>
      <c r="AZ82" s="32"/>
      <c r="BA82" s="41"/>
    </row>
    <row r="83" spans="1:53" x14ac:dyDescent="0.2">
      <c r="A83" s="25">
        <v>67</v>
      </c>
      <c r="B83" s="26">
        <v>45548</v>
      </c>
      <c r="C83" s="27"/>
      <c r="D83" s="25"/>
      <c r="E83" s="28"/>
      <c r="F83" s="27"/>
      <c r="G83" s="28"/>
      <c r="H83" s="27"/>
      <c r="I83" s="28"/>
      <c r="J83" s="27">
        <v>8</v>
      </c>
      <c r="K83" s="29" t="s">
        <v>35</v>
      </c>
      <c r="L83" s="39"/>
      <c r="M83" s="31"/>
      <c r="N83" s="27"/>
      <c r="P83" s="32"/>
      <c r="Q83" s="25"/>
      <c r="R83" s="27"/>
      <c r="S83" s="27"/>
      <c r="T83" s="28"/>
      <c r="U83" s="27"/>
      <c r="V83" s="27" t="s">
        <v>154</v>
      </c>
      <c r="W83" s="28"/>
      <c r="X83" s="33"/>
      <c r="Y83" s="32"/>
      <c r="Z83" s="25"/>
      <c r="AA83" s="27"/>
      <c r="AB83" s="28"/>
      <c r="AC83" s="27"/>
      <c r="AD83" s="27"/>
      <c r="AE83" s="33"/>
      <c r="AG83" s="25"/>
      <c r="AH83" s="34"/>
      <c r="AI83" s="27"/>
      <c r="AJ83" s="27"/>
      <c r="AK83" s="27"/>
      <c r="AL83" s="25"/>
      <c r="AM83" s="34"/>
      <c r="AN83" s="27"/>
      <c r="AO83" s="27"/>
      <c r="AP83" s="36"/>
      <c r="AQ83" s="37"/>
      <c r="AR83" s="32"/>
      <c r="AS83" s="25" t="s">
        <v>96</v>
      </c>
      <c r="AT83" s="27" t="s">
        <v>87</v>
      </c>
      <c r="AU83" s="27"/>
      <c r="AW83" s="25" t="s">
        <v>90</v>
      </c>
      <c r="AX83" s="27" t="s">
        <v>95</v>
      </c>
      <c r="AY83" s="27"/>
      <c r="AZ83" s="32"/>
      <c r="BA83" s="41"/>
    </row>
    <row r="84" spans="1:53" x14ac:dyDescent="0.2">
      <c r="A84" s="25">
        <v>68</v>
      </c>
      <c r="B84" s="26">
        <v>45549</v>
      </c>
      <c r="C84" s="27"/>
      <c r="D84" s="25"/>
      <c r="E84" s="28"/>
      <c r="F84" s="27"/>
      <c r="G84" s="28"/>
      <c r="H84" s="27"/>
      <c r="I84" s="28"/>
      <c r="J84" s="27">
        <v>8</v>
      </c>
      <c r="K84" s="29" t="s">
        <v>35</v>
      </c>
      <c r="L84" s="39"/>
      <c r="M84" s="31"/>
      <c r="N84" s="27"/>
      <c r="P84" s="32"/>
      <c r="Q84" s="25"/>
      <c r="R84" s="27"/>
      <c r="S84" s="27"/>
      <c r="T84" s="28"/>
      <c r="U84" s="27"/>
      <c r="V84" s="27"/>
      <c r="W84" s="28"/>
      <c r="X84" s="33"/>
      <c r="Y84" s="32"/>
      <c r="Z84" s="25"/>
      <c r="AA84" s="27"/>
      <c r="AB84" s="28"/>
      <c r="AC84" s="27"/>
      <c r="AD84" s="27"/>
      <c r="AE84" s="33"/>
      <c r="AG84" s="25"/>
      <c r="AH84" s="34"/>
      <c r="AI84" s="27"/>
      <c r="AJ84" s="27"/>
      <c r="AK84" s="27"/>
      <c r="AL84" s="25"/>
      <c r="AM84" s="34"/>
      <c r="AN84" s="27"/>
      <c r="AO84" s="27"/>
      <c r="AP84" s="36"/>
      <c r="AQ84" s="37"/>
      <c r="AR84" s="32"/>
      <c r="AS84" s="25" t="s">
        <v>96</v>
      </c>
      <c r="AT84" s="27" t="s">
        <v>87</v>
      </c>
      <c r="AU84" s="27"/>
      <c r="AW84" s="25" t="s">
        <v>90</v>
      </c>
      <c r="AX84" s="27" t="s">
        <v>95</v>
      </c>
      <c r="AY84" s="27"/>
      <c r="AZ84" s="32"/>
      <c r="BA84" s="41"/>
    </row>
    <row r="85" spans="1:53" x14ac:dyDescent="0.2">
      <c r="A85" s="25">
        <v>69</v>
      </c>
      <c r="B85" s="26">
        <v>45550</v>
      </c>
      <c r="C85" s="27"/>
      <c r="D85" s="25"/>
      <c r="E85" s="28"/>
      <c r="F85" s="27"/>
      <c r="G85" s="28"/>
      <c r="H85" s="27"/>
      <c r="I85" s="28"/>
      <c r="J85" s="27">
        <v>8</v>
      </c>
      <c r="K85" s="29" t="s">
        <v>35</v>
      </c>
      <c r="L85" s="39"/>
      <c r="M85" s="31"/>
      <c r="N85" s="27"/>
      <c r="P85" s="32"/>
      <c r="Q85" s="25"/>
      <c r="R85" s="27"/>
      <c r="S85" s="27"/>
      <c r="T85" s="28"/>
      <c r="U85" s="27"/>
      <c r="V85" s="27"/>
      <c r="W85" s="28"/>
      <c r="X85" s="33"/>
      <c r="Y85" s="32"/>
      <c r="Z85" s="25"/>
      <c r="AA85" s="27"/>
      <c r="AB85" s="28"/>
      <c r="AC85" s="27"/>
      <c r="AD85" s="27"/>
      <c r="AE85" s="33"/>
      <c r="AG85" s="25"/>
      <c r="AH85" s="34"/>
      <c r="AI85" s="27"/>
      <c r="AJ85" s="27"/>
      <c r="AK85" s="27"/>
      <c r="AL85" s="25"/>
      <c r="AM85" s="34"/>
      <c r="AN85" s="27"/>
      <c r="AO85" s="27"/>
      <c r="AP85" s="36"/>
      <c r="AQ85" s="37"/>
      <c r="AR85" s="32"/>
      <c r="AS85" s="25" t="s">
        <v>96</v>
      </c>
      <c r="AT85" s="27" t="s">
        <v>87</v>
      </c>
      <c r="AU85" s="27"/>
      <c r="AW85" s="25" t="s">
        <v>90</v>
      </c>
      <c r="AX85" s="27" t="s">
        <v>95</v>
      </c>
      <c r="AY85" s="27"/>
      <c r="AZ85" s="32"/>
      <c r="BA85" s="41"/>
    </row>
    <row r="86" spans="1:53" x14ac:dyDescent="0.2">
      <c r="A86" s="25">
        <v>70</v>
      </c>
      <c r="B86" s="26">
        <v>45551</v>
      </c>
      <c r="C86" s="27"/>
      <c r="D86" s="25"/>
      <c r="E86" s="28"/>
      <c r="F86" s="27"/>
      <c r="G86" s="28"/>
      <c r="H86" s="27"/>
      <c r="I86" s="28"/>
      <c r="J86" s="27">
        <v>8</v>
      </c>
      <c r="K86" s="29" t="s">
        <v>35</v>
      </c>
      <c r="L86" s="39"/>
      <c r="M86" s="31"/>
      <c r="N86" s="27"/>
      <c r="P86" s="32"/>
      <c r="Q86" s="25"/>
      <c r="R86" s="27"/>
      <c r="S86" s="27"/>
      <c r="T86" s="28"/>
      <c r="U86" s="27"/>
      <c r="V86" s="27"/>
      <c r="W86" s="28"/>
      <c r="X86" s="33"/>
      <c r="Y86" s="32"/>
      <c r="Z86" s="25"/>
      <c r="AA86" s="27"/>
      <c r="AB86" s="28"/>
      <c r="AC86" s="27"/>
      <c r="AD86" s="27"/>
      <c r="AE86" s="33"/>
      <c r="AG86" s="25"/>
      <c r="AH86" s="34"/>
      <c r="AI86" s="27"/>
      <c r="AJ86" s="27"/>
      <c r="AK86" s="27"/>
      <c r="AL86" s="25"/>
      <c r="AM86" s="34"/>
      <c r="AN86" s="27"/>
      <c r="AO86" s="27"/>
      <c r="AP86" s="36"/>
      <c r="AQ86" s="37"/>
      <c r="AR86" s="32"/>
      <c r="AS86" s="25" t="s">
        <v>96</v>
      </c>
      <c r="AT86" s="27" t="s">
        <v>87</v>
      </c>
      <c r="AU86" s="27"/>
      <c r="AW86" s="25" t="s">
        <v>90</v>
      </c>
      <c r="AX86" s="27" t="s">
        <v>95</v>
      </c>
      <c r="AY86" s="27"/>
      <c r="AZ86" s="32"/>
      <c r="BA86" s="41"/>
    </row>
    <row r="87" spans="1:53" x14ac:dyDescent="0.2">
      <c r="A87" s="25">
        <v>71</v>
      </c>
      <c r="B87" s="26">
        <v>45552</v>
      </c>
      <c r="C87" s="27"/>
      <c r="D87" s="25"/>
      <c r="E87" s="28"/>
      <c r="F87" s="27"/>
      <c r="G87" s="28"/>
      <c r="H87" s="27"/>
      <c r="I87" s="28"/>
      <c r="J87" s="27">
        <v>8</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S87" s="25" t="s">
        <v>96</v>
      </c>
      <c r="AT87" s="27" t="s">
        <v>87</v>
      </c>
      <c r="AU87" s="27"/>
      <c r="AW87" s="25" t="s">
        <v>90</v>
      </c>
      <c r="AX87" s="27" t="s">
        <v>95</v>
      </c>
      <c r="AY87" s="27"/>
      <c r="AZ87" s="32"/>
      <c r="BA87" s="41"/>
    </row>
    <row r="88" spans="1:53" x14ac:dyDescent="0.2">
      <c r="A88" s="25">
        <v>72</v>
      </c>
      <c r="B88" s="26">
        <v>45553</v>
      </c>
      <c r="C88" s="27"/>
      <c r="D88" s="25"/>
      <c r="E88" s="28"/>
      <c r="F88" s="27"/>
      <c r="G88" s="28"/>
      <c r="H88" s="27"/>
      <c r="I88" s="28"/>
      <c r="J88" s="27">
        <v>8</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S88" s="25" t="s">
        <v>96</v>
      </c>
      <c r="AT88" s="27" t="s">
        <v>87</v>
      </c>
      <c r="AU88" s="27"/>
      <c r="AW88" s="25" t="s">
        <v>90</v>
      </c>
      <c r="AX88" s="27" t="s">
        <v>95</v>
      </c>
      <c r="AY88" s="27"/>
      <c r="AZ88" s="32"/>
      <c r="BA88" s="41"/>
    </row>
    <row r="89" spans="1:53" x14ac:dyDescent="0.2">
      <c r="A89" s="25">
        <v>73</v>
      </c>
      <c r="B89" s="26">
        <v>45554</v>
      </c>
      <c r="C89" s="27"/>
      <c r="D89" s="25"/>
      <c r="E89" s="28"/>
      <c r="F89" s="27"/>
      <c r="G89" s="28"/>
      <c r="H89" s="27"/>
      <c r="I89" s="28"/>
      <c r="J89" s="27">
        <v>8</v>
      </c>
      <c r="K89" s="29" t="s">
        <v>35</v>
      </c>
      <c r="L89" s="173"/>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S89" s="25" t="s">
        <v>96</v>
      </c>
      <c r="AT89" s="27" t="s">
        <v>87</v>
      </c>
      <c r="AU89" s="27"/>
      <c r="AW89" s="25" t="s">
        <v>90</v>
      </c>
      <c r="AX89" s="27" t="s">
        <v>95</v>
      </c>
      <c r="AY89" s="27"/>
      <c r="AZ89" s="32"/>
      <c r="BA89" s="41"/>
    </row>
    <row r="90" spans="1:53" x14ac:dyDescent="0.2">
      <c r="A90" s="25">
        <v>74</v>
      </c>
      <c r="B90" s="26">
        <v>45555</v>
      </c>
      <c r="C90" s="27"/>
      <c r="D90" s="25"/>
      <c r="E90" s="28"/>
      <c r="F90" s="27"/>
      <c r="G90" s="28"/>
      <c r="H90" s="27"/>
      <c r="I90" s="28"/>
      <c r="J90" s="27">
        <v>8</v>
      </c>
      <c r="K90" s="29" t="s">
        <v>35</v>
      </c>
      <c r="L90" s="173"/>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S90" s="25" t="s">
        <v>96</v>
      </c>
      <c r="AT90" s="27" t="s">
        <v>87</v>
      </c>
      <c r="AU90" s="27"/>
      <c r="AW90" s="25" t="s">
        <v>90</v>
      </c>
      <c r="AX90" s="27" t="s">
        <v>95</v>
      </c>
      <c r="AY90" s="27"/>
      <c r="AZ90" s="32"/>
      <c r="BA90" s="41"/>
    </row>
    <row r="91" spans="1:53" x14ac:dyDescent="0.2">
      <c r="A91" s="25">
        <v>75</v>
      </c>
      <c r="B91" s="26">
        <v>45556</v>
      </c>
      <c r="C91" s="27"/>
      <c r="D91" s="25"/>
      <c r="E91" s="28"/>
      <c r="F91" s="27"/>
      <c r="G91" s="28"/>
      <c r="H91" s="27"/>
      <c r="I91" s="28"/>
      <c r="J91" s="27">
        <v>8</v>
      </c>
      <c r="K91" s="29" t="s">
        <v>35</v>
      </c>
      <c r="L91" s="173"/>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t="s">
        <v>96</v>
      </c>
      <c r="AT91" s="27" t="s">
        <v>87</v>
      </c>
      <c r="AU91" s="27"/>
      <c r="AW91" s="25" t="s">
        <v>90</v>
      </c>
      <c r="AX91" s="27" t="s">
        <v>95</v>
      </c>
      <c r="AY91" s="27"/>
      <c r="AZ91" s="32"/>
      <c r="BA91" s="41"/>
    </row>
    <row r="92" spans="1:53" x14ac:dyDescent="0.2">
      <c r="A92" s="25">
        <v>76</v>
      </c>
      <c r="B92" s="26">
        <v>45557</v>
      </c>
      <c r="C92" s="27"/>
      <c r="D92" s="25"/>
      <c r="E92" s="28"/>
      <c r="F92" s="27"/>
      <c r="G92" s="28"/>
      <c r="H92" s="27"/>
      <c r="I92" s="28"/>
      <c r="J92" s="27">
        <v>8</v>
      </c>
      <c r="K92" s="29" t="s">
        <v>35</v>
      </c>
      <c r="L92" s="173"/>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t="s">
        <v>96</v>
      </c>
      <c r="AT92" s="27" t="s">
        <v>87</v>
      </c>
      <c r="AU92" s="27"/>
      <c r="AW92" s="25" t="s">
        <v>90</v>
      </c>
      <c r="AX92" s="27" t="s">
        <v>95</v>
      </c>
      <c r="AY92" s="27"/>
      <c r="AZ92" s="32"/>
      <c r="BA92" s="41"/>
    </row>
    <row r="93" spans="1:53" x14ac:dyDescent="0.2">
      <c r="A93" s="25">
        <v>77</v>
      </c>
      <c r="B93" s="26">
        <v>45558</v>
      </c>
      <c r="C93" s="27"/>
      <c r="D93" s="25"/>
      <c r="E93" s="28"/>
      <c r="F93" s="27"/>
      <c r="G93" s="28"/>
      <c r="H93" s="27"/>
      <c r="I93" s="28"/>
      <c r="J93" s="27">
        <v>8</v>
      </c>
      <c r="K93" s="29" t="s">
        <v>35</v>
      </c>
      <c r="L93" s="173"/>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t="s">
        <v>96</v>
      </c>
      <c r="AT93" s="27" t="s">
        <v>87</v>
      </c>
      <c r="AU93" s="27"/>
      <c r="AW93" s="25" t="s">
        <v>90</v>
      </c>
      <c r="AX93" s="27" t="s">
        <v>95</v>
      </c>
      <c r="AY93" s="27"/>
      <c r="AZ93" s="32"/>
      <c r="BA93" s="41"/>
    </row>
    <row r="94" spans="1:53" x14ac:dyDescent="0.2">
      <c r="A94" s="25">
        <v>78</v>
      </c>
      <c r="B94" s="26">
        <v>45559</v>
      </c>
      <c r="C94" s="27"/>
      <c r="D94" s="25"/>
      <c r="E94" s="28"/>
      <c r="F94" s="27"/>
      <c r="G94" s="28"/>
      <c r="H94" s="27"/>
      <c r="I94" s="28"/>
      <c r="J94" s="27">
        <v>8</v>
      </c>
      <c r="K94" s="29" t="s">
        <v>35</v>
      </c>
      <c r="L94" s="173"/>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t="s">
        <v>96</v>
      </c>
      <c r="AT94" s="27" t="s">
        <v>87</v>
      </c>
      <c r="AU94" s="27"/>
      <c r="AW94" s="25" t="s">
        <v>90</v>
      </c>
      <c r="AX94" s="27" t="s">
        <v>95</v>
      </c>
      <c r="AY94" s="27"/>
      <c r="AZ94" s="32"/>
      <c r="BA94" s="41"/>
    </row>
    <row r="95" spans="1:53" x14ac:dyDescent="0.2">
      <c r="A95" s="25">
        <v>79</v>
      </c>
      <c r="B95" s="26">
        <v>45560</v>
      </c>
      <c r="C95" s="27"/>
      <c r="D95" s="25"/>
      <c r="E95" s="28"/>
      <c r="F95" s="27"/>
      <c r="G95" s="28"/>
      <c r="H95" s="27"/>
      <c r="I95" s="28"/>
      <c r="J95" s="27">
        <v>8</v>
      </c>
      <c r="K95" s="29" t="s">
        <v>35</v>
      </c>
      <c r="L95" s="173"/>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t="s">
        <v>96</v>
      </c>
      <c r="AT95" s="27" t="s">
        <v>87</v>
      </c>
      <c r="AU95" s="27"/>
      <c r="AW95" s="25" t="s">
        <v>90</v>
      </c>
      <c r="AX95" s="27" t="s">
        <v>95</v>
      </c>
      <c r="AY95" s="27"/>
      <c r="AZ95" s="32"/>
      <c r="BA95" s="41"/>
    </row>
    <row r="96" spans="1:53" x14ac:dyDescent="0.2">
      <c r="A96" s="25">
        <v>80</v>
      </c>
      <c r="B96" s="26">
        <v>45561</v>
      </c>
      <c r="C96" s="27"/>
      <c r="D96" s="25"/>
      <c r="E96" s="28"/>
      <c r="F96" s="27"/>
      <c r="G96" s="28"/>
      <c r="H96" s="27"/>
      <c r="I96" s="28"/>
      <c r="J96" s="27">
        <v>8</v>
      </c>
      <c r="K96" s="29" t="s">
        <v>35</v>
      </c>
      <c r="L96" s="173"/>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t="s">
        <v>96</v>
      </c>
      <c r="AT96" s="27" t="s">
        <v>87</v>
      </c>
      <c r="AU96" s="27"/>
      <c r="AW96" s="25" t="s">
        <v>90</v>
      </c>
      <c r="AX96" s="27" t="s">
        <v>95</v>
      </c>
      <c r="AY96" s="27"/>
      <c r="AZ96" s="32"/>
      <c r="BA96" s="41"/>
    </row>
    <row r="97" spans="1:53" x14ac:dyDescent="0.2">
      <c r="A97" s="25">
        <v>81</v>
      </c>
      <c r="B97" s="26">
        <v>45562</v>
      </c>
      <c r="C97" s="27"/>
      <c r="D97" s="25"/>
      <c r="E97" s="28"/>
      <c r="F97" s="27"/>
      <c r="G97" s="28"/>
      <c r="H97" s="27"/>
      <c r="I97" s="28"/>
      <c r="J97" s="27">
        <v>8</v>
      </c>
      <c r="K97" s="29" t="s">
        <v>35</v>
      </c>
      <c r="L97" s="173"/>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t="s">
        <v>96</v>
      </c>
      <c r="AT97" s="27" t="s">
        <v>87</v>
      </c>
      <c r="AU97" s="27"/>
      <c r="AW97" s="25" t="s">
        <v>90</v>
      </c>
      <c r="AX97" s="27" t="s">
        <v>95</v>
      </c>
      <c r="AY97" s="27"/>
      <c r="AZ97" s="32"/>
      <c r="BA97" s="41"/>
    </row>
    <row r="98" spans="1:53" x14ac:dyDescent="0.2">
      <c r="A98" s="25">
        <v>82</v>
      </c>
      <c r="B98" s="26">
        <v>45563</v>
      </c>
      <c r="C98" s="27"/>
      <c r="D98" s="25"/>
      <c r="E98" s="28"/>
      <c r="F98" s="27"/>
      <c r="G98" s="28"/>
      <c r="H98" s="27"/>
      <c r="I98" s="28"/>
      <c r="J98" s="27">
        <v>8</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c r="AO98" s="27"/>
      <c r="AP98" s="36"/>
      <c r="AQ98" s="37"/>
      <c r="AR98" s="32"/>
      <c r="AS98" s="25" t="s">
        <v>96</v>
      </c>
      <c r="AT98" s="27" t="s">
        <v>87</v>
      </c>
      <c r="AU98" s="27"/>
      <c r="AW98" s="25" t="s">
        <v>90</v>
      </c>
      <c r="AX98" s="27" t="s">
        <v>95</v>
      </c>
      <c r="AY98" s="27"/>
      <c r="AZ98" s="32"/>
      <c r="BA98" s="41"/>
    </row>
    <row r="99" spans="1:53" x14ac:dyDescent="0.2">
      <c r="A99" s="25">
        <v>83</v>
      </c>
      <c r="B99" s="26">
        <v>45564</v>
      </c>
      <c r="C99" s="27"/>
      <c r="D99" s="25"/>
      <c r="E99" s="28"/>
      <c r="F99" s="27"/>
      <c r="G99" s="28"/>
      <c r="H99" s="27"/>
      <c r="I99" s="28"/>
      <c r="J99" s="27">
        <v>8</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c r="AO99" s="27"/>
      <c r="AP99" s="36"/>
      <c r="AQ99" s="37"/>
      <c r="AR99" s="32"/>
      <c r="AS99" s="25" t="s">
        <v>96</v>
      </c>
      <c r="AT99" s="27" t="s">
        <v>87</v>
      </c>
      <c r="AU99" s="27"/>
      <c r="AW99" s="25" t="s">
        <v>90</v>
      </c>
      <c r="AX99" s="27" t="s">
        <v>95</v>
      </c>
      <c r="AY99" s="27"/>
      <c r="AZ99" s="32"/>
      <c r="BA99" s="41"/>
    </row>
    <row r="100" spans="1:53" x14ac:dyDescent="0.2">
      <c r="A100" s="25">
        <v>84</v>
      </c>
      <c r="B100" s="26">
        <v>45565</v>
      </c>
      <c r="C100" s="27"/>
      <c r="D100" s="25"/>
      <c r="E100" s="28"/>
      <c r="F100" s="27"/>
      <c r="G100" s="28"/>
      <c r="H100" s="27"/>
      <c r="I100" s="28"/>
      <c r="J100" s="27">
        <v>8</v>
      </c>
      <c r="K100" s="29" t="s">
        <v>35</v>
      </c>
      <c r="L100" s="39"/>
      <c r="M100" s="31"/>
      <c r="N100" s="27"/>
      <c r="P100" s="32"/>
      <c r="Q100" s="25"/>
      <c r="R100" s="27"/>
      <c r="S100" s="27"/>
      <c r="T100" s="28"/>
      <c r="U100" s="27"/>
      <c r="V100" s="27"/>
      <c r="W100" s="28"/>
      <c r="X100" s="33"/>
      <c r="Y100" s="32"/>
      <c r="Z100" s="25"/>
      <c r="AA100" s="27"/>
      <c r="AB100" s="28"/>
      <c r="AC100" s="27"/>
      <c r="AD100" s="27"/>
      <c r="AE100" s="33"/>
      <c r="AF100" s="32"/>
      <c r="AG100" s="90"/>
      <c r="AH100" s="91"/>
      <c r="AI100" s="27"/>
      <c r="AJ100" s="27"/>
      <c r="AK100" s="28"/>
      <c r="AL100" s="27"/>
      <c r="AM100" s="27"/>
      <c r="AN100" s="27"/>
      <c r="AO100" s="27"/>
      <c r="AP100" s="36"/>
      <c r="AQ100" s="37"/>
      <c r="AR100" s="32"/>
      <c r="AS100" s="25" t="s">
        <v>96</v>
      </c>
      <c r="AT100" s="27" t="s">
        <v>87</v>
      </c>
      <c r="AU100" s="27"/>
      <c r="AW100" s="25" t="s">
        <v>90</v>
      </c>
      <c r="AX100" s="27" t="s">
        <v>95</v>
      </c>
      <c r="AY100" s="27"/>
      <c r="AZ100" s="32"/>
      <c r="BA100" s="41"/>
    </row>
    <row r="101" spans="1:53" x14ac:dyDescent="0.2">
      <c r="A101" s="25">
        <v>85</v>
      </c>
      <c r="B101" s="26">
        <v>45566</v>
      </c>
      <c r="C101" s="27"/>
      <c r="D101" s="25"/>
      <c r="E101" s="28"/>
      <c r="F101" s="27"/>
      <c r="G101" s="28"/>
      <c r="H101" s="27"/>
      <c r="I101" s="28"/>
      <c r="J101" s="27">
        <v>8</v>
      </c>
      <c r="K101" s="29" t="s">
        <v>35</v>
      </c>
      <c r="L101" s="39"/>
      <c r="M101" s="31"/>
      <c r="N101" s="27"/>
      <c r="P101" s="32"/>
      <c r="Q101" s="25"/>
      <c r="R101" s="27"/>
      <c r="S101" s="27"/>
      <c r="T101" s="28"/>
      <c r="U101" s="27"/>
      <c r="V101" s="27"/>
      <c r="W101" s="28"/>
      <c r="X101" s="33"/>
      <c r="Y101" s="32"/>
      <c r="Z101" s="25"/>
      <c r="AA101" s="27"/>
      <c r="AB101" s="28"/>
      <c r="AC101" s="27"/>
      <c r="AD101" s="27"/>
      <c r="AE101" s="33"/>
      <c r="AF101" s="32"/>
      <c r="AG101" s="90"/>
      <c r="AH101" s="91"/>
      <c r="AI101" s="27"/>
      <c r="AJ101" s="27"/>
      <c r="AK101" s="28"/>
      <c r="AL101" s="27"/>
      <c r="AM101" s="27"/>
      <c r="AN101" s="27"/>
      <c r="AO101" s="27"/>
      <c r="AP101" s="36"/>
      <c r="AQ101" s="37"/>
      <c r="AR101" s="32"/>
      <c r="AS101" s="25" t="s">
        <v>96</v>
      </c>
      <c r="AT101" s="27" t="s">
        <v>87</v>
      </c>
      <c r="AU101" s="27"/>
      <c r="AW101" s="25" t="s">
        <v>90</v>
      </c>
      <c r="AX101" s="27" t="s">
        <v>95</v>
      </c>
      <c r="AY101" s="27"/>
      <c r="AZ101" s="32"/>
      <c r="BA101" s="41"/>
    </row>
    <row r="102" spans="1:53" x14ac:dyDescent="0.2">
      <c r="A102" s="25">
        <v>86</v>
      </c>
      <c r="B102" s="26">
        <v>45567</v>
      </c>
      <c r="C102" s="27"/>
      <c r="D102" s="25"/>
      <c r="E102" s="28"/>
      <c r="F102" s="27"/>
      <c r="G102" s="28"/>
      <c r="H102" s="27"/>
      <c r="I102" s="28"/>
      <c r="J102" s="27">
        <v>8</v>
      </c>
      <c r="K102" s="29" t="s">
        <v>35</v>
      </c>
      <c r="L102" s="39"/>
      <c r="M102" s="31"/>
      <c r="N102" s="27"/>
      <c r="P102" s="32"/>
      <c r="Q102" s="25"/>
      <c r="R102" s="27"/>
      <c r="S102" s="27"/>
      <c r="T102" s="28"/>
      <c r="U102" s="27"/>
      <c r="V102" s="27"/>
      <c r="W102" s="28"/>
      <c r="X102" s="33"/>
      <c r="Y102" s="32"/>
      <c r="Z102" s="25"/>
      <c r="AA102" s="27"/>
      <c r="AB102" s="28"/>
      <c r="AC102" s="27"/>
      <c r="AD102" s="27"/>
      <c r="AE102" s="33"/>
      <c r="AF102" s="32"/>
      <c r="AG102" s="90"/>
      <c r="AH102" s="91"/>
      <c r="AI102" s="27"/>
      <c r="AJ102" s="27"/>
      <c r="AK102" s="28"/>
      <c r="AL102" s="27"/>
      <c r="AM102" s="27"/>
      <c r="AN102" s="27"/>
      <c r="AO102" s="27"/>
      <c r="AP102" s="36"/>
      <c r="AQ102" s="37"/>
      <c r="AR102" s="32"/>
      <c r="AS102" s="25" t="s">
        <v>96</v>
      </c>
      <c r="AT102" s="27" t="s">
        <v>87</v>
      </c>
      <c r="AU102" s="27"/>
      <c r="AW102" s="25" t="s">
        <v>90</v>
      </c>
      <c r="AX102" s="27" t="s">
        <v>95</v>
      </c>
      <c r="AY102" s="27"/>
      <c r="AZ102" s="32"/>
      <c r="BA102" s="41"/>
    </row>
    <row r="103" spans="1:53" x14ac:dyDescent="0.2">
      <c r="A103" s="25">
        <v>87</v>
      </c>
      <c r="B103" s="26">
        <v>45568</v>
      </c>
      <c r="C103" s="27"/>
      <c r="D103" s="25"/>
      <c r="E103" s="28"/>
      <c r="F103" s="27"/>
      <c r="G103" s="28"/>
      <c r="H103" s="27"/>
      <c r="I103" s="28"/>
      <c r="J103" s="27">
        <v>8</v>
      </c>
      <c r="K103" s="29" t="s">
        <v>35</v>
      </c>
      <c r="L103" s="39"/>
      <c r="M103" s="31"/>
      <c r="N103" s="27"/>
      <c r="P103" s="32"/>
      <c r="Q103" s="25"/>
      <c r="R103" s="27"/>
      <c r="S103" s="27"/>
      <c r="T103" s="28"/>
      <c r="U103" s="27"/>
      <c r="V103" s="27"/>
      <c r="W103" s="28"/>
      <c r="X103" s="33"/>
      <c r="Y103" s="32"/>
      <c r="Z103" s="25"/>
      <c r="AA103" s="27"/>
      <c r="AB103" s="28"/>
      <c r="AC103" s="27"/>
      <c r="AD103" s="27"/>
      <c r="AE103" s="33"/>
      <c r="AF103" s="32"/>
      <c r="AG103" s="90"/>
      <c r="AH103" s="91"/>
      <c r="AI103" s="27"/>
      <c r="AJ103" s="27"/>
      <c r="AK103" s="28"/>
      <c r="AL103" s="27"/>
      <c r="AM103" s="27"/>
      <c r="AN103" s="27"/>
      <c r="AO103" s="27"/>
      <c r="AP103" s="36"/>
      <c r="AQ103" s="37"/>
      <c r="AR103" s="32"/>
      <c r="AS103" s="25" t="s">
        <v>96</v>
      </c>
      <c r="AT103" s="27" t="s">
        <v>87</v>
      </c>
      <c r="AU103" s="27"/>
      <c r="AW103" s="25" t="s">
        <v>90</v>
      </c>
      <c r="AX103" s="27" t="s">
        <v>95</v>
      </c>
      <c r="AY103" s="27"/>
      <c r="AZ103" s="32"/>
      <c r="BA103" s="41"/>
    </row>
    <row r="104" spans="1:53" x14ac:dyDescent="0.2">
      <c r="A104" s="25">
        <v>88</v>
      </c>
      <c r="B104" s="26">
        <v>45569</v>
      </c>
      <c r="C104" s="27"/>
      <c r="D104" s="25"/>
      <c r="E104" s="28"/>
      <c r="F104" s="27"/>
      <c r="G104" s="28"/>
      <c r="H104" s="27"/>
      <c r="I104" s="28"/>
      <c r="J104" s="27">
        <v>8</v>
      </c>
      <c r="K104" s="29" t="s">
        <v>35</v>
      </c>
      <c r="L104" s="39"/>
      <c r="M104" s="31"/>
      <c r="N104" s="27"/>
      <c r="P104" s="32"/>
      <c r="Q104" s="25"/>
      <c r="R104" s="27"/>
      <c r="S104" s="27"/>
      <c r="T104" s="28"/>
      <c r="U104" s="27"/>
      <c r="V104" s="27"/>
      <c r="W104" s="28"/>
      <c r="X104" s="33"/>
      <c r="Y104" s="32"/>
      <c r="Z104" s="25"/>
      <c r="AA104" s="27"/>
      <c r="AB104" s="28"/>
      <c r="AC104" s="27"/>
      <c r="AD104" s="27"/>
      <c r="AE104" s="33"/>
      <c r="AF104" s="32"/>
      <c r="AG104" s="90"/>
      <c r="AH104" s="91"/>
      <c r="AI104" s="27"/>
      <c r="AJ104" s="27"/>
      <c r="AK104" s="28"/>
      <c r="AL104" s="27"/>
      <c r="AM104" s="27"/>
      <c r="AN104" s="27"/>
      <c r="AO104" s="27"/>
      <c r="AP104" s="36"/>
      <c r="AQ104" s="37"/>
      <c r="AR104" s="32"/>
      <c r="AS104" s="25" t="s">
        <v>96</v>
      </c>
      <c r="AT104" s="27" t="s">
        <v>87</v>
      </c>
      <c r="AU104" s="27"/>
      <c r="AW104" s="25" t="s">
        <v>90</v>
      </c>
      <c r="AX104" s="27" t="s">
        <v>95</v>
      </c>
      <c r="AY104" s="27"/>
      <c r="AZ104" s="32"/>
      <c r="BA104" s="41"/>
    </row>
    <row r="105" spans="1:53" x14ac:dyDescent="0.2">
      <c r="A105" s="25">
        <v>89</v>
      </c>
      <c r="B105" s="26">
        <v>45570</v>
      </c>
      <c r="C105" s="27"/>
      <c r="D105" s="25"/>
      <c r="E105" s="28"/>
      <c r="F105" s="27"/>
      <c r="G105" s="28"/>
      <c r="H105" s="27"/>
      <c r="I105" s="28"/>
      <c r="J105" s="27">
        <v>8</v>
      </c>
      <c r="K105" s="29" t="s">
        <v>35</v>
      </c>
      <c r="L105" s="39"/>
      <c r="M105" s="31"/>
      <c r="N105" s="27"/>
      <c r="P105" s="32"/>
      <c r="Q105" s="25"/>
      <c r="R105" s="27"/>
      <c r="S105" s="27"/>
      <c r="T105" s="28"/>
      <c r="U105" s="27"/>
      <c r="V105" s="27"/>
      <c r="W105" s="28"/>
      <c r="X105" s="33"/>
      <c r="Y105" s="32"/>
      <c r="Z105" s="25"/>
      <c r="AA105" s="27"/>
      <c r="AB105" s="28"/>
      <c r="AC105" s="27"/>
      <c r="AD105" s="27"/>
      <c r="AE105" s="33"/>
      <c r="AF105" s="32"/>
      <c r="AG105" s="90"/>
      <c r="AH105" s="91"/>
      <c r="AI105" s="27"/>
      <c r="AJ105" s="27"/>
      <c r="AK105" s="28"/>
      <c r="AL105" s="27"/>
      <c r="AM105" s="27"/>
      <c r="AN105" s="27"/>
      <c r="AO105" s="27"/>
      <c r="AP105" s="36"/>
      <c r="AQ105" s="37"/>
      <c r="AR105" s="32"/>
      <c r="AS105" s="25" t="s">
        <v>96</v>
      </c>
      <c r="AT105" s="27" t="s">
        <v>87</v>
      </c>
      <c r="AU105" s="27"/>
      <c r="AW105" s="25" t="s">
        <v>90</v>
      </c>
      <c r="AX105" s="27" t="s">
        <v>95</v>
      </c>
      <c r="AY105" s="27"/>
      <c r="AZ105" s="32"/>
      <c r="BA105" s="41"/>
    </row>
    <row r="106" spans="1:53" x14ac:dyDescent="0.2">
      <c r="A106" s="25">
        <v>90</v>
      </c>
      <c r="B106" s="26"/>
      <c r="C106" s="27"/>
      <c r="D106" s="25"/>
      <c r="E106" s="28"/>
      <c r="F106" s="27"/>
      <c r="G106" s="28"/>
      <c r="H106" s="27"/>
      <c r="I106" s="28"/>
      <c r="J106" s="27">
        <v>8</v>
      </c>
      <c r="K106" s="29" t="s">
        <v>35</v>
      </c>
      <c r="L106" s="39"/>
      <c r="M106" s="31"/>
      <c r="N106" s="27"/>
      <c r="P106" s="32"/>
      <c r="Q106" s="25"/>
      <c r="R106" s="27"/>
      <c r="S106" s="27"/>
      <c r="T106" s="28"/>
      <c r="U106" s="27"/>
      <c r="V106" s="27"/>
      <c r="W106" s="28"/>
      <c r="X106" s="33"/>
      <c r="Y106" s="32"/>
      <c r="Z106" s="25"/>
      <c r="AA106" s="27"/>
      <c r="AB106" s="28"/>
      <c r="AC106" s="27"/>
      <c r="AD106" s="27"/>
      <c r="AE106" s="33"/>
      <c r="AF106" s="32"/>
      <c r="AG106" s="90"/>
      <c r="AH106" s="91"/>
      <c r="AI106" s="27"/>
      <c r="AJ106" s="27"/>
      <c r="AK106" s="28"/>
      <c r="AL106" s="27"/>
      <c r="AM106" s="27"/>
      <c r="AN106" s="27"/>
      <c r="AO106" s="27"/>
      <c r="AP106" s="36"/>
      <c r="AQ106" s="37"/>
      <c r="AR106" s="32"/>
      <c r="AS106" s="25" t="s">
        <v>96</v>
      </c>
      <c r="AT106" s="27" t="s">
        <v>87</v>
      </c>
      <c r="AU106" s="27"/>
      <c r="AW106" s="25" t="s">
        <v>90</v>
      </c>
      <c r="AX106" s="27" t="s">
        <v>95</v>
      </c>
      <c r="AY106" s="27"/>
      <c r="AZ106" s="32"/>
      <c r="BA106" s="41"/>
    </row>
    <row r="107" spans="1:53" x14ac:dyDescent="0.2">
      <c r="A107" s="25">
        <v>91</v>
      </c>
      <c r="B107" s="26"/>
      <c r="C107" s="27"/>
      <c r="AS107" s="25" t="s">
        <v>96</v>
      </c>
      <c r="AT107" s="27" t="s">
        <v>87</v>
      </c>
      <c r="AU107" s="27"/>
      <c r="AW107" s="25" t="s">
        <v>90</v>
      </c>
      <c r="AX107" s="27" t="s">
        <v>95</v>
      </c>
    </row>
    <row r="108" spans="1:53" x14ac:dyDescent="0.2">
      <c r="A108" s="25">
        <v>92</v>
      </c>
      <c r="B108" s="26"/>
      <c r="C108" s="27"/>
      <c r="AS108" s="25" t="s">
        <v>96</v>
      </c>
      <c r="AT108" s="27" t="s">
        <v>87</v>
      </c>
      <c r="AU108" s="27"/>
      <c r="AW108" s="25" t="s">
        <v>90</v>
      </c>
      <c r="AX108" s="27" t="s">
        <v>95</v>
      </c>
    </row>
    <row r="109" spans="1:53" x14ac:dyDescent="0.2">
      <c r="A109" s="25">
        <v>93</v>
      </c>
      <c r="B109" s="26"/>
      <c r="C109" s="27"/>
      <c r="AS109" s="25" t="s">
        <v>96</v>
      </c>
      <c r="AT109" s="27" t="s">
        <v>87</v>
      </c>
      <c r="AU109" s="27"/>
      <c r="AW109" s="25" t="s">
        <v>90</v>
      </c>
      <c r="AX109" s="27" t="s">
        <v>95</v>
      </c>
    </row>
    <row r="110" spans="1:53" x14ac:dyDescent="0.2">
      <c r="A110" s="25">
        <v>94</v>
      </c>
      <c r="B110" s="26"/>
      <c r="C110" s="27"/>
      <c r="AS110" s="25" t="s">
        <v>96</v>
      </c>
      <c r="AT110" s="27" t="s">
        <v>87</v>
      </c>
      <c r="AU110" s="27"/>
      <c r="AW110" s="25" t="s">
        <v>90</v>
      </c>
      <c r="AX110" s="27" t="s">
        <v>95</v>
      </c>
    </row>
    <row r="111" spans="1:53" x14ac:dyDescent="0.2">
      <c r="A111" s="25">
        <v>95</v>
      </c>
      <c r="B111" s="26"/>
      <c r="C111" s="27"/>
      <c r="AS111" s="25" t="s">
        <v>96</v>
      </c>
      <c r="AT111" s="27" t="s">
        <v>87</v>
      </c>
      <c r="AU111" s="27"/>
      <c r="AW111" s="25" t="s">
        <v>90</v>
      </c>
      <c r="AX111" s="27" t="s">
        <v>95</v>
      </c>
    </row>
    <row r="112" spans="1:53" x14ac:dyDescent="0.2">
      <c r="A112" s="25">
        <v>96</v>
      </c>
      <c r="B112" s="26"/>
      <c r="C112" s="27"/>
      <c r="AS112" s="25" t="s">
        <v>96</v>
      </c>
      <c r="AT112" s="27" t="s">
        <v>87</v>
      </c>
      <c r="AU112" s="27"/>
      <c r="AW112" s="25" t="s">
        <v>90</v>
      </c>
      <c r="AX112" s="27" t="s">
        <v>95</v>
      </c>
      <c r="BA112">
        <v>0</v>
      </c>
    </row>
    <row r="113" spans="1:53" x14ac:dyDescent="0.2">
      <c r="A113" s="25">
        <v>97</v>
      </c>
      <c r="B113" s="26"/>
      <c r="C113" s="27"/>
      <c r="AS113" s="25" t="s">
        <v>96</v>
      </c>
      <c r="AT113" s="27" t="s">
        <v>87</v>
      </c>
      <c r="AU113" s="27"/>
      <c r="AW113" s="25" t="s">
        <v>90</v>
      </c>
      <c r="AX113" s="27" t="s">
        <v>95</v>
      </c>
    </row>
    <row r="114" spans="1:53" x14ac:dyDescent="0.2">
      <c r="A114" s="25">
        <v>98</v>
      </c>
      <c r="B114" s="26"/>
      <c r="C114" s="27"/>
      <c r="K114" s="172"/>
      <c r="AS114" s="25" t="s">
        <v>96</v>
      </c>
      <c r="AT114" s="27" t="s">
        <v>87</v>
      </c>
      <c r="AU114" s="27"/>
      <c r="AW114" s="25" t="s">
        <v>90</v>
      </c>
      <c r="AX114" s="27" t="s">
        <v>95</v>
      </c>
      <c r="BA114">
        <v>0</v>
      </c>
    </row>
    <row r="115" spans="1:53" x14ac:dyDescent="0.2">
      <c r="A115" s="25">
        <v>99</v>
      </c>
      <c r="B115" s="26"/>
      <c r="AS115" s="25" t="s">
        <v>96</v>
      </c>
      <c r="AT115" s="27" t="s">
        <v>87</v>
      </c>
      <c r="AU115" s="27"/>
      <c r="AW115" s="25" t="s">
        <v>90</v>
      </c>
      <c r="AX115" s="27" t="s">
        <v>95</v>
      </c>
    </row>
    <row r="116" spans="1:53" x14ac:dyDescent="0.2">
      <c r="A116" s="25">
        <v>100</v>
      </c>
      <c r="B116" s="26"/>
      <c r="C116" s="27"/>
      <c r="AS116" s="25" t="s">
        <v>96</v>
      </c>
      <c r="AT116" s="27" t="s">
        <v>87</v>
      </c>
      <c r="AU116" s="27"/>
      <c r="AW116" s="25" t="s">
        <v>90</v>
      </c>
      <c r="AX116" s="27" t="s">
        <v>95</v>
      </c>
    </row>
    <row r="117" spans="1:53" x14ac:dyDescent="0.2">
      <c r="A117" s="25">
        <v>101</v>
      </c>
      <c r="B117" s="26"/>
      <c r="C117" s="27"/>
      <c r="AS117" s="25" t="s">
        <v>96</v>
      </c>
      <c r="AT117" s="27" t="s">
        <v>87</v>
      </c>
      <c r="AU117" s="27"/>
      <c r="AW117" s="25" t="s">
        <v>90</v>
      </c>
      <c r="AX117" s="27" t="s">
        <v>95</v>
      </c>
    </row>
    <row r="118" spans="1:53" x14ac:dyDescent="0.2">
      <c r="A118" s="25">
        <v>102</v>
      </c>
      <c r="B118" s="26"/>
      <c r="C118" s="27"/>
      <c r="AS118" s="25" t="s">
        <v>96</v>
      </c>
      <c r="AT118" s="27" t="s">
        <v>87</v>
      </c>
      <c r="AU118" s="27"/>
      <c r="AW118" s="25" t="s">
        <v>90</v>
      </c>
      <c r="AX118" s="27" t="s">
        <v>95</v>
      </c>
    </row>
    <row r="119" spans="1:53" x14ac:dyDescent="0.2">
      <c r="A119" s="25">
        <v>103</v>
      </c>
      <c r="B119" s="26"/>
      <c r="C119" s="27"/>
      <c r="AS119" s="25" t="s">
        <v>96</v>
      </c>
      <c r="AT119" s="27" t="s">
        <v>87</v>
      </c>
      <c r="AU119" s="27"/>
      <c r="AW119" s="25" t="s">
        <v>90</v>
      </c>
      <c r="AX119" s="27" t="s">
        <v>95</v>
      </c>
    </row>
    <row r="120" spans="1:53" x14ac:dyDescent="0.2">
      <c r="A120" s="25">
        <v>104</v>
      </c>
      <c r="B120" s="26"/>
      <c r="C120" s="27"/>
      <c r="AS120" s="25" t="s">
        <v>96</v>
      </c>
      <c r="AT120" s="27" t="s">
        <v>87</v>
      </c>
      <c r="AU120" s="27"/>
      <c r="AW120" s="25" t="s">
        <v>90</v>
      </c>
      <c r="AX120" s="27" t="s">
        <v>95</v>
      </c>
    </row>
    <row r="121" spans="1:53" x14ac:dyDescent="0.2">
      <c r="A121" s="25">
        <v>105</v>
      </c>
      <c r="B121" s="26"/>
      <c r="C121" s="27"/>
      <c r="AS121" s="25" t="s">
        <v>96</v>
      </c>
      <c r="AT121" s="27" t="s">
        <v>87</v>
      </c>
      <c r="AU121" s="27"/>
      <c r="AW121" s="25" t="s">
        <v>90</v>
      </c>
      <c r="AX121" s="27" t="s">
        <v>95</v>
      </c>
    </row>
    <row r="122" spans="1:53" x14ac:dyDescent="0.2">
      <c r="A122" s="25">
        <v>106</v>
      </c>
      <c r="B122" s="26"/>
    </row>
    <row r="123" spans="1:53" x14ac:dyDescent="0.2">
      <c r="A123" s="25">
        <v>107</v>
      </c>
      <c r="B123" s="26"/>
      <c r="C123" s="27"/>
    </row>
    <row r="124" spans="1:53" x14ac:dyDescent="0.2">
      <c r="A124" s="25">
        <v>108</v>
      </c>
      <c r="B124" s="26"/>
      <c r="C124" s="27"/>
    </row>
    <row r="125" spans="1:53" x14ac:dyDescent="0.2">
      <c r="A125" s="25">
        <v>109</v>
      </c>
      <c r="B125" s="26"/>
      <c r="C125" s="27"/>
    </row>
    <row r="126" spans="1:53" x14ac:dyDescent="0.2">
      <c r="A126" s="25">
        <v>110</v>
      </c>
      <c r="B126" s="26"/>
      <c r="C126" s="27"/>
    </row>
    <row r="127" spans="1:53" x14ac:dyDescent="0.2">
      <c r="A127" s="25">
        <v>111</v>
      </c>
      <c r="B127" s="26"/>
      <c r="C127" s="27"/>
    </row>
    <row r="128" spans="1:53" s="173" customFormat="1" x14ac:dyDescent="0.2">
      <c r="A128" s="173">
        <v>112</v>
      </c>
      <c r="B128" s="26"/>
    </row>
    <row r="129" spans="1:3" x14ac:dyDescent="0.2">
      <c r="A129" s="25">
        <v>113</v>
      </c>
      <c r="B129" s="26"/>
      <c r="C129" s="27"/>
    </row>
    <row r="130" spans="1:3" x14ac:dyDescent="0.2">
      <c r="A130" s="25">
        <v>114</v>
      </c>
      <c r="B130" s="26"/>
      <c r="C130" s="27"/>
    </row>
    <row r="131" spans="1:3" x14ac:dyDescent="0.2">
      <c r="A131" s="25">
        <v>115</v>
      </c>
      <c r="B131" s="26"/>
      <c r="C131" s="27"/>
    </row>
  </sheetData>
  <mergeCells count="52">
    <mergeCell ref="X20:X27"/>
    <mergeCell ref="AV13:AV15"/>
    <mergeCell ref="AW13:AW15"/>
    <mergeCell ref="AG13:AG14"/>
    <mergeCell ref="X13:X15"/>
    <mergeCell ref="O36:O56"/>
    <mergeCell ref="AR13:AR15"/>
    <mergeCell ref="AS13:AS15"/>
    <mergeCell ref="AT13:AT15"/>
    <mergeCell ref="AU13:AU15"/>
    <mergeCell ref="AH13:AH15"/>
    <mergeCell ref="AI13:AK14"/>
    <mergeCell ref="AL13:AL15"/>
    <mergeCell ref="AM13:AM14"/>
    <mergeCell ref="AN13:AP14"/>
    <mergeCell ref="AQ13:AQ15"/>
    <mergeCell ref="Y13:Y15"/>
    <mergeCell ref="Z13:AB14"/>
    <mergeCell ref="AC13:AD14"/>
    <mergeCell ref="AE13:AE15"/>
    <mergeCell ref="AF13:AF15"/>
    <mergeCell ref="H13:I14"/>
    <mergeCell ref="J13:J15"/>
    <mergeCell ref="K13:K15"/>
    <mergeCell ref="L13:L15"/>
    <mergeCell ref="M13:M15"/>
    <mergeCell ref="N13:N15"/>
    <mergeCell ref="AS10:AV12"/>
    <mergeCell ref="AW10:AZ12"/>
    <mergeCell ref="BA10:BA12"/>
    <mergeCell ref="AG12:AK12"/>
    <mergeCell ref="AM12:AP12"/>
    <mergeCell ref="AG10:AP11"/>
    <mergeCell ref="O13:O15"/>
    <mergeCell ref="P13:P15"/>
    <mergeCell ref="Q13:Q15"/>
    <mergeCell ref="R13:T14"/>
    <mergeCell ref="U13:W14"/>
    <mergeCell ref="AX13:AX15"/>
    <mergeCell ref="AY13:AY15"/>
    <mergeCell ref="AZ13:AZ15"/>
    <mergeCell ref="BA13:BA15"/>
    <mergeCell ref="A13:A15"/>
    <mergeCell ref="B13:B15"/>
    <mergeCell ref="C13:C15"/>
    <mergeCell ref="D13:E14"/>
    <mergeCell ref="F13:G14"/>
    <mergeCell ref="A10:C12"/>
    <mergeCell ref="D10:M12"/>
    <mergeCell ref="N10:P12"/>
    <mergeCell ref="Q10:Y12"/>
    <mergeCell ref="Z10:AF12"/>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2FE9D-D24A-40CB-9998-D74DAE7370EB}">
  <dimension ref="A1:BB130"/>
  <sheetViews>
    <sheetView zoomScale="85" zoomScaleNormal="85" workbookViewId="0">
      <pane xSplit="1" topLeftCell="B1" activePane="topRight" state="frozen"/>
      <selection pane="topRight" activeCell="C110" sqref="C110"/>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0.33203125"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22.33203125"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13.83203125" customWidth="1"/>
    <col min="50" max="50" width="26.5" bestFit="1" customWidth="1"/>
    <col min="51" max="51" width="24.1640625" bestFit="1" customWidth="1"/>
    <col min="52" max="52" width="41.1640625" bestFit="1" customWidth="1"/>
    <col min="53" max="53" width="18.83203125" bestFit="1" customWidth="1"/>
  </cols>
  <sheetData>
    <row r="1" spans="1:53" x14ac:dyDescent="0.2">
      <c r="A1" s="94" t="s">
        <v>99</v>
      </c>
      <c r="B1" t="s">
        <v>549</v>
      </c>
      <c r="J1" t="s">
        <v>419</v>
      </c>
    </row>
    <row r="2" spans="1:53" x14ac:dyDescent="0.2">
      <c r="A2" s="94" t="s">
        <v>100</v>
      </c>
    </row>
    <row r="3" spans="1:53" x14ac:dyDescent="0.2">
      <c r="A3" s="94" t="s">
        <v>101</v>
      </c>
      <c r="B3">
        <v>17800</v>
      </c>
      <c r="C3" t="s">
        <v>546</v>
      </c>
    </row>
    <row r="4" spans="1:53" x14ac:dyDescent="0.2">
      <c r="A4" s="94" t="s">
        <v>102</v>
      </c>
      <c r="B4">
        <v>33</v>
      </c>
      <c r="C4" t="s">
        <v>547</v>
      </c>
    </row>
    <row r="5" spans="1:53" x14ac:dyDescent="0.2">
      <c r="A5" s="94" t="s">
        <v>103</v>
      </c>
      <c r="B5">
        <f>(B4/B3)*100</f>
        <v>0.1853932584269663</v>
      </c>
    </row>
    <row r="6" spans="1:53" x14ac:dyDescent="0.2">
      <c r="A6" s="94" t="s">
        <v>104</v>
      </c>
      <c r="B6" t="s">
        <v>418</v>
      </c>
    </row>
    <row r="7" spans="1:53" x14ac:dyDescent="0.2">
      <c r="A7" s="94" t="s">
        <v>416</v>
      </c>
      <c r="B7">
        <v>1000</v>
      </c>
    </row>
    <row r="8" spans="1:53" ht="16" thickBot="1" x14ac:dyDescent="0.25">
      <c r="A8" s="94" t="s">
        <v>417</v>
      </c>
      <c r="B8">
        <v>9</v>
      </c>
    </row>
    <row r="9" spans="1:53" ht="23" x14ac:dyDescent="0.2">
      <c r="A9" s="209" t="s">
        <v>0</v>
      </c>
      <c r="B9" s="210"/>
      <c r="C9" s="210"/>
      <c r="D9" s="215" t="s">
        <v>1</v>
      </c>
      <c r="E9" s="215"/>
      <c r="F9" s="215"/>
      <c r="G9" s="215"/>
      <c r="H9" s="215"/>
      <c r="I9" s="215"/>
      <c r="J9" s="215"/>
      <c r="K9" s="215"/>
      <c r="L9" s="215"/>
      <c r="M9" s="215"/>
      <c r="N9" s="218" t="s">
        <v>2</v>
      </c>
      <c r="O9" s="218"/>
      <c r="P9" s="219"/>
      <c r="Q9" s="224" t="s">
        <v>3</v>
      </c>
      <c r="R9" s="225"/>
      <c r="S9" s="225"/>
      <c r="T9" s="225"/>
      <c r="U9" s="225"/>
      <c r="V9" s="225"/>
      <c r="W9" s="225"/>
      <c r="X9" s="225"/>
      <c r="Y9" s="226"/>
      <c r="Z9" s="230" t="s">
        <v>4</v>
      </c>
      <c r="AA9" s="231"/>
      <c r="AB9" s="231"/>
      <c r="AC9" s="231"/>
      <c r="AD9" s="231"/>
      <c r="AE9" s="231"/>
      <c r="AF9" s="232"/>
      <c r="AG9" s="382" t="s">
        <v>5</v>
      </c>
      <c r="AH9" s="271"/>
      <c r="AI9" s="271"/>
      <c r="AJ9" s="271"/>
      <c r="AK9" s="271"/>
      <c r="AL9" s="271"/>
      <c r="AM9" s="271"/>
      <c r="AN9" s="271"/>
      <c r="AO9" s="271"/>
      <c r="AP9" s="271"/>
      <c r="AQ9" s="1"/>
      <c r="AR9" s="2"/>
      <c r="AS9" s="251" t="s">
        <v>6</v>
      </c>
      <c r="AT9" s="252"/>
      <c r="AU9" s="252"/>
      <c r="AV9" s="378"/>
      <c r="AW9" s="257" t="s">
        <v>7</v>
      </c>
      <c r="AX9" s="258"/>
      <c r="AY9" s="258"/>
      <c r="AZ9" s="259"/>
      <c r="BA9" s="266" t="s">
        <v>8</v>
      </c>
    </row>
    <row r="10" spans="1:53" ht="23" x14ac:dyDescent="0.2">
      <c r="A10" s="211"/>
      <c r="B10" s="212"/>
      <c r="C10" s="212"/>
      <c r="D10" s="216"/>
      <c r="E10" s="216"/>
      <c r="F10" s="216"/>
      <c r="G10" s="216"/>
      <c r="H10" s="216"/>
      <c r="I10" s="216"/>
      <c r="J10" s="216"/>
      <c r="K10" s="216"/>
      <c r="L10" s="216"/>
      <c r="M10" s="216"/>
      <c r="N10" s="220"/>
      <c r="O10" s="220"/>
      <c r="P10" s="221"/>
      <c r="Q10" s="227"/>
      <c r="R10" s="228"/>
      <c r="S10" s="228"/>
      <c r="T10" s="228"/>
      <c r="U10" s="228"/>
      <c r="V10" s="228"/>
      <c r="W10" s="228"/>
      <c r="X10" s="228"/>
      <c r="Y10" s="229"/>
      <c r="Z10" s="233"/>
      <c r="AA10" s="234"/>
      <c r="AB10" s="234"/>
      <c r="AC10" s="234"/>
      <c r="AD10" s="234"/>
      <c r="AE10" s="234"/>
      <c r="AF10" s="235"/>
      <c r="AG10" s="383"/>
      <c r="AH10" s="272"/>
      <c r="AI10" s="272"/>
      <c r="AJ10" s="272"/>
      <c r="AK10" s="272"/>
      <c r="AL10" s="272"/>
      <c r="AM10" s="272"/>
      <c r="AN10" s="272"/>
      <c r="AO10" s="272"/>
      <c r="AP10" s="272"/>
      <c r="AQ10" s="3"/>
      <c r="AR10" s="4"/>
      <c r="AS10" s="253"/>
      <c r="AT10" s="254"/>
      <c r="AU10" s="254"/>
      <c r="AV10" s="379"/>
      <c r="AW10" s="260"/>
      <c r="AX10" s="261"/>
      <c r="AY10" s="261"/>
      <c r="AZ10" s="262"/>
      <c r="BA10" s="267"/>
    </row>
    <row r="11" spans="1:53" ht="21" thickBot="1" x14ac:dyDescent="0.25">
      <c r="A11" s="213"/>
      <c r="B11" s="214"/>
      <c r="C11" s="214"/>
      <c r="D11" s="217"/>
      <c r="E11" s="217"/>
      <c r="F11" s="217"/>
      <c r="G11" s="217"/>
      <c r="H11" s="217"/>
      <c r="I11" s="217"/>
      <c r="J11" s="217"/>
      <c r="K11" s="217"/>
      <c r="L11" s="217"/>
      <c r="M11" s="217"/>
      <c r="N11" s="222"/>
      <c r="O11" s="222"/>
      <c r="P11" s="223"/>
      <c r="Q11" s="393"/>
      <c r="R11" s="394"/>
      <c r="S11" s="394"/>
      <c r="T11" s="394"/>
      <c r="U11" s="394"/>
      <c r="V11" s="394"/>
      <c r="W11" s="394"/>
      <c r="X11" s="394"/>
      <c r="Y11" s="395"/>
      <c r="Z11" s="396"/>
      <c r="AA11" s="397"/>
      <c r="AB11" s="397"/>
      <c r="AC11" s="397"/>
      <c r="AD11" s="397"/>
      <c r="AE11" s="397"/>
      <c r="AF11" s="398"/>
      <c r="AG11" s="381" t="s">
        <v>9</v>
      </c>
      <c r="AH11" s="269"/>
      <c r="AI11" s="269"/>
      <c r="AJ11" s="269"/>
      <c r="AK11" s="270"/>
      <c r="AL11" s="5"/>
      <c r="AM11" s="269" t="s">
        <v>10</v>
      </c>
      <c r="AN11" s="269"/>
      <c r="AO11" s="269"/>
      <c r="AP11" s="270"/>
      <c r="AQ11" s="6"/>
      <c r="AR11" s="7"/>
      <c r="AS11" s="255"/>
      <c r="AT11" s="256"/>
      <c r="AU11" s="256"/>
      <c r="AV11" s="380"/>
      <c r="AW11" s="263"/>
      <c r="AX11" s="264"/>
      <c r="AY11" s="264"/>
      <c r="AZ11" s="265"/>
      <c r="BA11" s="268"/>
    </row>
    <row r="12" spans="1:53" ht="15" customHeight="1" x14ac:dyDescent="0.2">
      <c r="A12" s="236" t="s">
        <v>11</v>
      </c>
      <c r="B12" s="239" t="s">
        <v>12</v>
      </c>
      <c r="C12" s="390" t="s">
        <v>13</v>
      </c>
      <c r="D12" s="242" t="s">
        <v>14</v>
      </c>
      <c r="E12" s="243"/>
      <c r="F12" s="246" t="s">
        <v>15</v>
      </c>
      <c r="G12" s="243"/>
      <c r="H12" s="292" t="s">
        <v>16</v>
      </c>
      <c r="I12" s="293"/>
      <c r="J12" s="296" t="s">
        <v>17</v>
      </c>
      <c r="K12" s="299" t="s">
        <v>18</v>
      </c>
      <c r="L12" s="292" t="s">
        <v>19</v>
      </c>
      <c r="M12" s="303" t="s">
        <v>20</v>
      </c>
      <c r="N12" s="375" t="s">
        <v>21</v>
      </c>
      <c r="O12" s="248" t="s">
        <v>19</v>
      </c>
      <c r="P12" s="384" t="s">
        <v>20</v>
      </c>
      <c r="Q12" s="273" t="s">
        <v>22</v>
      </c>
      <c r="R12" s="276" t="s">
        <v>23</v>
      </c>
      <c r="S12" s="276"/>
      <c r="T12" s="277"/>
      <c r="U12" s="387" t="s">
        <v>24</v>
      </c>
      <c r="V12" s="280"/>
      <c r="W12" s="281"/>
      <c r="X12" s="353" t="s">
        <v>19</v>
      </c>
      <c r="Y12" s="364" t="s">
        <v>20</v>
      </c>
      <c r="Z12" s="367" t="s">
        <v>23</v>
      </c>
      <c r="AA12" s="368"/>
      <c r="AB12" s="334"/>
      <c r="AC12" s="371" t="s">
        <v>24</v>
      </c>
      <c r="AD12" s="372"/>
      <c r="AE12" s="339" t="s">
        <v>19</v>
      </c>
      <c r="AF12" s="342" t="s">
        <v>20</v>
      </c>
      <c r="AG12" s="351" t="s">
        <v>25</v>
      </c>
      <c r="AH12" s="318" t="s">
        <v>26</v>
      </c>
      <c r="AI12" s="362" t="s">
        <v>24</v>
      </c>
      <c r="AJ12" s="321"/>
      <c r="AK12" s="309"/>
      <c r="AL12" s="323" t="s">
        <v>27</v>
      </c>
      <c r="AM12" s="318" t="s">
        <v>25</v>
      </c>
      <c r="AN12" s="362" t="s">
        <v>24</v>
      </c>
      <c r="AO12" s="321"/>
      <c r="AP12" s="309"/>
      <c r="AQ12" s="327" t="s">
        <v>19</v>
      </c>
      <c r="AR12" s="359" t="s">
        <v>20</v>
      </c>
      <c r="AS12" s="312" t="s">
        <v>28</v>
      </c>
      <c r="AT12" s="315" t="s">
        <v>29</v>
      </c>
      <c r="AU12" s="315" t="s">
        <v>19</v>
      </c>
      <c r="AV12" s="356" t="s">
        <v>20</v>
      </c>
      <c r="AW12" s="348" t="s">
        <v>30</v>
      </c>
      <c r="AX12" s="284" t="s">
        <v>29</v>
      </c>
      <c r="AY12" s="284" t="s">
        <v>19</v>
      </c>
      <c r="AZ12" s="287" t="s">
        <v>20</v>
      </c>
      <c r="BA12" s="389" t="s">
        <v>31</v>
      </c>
    </row>
    <row r="13" spans="1:53" x14ac:dyDescent="0.2">
      <c r="A13" s="237"/>
      <c r="B13" s="240"/>
      <c r="C13" s="391"/>
      <c r="D13" s="244"/>
      <c r="E13" s="245"/>
      <c r="F13" s="247"/>
      <c r="G13" s="245"/>
      <c r="H13" s="294"/>
      <c r="I13" s="295"/>
      <c r="J13" s="297"/>
      <c r="K13" s="300"/>
      <c r="L13" s="294"/>
      <c r="M13" s="304"/>
      <c r="N13" s="376"/>
      <c r="O13" s="249"/>
      <c r="P13" s="385"/>
      <c r="Q13" s="274"/>
      <c r="R13" s="278"/>
      <c r="S13" s="278"/>
      <c r="T13" s="279"/>
      <c r="U13" s="388"/>
      <c r="V13" s="282"/>
      <c r="W13" s="283"/>
      <c r="X13" s="354"/>
      <c r="Y13" s="365"/>
      <c r="Z13" s="369"/>
      <c r="AA13" s="370"/>
      <c r="AB13" s="337"/>
      <c r="AC13" s="373"/>
      <c r="AD13" s="374"/>
      <c r="AE13" s="340"/>
      <c r="AF13" s="343"/>
      <c r="AG13" s="352"/>
      <c r="AH13" s="319"/>
      <c r="AI13" s="363"/>
      <c r="AJ13" s="322"/>
      <c r="AK13" s="310"/>
      <c r="AL13" s="324"/>
      <c r="AM13" s="319"/>
      <c r="AN13" s="363"/>
      <c r="AO13" s="322"/>
      <c r="AP13" s="310"/>
      <c r="AQ13" s="328"/>
      <c r="AR13" s="360"/>
      <c r="AS13" s="313"/>
      <c r="AT13" s="316"/>
      <c r="AU13" s="316"/>
      <c r="AV13" s="357"/>
      <c r="AW13" s="349"/>
      <c r="AX13" s="285"/>
      <c r="AY13" s="285"/>
      <c r="AZ13" s="288"/>
      <c r="BA13" s="290"/>
    </row>
    <row r="14" spans="1:53" ht="57" thickBot="1" x14ac:dyDescent="0.25">
      <c r="A14" s="238"/>
      <c r="B14" s="241"/>
      <c r="C14" s="392"/>
      <c r="D14" s="8" t="s">
        <v>32</v>
      </c>
      <c r="E14" s="9" t="s">
        <v>33</v>
      </c>
      <c r="F14" s="10" t="s">
        <v>32</v>
      </c>
      <c r="G14" s="9" t="s">
        <v>33</v>
      </c>
      <c r="H14" s="11" t="s">
        <v>32</v>
      </c>
      <c r="I14" s="12" t="s">
        <v>33</v>
      </c>
      <c r="J14" s="298"/>
      <c r="K14" s="301"/>
      <c r="L14" s="302"/>
      <c r="M14" s="305"/>
      <c r="N14" s="377"/>
      <c r="O14" s="250"/>
      <c r="P14" s="386"/>
      <c r="Q14" s="275"/>
      <c r="R14" s="13" t="s">
        <v>32</v>
      </c>
      <c r="S14" s="13" t="s">
        <v>34</v>
      </c>
      <c r="T14" s="14" t="s">
        <v>33</v>
      </c>
      <c r="U14" s="15" t="s">
        <v>32</v>
      </c>
      <c r="V14" s="15" t="s">
        <v>34</v>
      </c>
      <c r="W14" s="16" t="s">
        <v>33</v>
      </c>
      <c r="X14" s="355"/>
      <c r="Y14" s="366"/>
      <c r="Z14" s="17" t="s">
        <v>32</v>
      </c>
      <c r="AA14" s="18" t="s">
        <v>34</v>
      </c>
      <c r="AB14" s="19" t="s">
        <v>33</v>
      </c>
      <c r="AC14" s="20" t="s">
        <v>32</v>
      </c>
      <c r="AD14" s="20" t="s">
        <v>34</v>
      </c>
      <c r="AE14" s="341"/>
      <c r="AF14" s="344"/>
      <c r="AG14" s="21" t="s">
        <v>34</v>
      </c>
      <c r="AH14" s="320"/>
      <c r="AI14" s="22" t="s">
        <v>32</v>
      </c>
      <c r="AJ14" s="22" t="s">
        <v>34</v>
      </c>
      <c r="AK14" s="22" t="s">
        <v>33</v>
      </c>
      <c r="AL14" s="324"/>
      <c r="AM14" s="23" t="s">
        <v>33</v>
      </c>
      <c r="AN14" s="22" t="s">
        <v>32</v>
      </c>
      <c r="AO14" s="22" t="s">
        <v>34</v>
      </c>
      <c r="AP14" s="24" t="s">
        <v>33</v>
      </c>
      <c r="AQ14" s="329"/>
      <c r="AR14" s="361"/>
      <c r="AS14" s="314"/>
      <c r="AT14" s="317"/>
      <c r="AU14" s="317"/>
      <c r="AV14" s="358"/>
      <c r="AW14" s="350"/>
      <c r="AX14" s="286"/>
      <c r="AY14" s="286"/>
      <c r="AZ14" s="289"/>
      <c r="BA14" s="291"/>
    </row>
    <row r="15" spans="1:53" ht="16" thickBot="1" x14ac:dyDescent="0.25">
      <c r="A15" s="25">
        <v>0</v>
      </c>
      <c r="B15" s="26">
        <v>45391</v>
      </c>
      <c r="C15" s="27" t="s">
        <v>227</v>
      </c>
      <c r="D15" s="25"/>
      <c r="E15" s="28"/>
      <c r="F15" s="27"/>
      <c r="G15" s="28"/>
      <c r="H15" s="27"/>
      <c r="I15" s="28"/>
      <c r="J15" s="27">
        <v>4</v>
      </c>
      <c r="K15" s="29" t="s">
        <v>35</v>
      </c>
      <c r="L15" s="30" t="s">
        <v>160</v>
      </c>
      <c r="M15" s="31" t="s">
        <v>381</v>
      </c>
      <c r="N15" s="27"/>
      <c r="P15" s="32"/>
      <c r="Q15" s="25"/>
      <c r="R15" s="27"/>
      <c r="S15" s="27"/>
      <c r="T15" s="28"/>
      <c r="U15" s="27"/>
      <c r="V15" s="27"/>
      <c r="W15" s="28"/>
      <c r="X15" s="33"/>
      <c r="Y15" s="32"/>
      <c r="Z15" s="25"/>
      <c r="AA15" s="27"/>
      <c r="AB15" s="28"/>
      <c r="AC15" s="27"/>
      <c r="AD15" s="27"/>
      <c r="AE15" s="33"/>
      <c r="AG15" s="25"/>
      <c r="AH15" s="34"/>
      <c r="AI15" s="27"/>
      <c r="AJ15" s="27"/>
      <c r="AK15" s="27"/>
      <c r="AL15" s="25"/>
      <c r="AM15" s="35"/>
      <c r="AN15" s="27"/>
      <c r="AO15" s="27"/>
      <c r="AP15" s="36"/>
      <c r="AQ15" s="37"/>
      <c r="AR15" s="32"/>
      <c r="AS15" s="25"/>
      <c r="AT15" s="27"/>
      <c r="AU15" s="27"/>
      <c r="AW15" s="25"/>
      <c r="AX15" s="27"/>
      <c r="AY15" s="27"/>
      <c r="AZ15" s="32"/>
      <c r="BA15" s="38"/>
    </row>
    <row r="16" spans="1:53" ht="16" thickBot="1" x14ac:dyDescent="0.25">
      <c r="A16" s="25">
        <v>1</v>
      </c>
      <c r="B16" s="26">
        <v>45392</v>
      </c>
      <c r="C16" s="27" t="s">
        <v>227</v>
      </c>
      <c r="D16" s="25"/>
      <c r="E16" s="28"/>
      <c r="F16" s="27"/>
      <c r="G16" s="28"/>
      <c r="H16" s="27"/>
      <c r="I16" s="28"/>
      <c r="J16" s="27">
        <v>4</v>
      </c>
      <c r="K16" s="29" t="s">
        <v>35</v>
      </c>
      <c r="L16" s="39"/>
      <c r="M16" s="31" t="s">
        <v>389</v>
      </c>
      <c r="N16" s="27"/>
      <c r="P16" s="32"/>
      <c r="Q16" s="40"/>
      <c r="R16" s="27"/>
      <c r="S16" s="27"/>
      <c r="T16" s="28"/>
      <c r="U16" s="27"/>
      <c r="V16" s="27"/>
      <c r="W16" s="28"/>
      <c r="X16" s="33"/>
      <c r="Y16" s="32"/>
      <c r="Z16" s="25"/>
      <c r="AA16" s="27"/>
      <c r="AB16" s="28"/>
      <c r="AC16" s="27"/>
      <c r="AD16" s="27"/>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2</v>
      </c>
      <c r="B17" s="26">
        <v>45393</v>
      </c>
      <c r="C17" s="27" t="s">
        <v>227</v>
      </c>
      <c r="D17" s="25"/>
      <c r="E17" s="28"/>
      <c r="F17" s="27"/>
      <c r="G17" s="28"/>
      <c r="H17" s="27"/>
      <c r="I17" s="28"/>
      <c r="J17" s="27">
        <v>4</v>
      </c>
      <c r="K17" s="29" t="s">
        <v>35</v>
      </c>
      <c r="L17" s="39"/>
      <c r="M17" s="31" t="s">
        <v>390</v>
      </c>
      <c r="N17" s="27"/>
      <c r="O17" s="42"/>
      <c r="Q17" s="43" t="s">
        <v>37</v>
      </c>
      <c r="R17" s="27"/>
      <c r="S17" s="27"/>
      <c r="T17" s="28"/>
      <c r="U17" s="27"/>
      <c r="V17" s="27"/>
      <c r="W17" s="28"/>
      <c r="X17" s="33"/>
      <c r="Y17" s="32"/>
      <c r="Z17" s="25"/>
      <c r="AA17" s="27"/>
      <c r="AB17" s="28"/>
      <c r="AC17" s="27"/>
      <c r="AD17" s="27"/>
      <c r="AE17" s="33"/>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3</v>
      </c>
      <c r="B18" s="26">
        <v>45394</v>
      </c>
      <c r="C18" s="27" t="s">
        <v>200</v>
      </c>
      <c r="D18" s="25"/>
      <c r="E18" s="28"/>
      <c r="F18" s="27"/>
      <c r="G18" s="28"/>
      <c r="H18" s="27"/>
      <c r="I18" s="28"/>
      <c r="J18" s="27">
        <v>6</v>
      </c>
      <c r="K18" s="29" t="s">
        <v>35</v>
      </c>
      <c r="L18" s="44" t="s">
        <v>287</v>
      </c>
      <c r="M18" s="31" t="s">
        <v>391</v>
      </c>
      <c r="N18" s="27" t="s">
        <v>240</v>
      </c>
      <c r="O18" s="45" t="s">
        <v>41</v>
      </c>
      <c r="P18" s="46"/>
      <c r="Q18" s="25"/>
      <c r="R18" s="27"/>
      <c r="S18" s="27"/>
      <c r="T18" s="28"/>
      <c r="U18" s="27">
        <v>5</v>
      </c>
      <c r="V18" s="27"/>
      <c r="W18" s="28">
        <v>5</v>
      </c>
      <c r="X18" s="47" t="s">
        <v>43</v>
      </c>
      <c r="Y18" s="32"/>
      <c r="Z18" s="25"/>
      <c r="AA18" s="27"/>
      <c r="AB18" s="28"/>
      <c r="AC18" s="27">
        <v>3</v>
      </c>
      <c r="AD18" s="27">
        <v>2</v>
      </c>
      <c r="AE18" s="48" t="s">
        <v>342</v>
      </c>
      <c r="AG18" s="25"/>
      <c r="AH18" s="34"/>
      <c r="AI18" s="27"/>
      <c r="AJ18" s="27"/>
      <c r="AK18" s="27"/>
      <c r="AL18" s="25"/>
      <c r="AM18" s="34"/>
      <c r="AN18" s="27"/>
      <c r="AO18" s="27"/>
      <c r="AP18" s="36"/>
      <c r="AQ18" s="37"/>
      <c r="AR18" s="32"/>
      <c r="AS18" s="25"/>
      <c r="AT18" s="27"/>
      <c r="AU18" s="27"/>
      <c r="AW18" s="25"/>
      <c r="AX18" s="27"/>
      <c r="AY18" s="27"/>
      <c r="AZ18" s="32"/>
      <c r="BA18" s="41"/>
    </row>
    <row r="19" spans="1:53" x14ac:dyDescent="0.2">
      <c r="A19" s="25">
        <v>4</v>
      </c>
      <c r="B19" s="26">
        <v>45395</v>
      </c>
      <c r="C19" s="27" t="s">
        <v>200</v>
      </c>
      <c r="D19" s="25"/>
      <c r="E19" s="28"/>
      <c r="F19" s="27"/>
      <c r="G19" s="28"/>
      <c r="H19" s="27"/>
      <c r="I19" s="28"/>
      <c r="J19" s="27">
        <v>6</v>
      </c>
      <c r="K19" s="29" t="s">
        <v>35</v>
      </c>
      <c r="L19" s="39"/>
      <c r="M19" s="31"/>
      <c r="N19" s="27" t="s">
        <v>240</v>
      </c>
      <c r="O19" t="s">
        <v>46</v>
      </c>
      <c r="P19" s="32"/>
      <c r="Q19" s="25"/>
      <c r="R19" s="27"/>
      <c r="S19" s="27"/>
      <c r="T19" s="28"/>
      <c r="U19" s="27">
        <v>5</v>
      </c>
      <c r="V19" s="27"/>
      <c r="W19" s="28">
        <v>5</v>
      </c>
      <c r="X19" s="345" t="s">
        <v>47</v>
      </c>
      <c r="Y19" s="32"/>
      <c r="Z19" s="25"/>
      <c r="AA19" s="27"/>
      <c r="AB19" s="28"/>
      <c r="AC19" s="27">
        <v>3</v>
      </c>
      <c r="AD19" s="27">
        <v>2</v>
      </c>
      <c r="AE19" s="33"/>
      <c r="AG19" s="25"/>
      <c r="AH19" s="34"/>
      <c r="AI19" s="27"/>
      <c r="AJ19" s="27"/>
      <c r="AK19" s="27"/>
      <c r="AL19" s="25"/>
      <c r="AM19" s="34"/>
      <c r="AN19" s="27"/>
      <c r="AO19" s="27"/>
      <c r="AP19" s="36"/>
      <c r="AQ19" s="37"/>
      <c r="AR19" s="32"/>
      <c r="AS19" s="25"/>
      <c r="AT19" s="27"/>
      <c r="AU19" s="27"/>
      <c r="AW19" s="25"/>
      <c r="AX19" s="27"/>
      <c r="AY19" s="27"/>
      <c r="AZ19" s="32"/>
      <c r="BA19" s="41"/>
    </row>
    <row r="20" spans="1:53" x14ac:dyDescent="0.2">
      <c r="A20" s="25">
        <v>5</v>
      </c>
      <c r="B20" s="26">
        <v>45396</v>
      </c>
      <c r="C20" s="27" t="s">
        <v>232</v>
      </c>
      <c r="D20" s="25"/>
      <c r="E20" s="28"/>
      <c r="F20" s="27"/>
      <c r="G20" s="28"/>
      <c r="H20" s="27"/>
      <c r="I20" s="28"/>
      <c r="J20" s="27">
        <v>6</v>
      </c>
      <c r="K20" s="29" t="s">
        <v>35</v>
      </c>
      <c r="L20" s="39"/>
      <c r="M20" s="31"/>
      <c r="N20" s="27" t="s">
        <v>240</v>
      </c>
      <c r="P20" s="32"/>
      <c r="Q20" s="25"/>
      <c r="R20" s="27"/>
      <c r="S20" s="27"/>
      <c r="T20" s="28"/>
      <c r="U20" s="27">
        <v>5</v>
      </c>
      <c r="V20" s="27"/>
      <c r="W20" s="28">
        <v>5</v>
      </c>
      <c r="X20" s="346"/>
      <c r="Y20" s="32"/>
      <c r="Z20" s="25"/>
      <c r="AA20" s="27"/>
      <c r="AB20" s="28"/>
      <c r="AC20" s="27">
        <v>3</v>
      </c>
      <c r="AD20" s="27">
        <v>2</v>
      </c>
      <c r="AE20" s="33"/>
      <c r="AG20" s="25"/>
      <c r="AH20" s="34"/>
      <c r="AI20" s="27"/>
      <c r="AJ20" s="27"/>
      <c r="AK20" s="27"/>
      <c r="AL20" s="25"/>
      <c r="AM20" s="34"/>
      <c r="AN20" s="27"/>
      <c r="AO20" s="27"/>
      <c r="AP20" s="36"/>
      <c r="AQ20" s="37"/>
      <c r="AR20" s="32"/>
      <c r="AS20" s="25"/>
      <c r="AT20" s="27"/>
      <c r="AU20" s="27"/>
      <c r="AW20" s="25"/>
      <c r="AX20" s="27"/>
      <c r="AY20" s="27"/>
      <c r="AZ20" s="32"/>
      <c r="BA20" s="41"/>
    </row>
    <row r="21" spans="1:53" x14ac:dyDescent="0.2">
      <c r="A21" s="25">
        <v>6</v>
      </c>
      <c r="B21" s="26">
        <v>45397</v>
      </c>
      <c r="C21" s="27" t="s">
        <v>232</v>
      </c>
      <c r="D21" s="25"/>
      <c r="E21" s="28"/>
      <c r="F21" s="27"/>
      <c r="G21" s="28"/>
      <c r="H21" s="27"/>
      <c r="I21" s="28"/>
      <c r="J21" s="27">
        <v>6</v>
      </c>
      <c r="K21" s="29" t="s">
        <v>35</v>
      </c>
      <c r="L21" s="39"/>
      <c r="M21" s="31" t="s">
        <v>395</v>
      </c>
      <c r="N21" s="27" t="s">
        <v>240</v>
      </c>
      <c r="P21" s="32"/>
      <c r="Q21" s="25"/>
      <c r="R21" s="27"/>
      <c r="S21" s="27"/>
      <c r="T21" s="28"/>
      <c r="U21" s="27">
        <v>5</v>
      </c>
      <c r="V21" s="27"/>
      <c r="W21" s="28">
        <v>5</v>
      </c>
      <c r="X21" s="346"/>
      <c r="Y21" s="32"/>
      <c r="Z21" s="25"/>
      <c r="AA21" s="27"/>
      <c r="AB21" s="28"/>
      <c r="AC21" s="27">
        <v>3</v>
      </c>
      <c r="AD21" s="27">
        <v>2</v>
      </c>
      <c r="AE21" s="33"/>
      <c r="AG21" s="25"/>
      <c r="AH21" s="34"/>
      <c r="AI21" s="27"/>
      <c r="AJ21" s="27"/>
      <c r="AK21" s="27"/>
      <c r="AL21" s="25"/>
      <c r="AM21" s="34"/>
      <c r="AN21" s="27"/>
      <c r="AO21" s="27"/>
      <c r="AP21" s="36"/>
      <c r="AQ21" s="37"/>
      <c r="AR21" s="32"/>
      <c r="AS21" s="25"/>
      <c r="AT21" s="27"/>
      <c r="AU21" s="27"/>
      <c r="AW21" s="25"/>
      <c r="AX21" s="27"/>
      <c r="AY21" s="27"/>
      <c r="AZ21" s="32"/>
      <c r="BA21" s="41"/>
    </row>
    <row r="22" spans="1:53" x14ac:dyDescent="0.2">
      <c r="A22" s="25">
        <v>7</v>
      </c>
      <c r="B22" s="26">
        <v>45398</v>
      </c>
      <c r="C22" s="27" t="s">
        <v>200</v>
      </c>
      <c r="D22" s="25"/>
      <c r="E22" s="28"/>
      <c r="F22" s="27"/>
      <c r="G22" s="28"/>
      <c r="H22" s="27"/>
      <c r="I22" s="28"/>
      <c r="J22" s="27">
        <v>6</v>
      </c>
      <c r="K22" s="29" t="s">
        <v>35</v>
      </c>
      <c r="L22" s="39"/>
      <c r="M22" s="31" t="s">
        <v>397</v>
      </c>
      <c r="N22" s="27" t="s">
        <v>240</v>
      </c>
      <c r="P22" s="32"/>
      <c r="Q22" s="25"/>
      <c r="R22" s="27"/>
      <c r="S22" s="27"/>
      <c r="T22" s="28"/>
      <c r="U22" s="27">
        <v>5</v>
      </c>
      <c r="V22" s="27"/>
      <c r="W22" s="28">
        <v>5</v>
      </c>
      <c r="X22" s="346"/>
      <c r="Y22" s="32"/>
      <c r="Z22" s="25"/>
      <c r="AA22" s="27"/>
      <c r="AB22" s="28"/>
      <c r="AC22" s="27">
        <v>3</v>
      </c>
      <c r="AD22" s="27">
        <v>2</v>
      </c>
      <c r="AE22" s="33"/>
      <c r="AG22" s="25"/>
      <c r="AH22" s="34"/>
      <c r="AI22" s="27"/>
      <c r="AJ22" s="27"/>
      <c r="AK22" s="27"/>
      <c r="AL22" s="25"/>
      <c r="AM22" s="34"/>
      <c r="AN22" s="27"/>
      <c r="AO22" s="27"/>
      <c r="AP22" s="36"/>
      <c r="AQ22" s="37"/>
      <c r="AR22" s="32"/>
      <c r="AS22" s="25"/>
      <c r="AT22" s="27"/>
      <c r="AU22" s="27"/>
      <c r="AW22" s="25"/>
      <c r="AX22" s="27"/>
      <c r="AY22" s="27"/>
      <c r="AZ22" s="32"/>
      <c r="BA22" s="41"/>
    </row>
    <row r="23" spans="1:53" x14ac:dyDescent="0.2">
      <c r="A23" s="25">
        <v>8</v>
      </c>
      <c r="B23" s="26">
        <v>45399</v>
      </c>
      <c r="C23" s="27" t="s">
        <v>227</v>
      </c>
      <c r="D23" s="25"/>
      <c r="E23" s="28"/>
      <c r="F23" s="27"/>
      <c r="G23" s="28"/>
      <c r="H23" s="27"/>
      <c r="I23" s="28"/>
      <c r="J23" s="27">
        <v>6</v>
      </c>
      <c r="K23" s="29" t="s">
        <v>35</v>
      </c>
      <c r="L23" s="39"/>
      <c r="M23" s="31"/>
      <c r="N23" s="27" t="s">
        <v>240</v>
      </c>
      <c r="P23" s="32"/>
      <c r="Q23" s="25"/>
      <c r="R23" s="27"/>
      <c r="S23" s="27"/>
      <c r="T23" s="28"/>
      <c r="U23" s="27">
        <v>5</v>
      </c>
      <c r="V23" s="27"/>
      <c r="W23" s="28">
        <v>5</v>
      </c>
      <c r="X23" s="346"/>
      <c r="Y23" s="32"/>
      <c r="Z23" s="25"/>
      <c r="AA23" s="27"/>
      <c r="AB23" s="28"/>
      <c r="AC23" s="27">
        <v>3</v>
      </c>
      <c r="AD23" s="27">
        <v>2</v>
      </c>
      <c r="AE23" s="33"/>
      <c r="AG23" s="25"/>
      <c r="AH23" s="34"/>
      <c r="AI23" s="27"/>
      <c r="AJ23" s="27"/>
      <c r="AK23" s="27"/>
      <c r="AL23" s="25"/>
      <c r="AM23" s="34"/>
      <c r="AN23" s="27"/>
      <c r="AO23" s="27"/>
      <c r="AP23" s="36"/>
      <c r="AQ23" s="37"/>
      <c r="AR23" s="32"/>
      <c r="AS23" s="25"/>
      <c r="AT23" s="27"/>
      <c r="AU23" s="27"/>
      <c r="AW23" s="25"/>
      <c r="AX23" s="27"/>
      <c r="AY23" s="27"/>
      <c r="AZ23" s="32"/>
      <c r="BA23" s="41"/>
    </row>
    <row r="24" spans="1:53" ht="16" thickBot="1" x14ac:dyDescent="0.25">
      <c r="A24" s="25">
        <v>9</v>
      </c>
      <c r="B24" s="26">
        <v>45400</v>
      </c>
      <c r="C24" s="27" t="s">
        <v>400</v>
      </c>
      <c r="D24" s="25"/>
      <c r="E24" s="28"/>
      <c r="F24" s="27"/>
      <c r="G24" s="28"/>
      <c r="H24" s="27"/>
      <c r="I24" s="28"/>
      <c r="J24" s="27">
        <v>6</v>
      </c>
      <c r="K24" s="29" t="s">
        <v>35</v>
      </c>
      <c r="L24" s="39"/>
      <c r="M24" s="31"/>
      <c r="N24" s="27" t="s">
        <v>240</v>
      </c>
      <c r="P24" s="32"/>
      <c r="Q24" s="25"/>
      <c r="R24" s="27"/>
      <c r="S24" s="27"/>
      <c r="T24" s="28"/>
      <c r="U24" s="27">
        <v>5</v>
      </c>
      <c r="V24" s="27"/>
      <c r="W24" s="28">
        <v>5</v>
      </c>
      <c r="X24" s="346"/>
      <c r="Y24" s="32"/>
      <c r="Z24" s="25"/>
      <c r="AA24" s="27"/>
      <c r="AB24" s="28"/>
      <c r="AC24" s="27">
        <v>3</v>
      </c>
      <c r="AD24" s="27">
        <v>2</v>
      </c>
      <c r="AE24" s="33"/>
      <c r="AG24" s="25"/>
      <c r="AH24" s="34"/>
      <c r="AI24" s="27"/>
      <c r="AJ24" s="27"/>
      <c r="AK24" s="27"/>
      <c r="AL24" s="25"/>
      <c r="AM24" s="34"/>
      <c r="AN24" s="27"/>
      <c r="AO24" s="27"/>
      <c r="AP24" s="36"/>
      <c r="AQ24" s="37"/>
      <c r="AR24" s="32"/>
      <c r="AS24" s="25"/>
      <c r="AT24" s="27"/>
      <c r="AU24" s="27"/>
      <c r="AW24" s="25"/>
      <c r="AX24" s="27"/>
      <c r="AY24" s="27"/>
      <c r="AZ24" s="32"/>
      <c r="BA24" s="41"/>
    </row>
    <row r="25" spans="1:53" ht="16" thickBot="1" x14ac:dyDescent="0.25">
      <c r="A25" s="25">
        <v>10</v>
      </c>
      <c r="B25" s="26">
        <v>45401</v>
      </c>
      <c r="C25" s="27" t="s">
        <v>200</v>
      </c>
      <c r="D25" s="25"/>
      <c r="E25" s="28"/>
      <c r="F25" s="27"/>
      <c r="G25" s="28"/>
      <c r="H25" s="27"/>
      <c r="I25" s="28"/>
      <c r="J25" s="27">
        <v>6</v>
      </c>
      <c r="K25" s="29" t="s">
        <v>35</v>
      </c>
      <c r="L25" s="39" t="s">
        <v>401</v>
      </c>
      <c r="M25" s="31" t="s">
        <v>405</v>
      </c>
      <c r="N25" s="27" t="s">
        <v>240</v>
      </c>
      <c r="O25" s="49"/>
      <c r="P25" s="32"/>
      <c r="Q25" s="25"/>
      <c r="R25" s="27"/>
      <c r="S25" s="27"/>
      <c r="T25" s="28"/>
      <c r="U25" s="27">
        <v>5</v>
      </c>
      <c r="V25" s="27"/>
      <c r="W25" s="28">
        <v>5</v>
      </c>
      <c r="X25" s="346"/>
      <c r="Y25" s="32"/>
      <c r="Z25" s="25"/>
      <c r="AA25" s="27"/>
      <c r="AB25" s="28"/>
      <c r="AC25" s="27">
        <v>5</v>
      </c>
      <c r="AD25" s="27">
        <v>5</v>
      </c>
      <c r="AE25" s="50" t="s">
        <v>343</v>
      </c>
      <c r="AG25" s="25"/>
      <c r="AH25" s="34"/>
      <c r="AI25" s="27"/>
      <c r="AJ25" s="27"/>
      <c r="AK25" s="27"/>
      <c r="AL25" s="25"/>
      <c r="AM25" s="34"/>
      <c r="AN25" s="27"/>
      <c r="AO25" s="27"/>
      <c r="AP25" s="36"/>
      <c r="AQ25" s="37"/>
      <c r="AR25" s="32"/>
      <c r="AS25" s="25"/>
      <c r="AT25" s="27"/>
      <c r="AU25" s="27"/>
      <c r="AW25" s="25"/>
      <c r="AX25" s="27"/>
      <c r="AY25" s="27"/>
      <c r="AZ25" s="32"/>
      <c r="BA25" s="41"/>
    </row>
    <row r="26" spans="1:53" ht="16" thickBot="1" x14ac:dyDescent="0.25">
      <c r="A26" s="25">
        <v>11</v>
      </c>
      <c r="B26" s="26">
        <v>45402</v>
      </c>
      <c r="C26" s="27" t="s">
        <v>200</v>
      </c>
      <c r="D26" s="25"/>
      <c r="E26" s="28"/>
      <c r="F26" s="27"/>
      <c r="G26" s="28"/>
      <c r="H26" s="27"/>
      <c r="I26" s="28"/>
      <c r="J26" s="27">
        <v>6</v>
      </c>
      <c r="K26" s="29" t="s">
        <v>35</v>
      </c>
      <c r="L26" s="52"/>
      <c r="M26" s="31"/>
      <c r="N26" s="27" t="s">
        <v>240</v>
      </c>
      <c r="P26" s="32"/>
      <c r="Q26" s="25"/>
      <c r="R26" s="27"/>
      <c r="S26" s="27"/>
      <c r="T26" s="28"/>
      <c r="U26" s="27">
        <v>5</v>
      </c>
      <c r="V26" s="27"/>
      <c r="W26" s="28">
        <v>5</v>
      </c>
      <c r="X26" s="347"/>
      <c r="Y26" s="32"/>
      <c r="Z26" s="25"/>
      <c r="AA26" s="27"/>
      <c r="AB26" s="28"/>
      <c r="AC26" s="27">
        <v>5</v>
      </c>
      <c r="AD26" s="27">
        <v>5</v>
      </c>
      <c r="AE26" s="33"/>
      <c r="AF26" s="32"/>
      <c r="AG26" s="25"/>
      <c r="AH26" s="34"/>
      <c r="AI26" s="27"/>
      <c r="AJ26" s="27"/>
      <c r="AK26" s="27"/>
      <c r="AL26" s="25"/>
      <c r="AM26" s="34"/>
      <c r="AN26" s="27"/>
      <c r="AO26" s="27"/>
      <c r="AP26" s="36"/>
      <c r="AQ26" s="37"/>
      <c r="AR26" s="32"/>
      <c r="AS26" s="25"/>
      <c r="AT26" s="27"/>
      <c r="AU26" s="27"/>
      <c r="AW26" s="25"/>
      <c r="AX26" s="27"/>
      <c r="AY26" s="27"/>
      <c r="AZ26" s="32"/>
      <c r="BA26" s="41"/>
    </row>
    <row r="27" spans="1:53" ht="16" thickBot="1" x14ac:dyDescent="0.25">
      <c r="A27" s="25">
        <v>12</v>
      </c>
      <c r="B27" s="26">
        <v>45403</v>
      </c>
      <c r="C27" s="27" t="s">
        <v>232</v>
      </c>
      <c r="D27" s="25"/>
      <c r="E27" s="28"/>
      <c r="F27" s="27"/>
      <c r="G27" s="28"/>
      <c r="H27" s="27"/>
      <c r="I27" s="28"/>
      <c r="J27" s="27">
        <v>6</v>
      </c>
      <c r="K27" s="29" t="s">
        <v>35</v>
      </c>
      <c r="L27" s="53"/>
      <c r="M27" s="31" t="s">
        <v>404</v>
      </c>
      <c r="N27" s="27" t="s">
        <v>240</v>
      </c>
      <c r="P27" s="32"/>
      <c r="Q27" s="25"/>
      <c r="R27" s="27"/>
      <c r="S27" s="27"/>
      <c r="T27" s="28"/>
      <c r="U27" s="27">
        <v>1</v>
      </c>
      <c r="V27" s="27"/>
      <c r="W27" s="28">
        <v>1</v>
      </c>
      <c r="X27" s="54" t="s">
        <v>49</v>
      </c>
      <c r="Y27" s="32"/>
      <c r="Z27" s="25"/>
      <c r="AA27" s="27"/>
      <c r="AB27" s="28"/>
      <c r="AC27" s="27">
        <v>10</v>
      </c>
      <c r="AD27" s="27">
        <v>5</v>
      </c>
      <c r="AE27" s="50" t="s">
        <v>344</v>
      </c>
      <c r="AG27" s="25"/>
      <c r="AH27" s="34"/>
      <c r="AI27" s="27"/>
      <c r="AJ27" s="27"/>
      <c r="AK27" s="27"/>
      <c r="AL27" s="25"/>
      <c r="AM27" s="34"/>
      <c r="AN27" s="27"/>
      <c r="AO27" s="27"/>
      <c r="AP27" s="36"/>
      <c r="AQ27" s="37"/>
      <c r="AR27" s="32"/>
      <c r="AS27" s="25"/>
      <c r="AT27" s="27"/>
      <c r="AU27" s="27"/>
      <c r="AW27" s="25"/>
      <c r="AX27" s="27"/>
      <c r="AY27" s="27"/>
      <c r="AZ27" s="32"/>
      <c r="BA27" s="41"/>
    </row>
    <row r="28" spans="1:53" ht="16" thickBot="1" x14ac:dyDescent="0.25">
      <c r="A28" s="25">
        <v>13</v>
      </c>
      <c r="B28" s="26">
        <v>45404</v>
      </c>
      <c r="C28" s="27" t="s">
        <v>232</v>
      </c>
      <c r="D28" s="25"/>
      <c r="E28" s="28"/>
      <c r="F28" s="27"/>
      <c r="G28" s="28"/>
      <c r="H28" s="27"/>
      <c r="I28" s="28"/>
      <c r="J28" s="27">
        <v>6</v>
      </c>
      <c r="K28" s="29" t="s">
        <v>35</v>
      </c>
      <c r="L28" s="39"/>
      <c r="M28" s="31" t="s">
        <v>407</v>
      </c>
      <c r="N28" s="27" t="s">
        <v>240</v>
      </c>
      <c r="P28" s="32"/>
      <c r="Q28" s="25"/>
      <c r="R28" s="27"/>
      <c r="S28" s="27"/>
      <c r="T28" s="28"/>
      <c r="U28" s="27">
        <v>1</v>
      </c>
      <c r="V28" s="27"/>
      <c r="W28" s="28">
        <v>1</v>
      </c>
      <c r="X28" s="33"/>
      <c r="Y28" s="32"/>
      <c r="Z28" s="55"/>
      <c r="AA28" s="56"/>
      <c r="AB28" s="57"/>
      <c r="AC28" s="27">
        <v>10</v>
      </c>
      <c r="AD28" s="27">
        <v>5</v>
      </c>
      <c r="AE28" s="33"/>
      <c r="AG28" s="25"/>
      <c r="AH28" s="34"/>
      <c r="AI28" s="27"/>
      <c r="AJ28" s="27"/>
      <c r="AK28" s="27"/>
      <c r="AL28" s="25"/>
      <c r="AM28" s="34"/>
      <c r="AN28" s="27"/>
      <c r="AO28" s="27"/>
      <c r="AP28" s="36"/>
      <c r="AQ28" s="37"/>
      <c r="AR28" s="32"/>
      <c r="AS28" s="25"/>
      <c r="AT28" s="27"/>
      <c r="AU28" s="201"/>
      <c r="AW28" s="25"/>
      <c r="AX28" s="27"/>
      <c r="AY28" s="27"/>
      <c r="AZ28" s="32"/>
      <c r="BA28" s="41"/>
    </row>
    <row r="29" spans="1:53" ht="16" thickBot="1" x14ac:dyDescent="0.25">
      <c r="A29" s="25">
        <v>14</v>
      </c>
      <c r="B29" s="26">
        <v>45405</v>
      </c>
      <c r="C29" s="27" t="s">
        <v>232</v>
      </c>
      <c r="D29" s="25"/>
      <c r="E29" s="28"/>
      <c r="F29" s="27"/>
      <c r="G29" s="28"/>
      <c r="H29" s="27"/>
      <c r="I29" s="28"/>
      <c r="J29" s="27">
        <v>6</v>
      </c>
      <c r="K29" s="29" t="s">
        <v>35</v>
      </c>
      <c r="L29" s="39"/>
      <c r="M29" s="31"/>
      <c r="N29" s="27" t="s">
        <v>240</v>
      </c>
      <c r="P29" s="32"/>
      <c r="Q29" s="25"/>
      <c r="R29" s="27"/>
      <c r="S29" s="27"/>
      <c r="T29" s="28"/>
      <c r="U29" s="27">
        <v>1</v>
      </c>
      <c r="V29" s="27"/>
      <c r="W29" s="28">
        <v>1</v>
      </c>
      <c r="X29" s="33"/>
      <c r="Y29" s="32"/>
      <c r="Z29" s="59"/>
      <c r="AA29" s="60"/>
      <c r="AB29" s="61"/>
      <c r="AC29" s="27">
        <v>10</v>
      </c>
      <c r="AD29" s="27">
        <v>5</v>
      </c>
      <c r="AE29" s="33"/>
      <c r="AG29" s="25"/>
      <c r="AH29" s="34"/>
      <c r="AI29" s="27"/>
      <c r="AJ29" s="27"/>
      <c r="AK29" s="27"/>
      <c r="AL29" s="25"/>
      <c r="AM29" s="34"/>
      <c r="AN29" s="27"/>
      <c r="AO29" s="27"/>
      <c r="AP29" s="36"/>
      <c r="AQ29" s="37"/>
      <c r="AR29" s="32"/>
      <c r="AS29" s="25"/>
      <c r="AT29" s="27"/>
      <c r="AW29" s="25"/>
      <c r="AX29" s="27"/>
      <c r="AY29" s="27"/>
      <c r="AZ29" s="32"/>
      <c r="BA29" s="62"/>
    </row>
    <row r="30" spans="1:53" ht="16" thickBot="1" x14ac:dyDescent="0.25">
      <c r="A30" s="25">
        <v>15</v>
      </c>
      <c r="B30" s="26">
        <v>45406</v>
      </c>
      <c r="C30" s="27" t="s">
        <v>232</v>
      </c>
      <c r="D30" s="25"/>
      <c r="E30" s="28"/>
      <c r="F30" s="27"/>
      <c r="G30" s="28"/>
      <c r="H30" s="27"/>
      <c r="I30" s="28"/>
      <c r="J30" s="27">
        <v>6</v>
      </c>
      <c r="K30" s="29" t="s">
        <v>35</v>
      </c>
      <c r="L30" s="39"/>
      <c r="M30" s="31"/>
      <c r="N30" s="27" t="s">
        <v>240</v>
      </c>
      <c r="P30" s="32"/>
      <c r="Q30" s="25"/>
      <c r="R30" s="27"/>
      <c r="S30" s="27"/>
      <c r="T30" s="28"/>
      <c r="U30" s="27">
        <v>1</v>
      </c>
      <c r="V30" s="27"/>
      <c r="W30" s="28">
        <v>1</v>
      </c>
      <c r="X30" s="33"/>
      <c r="Y30" s="32"/>
      <c r="Z30" s="25"/>
      <c r="AA30" s="27"/>
      <c r="AB30" s="28"/>
      <c r="AC30" s="27">
        <v>10</v>
      </c>
      <c r="AD30" s="27">
        <v>5</v>
      </c>
      <c r="AE30" s="33"/>
      <c r="AG30" s="25"/>
      <c r="AH30" s="34"/>
      <c r="AI30" s="27"/>
      <c r="AJ30" s="27"/>
      <c r="AK30" s="27"/>
      <c r="AL30" s="25"/>
      <c r="AM30" s="34"/>
      <c r="AN30" s="27"/>
      <c r="AO30" s="27"/>
      <c r="AP30" s="36"/>
      <c r="AQ30" s="37"/>
      <c r="AR30" s="32"/>
      <c r="AS30" s="25"/>
      <c r="AT30" s="27"/>
      <c r="AU30" s="201"/>
      <c r="AW30" s="25"/>
      <c r="AX30" s="27"/>
      <c r="AY30" s="27"/>
      <c r="AZ30" s="32"/>
      <c r="BA30" s="41"/>
    </row>
    <row r="31" spans="1:53" ht="16" thickBot="1" x14ac:dyDescent="0.25">
      <c r="A31" s="25">
        <v>16</v>
      </c>
      <c r="B31" s="26">
        <v>45407</v>
      </c>
      <c r="C31" s="27" t="s">
        <v>314</v>
      </c>
      <c r="D31" s="25"/>
      <c r="E31" s="28"/>
      <c r="F31" s="27"/>
      <c r="G31" s="28"/>
      <c r="H31" s="27"/>
      <c r="I31" s="28"/>
      <c r="J31" s="27">
        <v>6</v>
      </c>
      <c r="K31" s="29" t="s">
        <v>35</v>
      </c>
      <c r="L31" s="44" t="s">
        <v>288</v>
      </c>
      <c r="M31" s="31"/>
      <c r="N31" s="27" t="s">
        <v>240</v>
      </c>
      <c r="P31" s="32"/>
      <c r="Q31" s="25"/>
      <c r="R31" s="27"/>
      <c r="S31" s="27"/>
      <c r="T31" s="28"/>
      <c r="U31" s="27">
        <v>1</v>
      </c>
      <c r="V31" s="27"/>
      <c r="W31" s="28">
        <v>1</v>
      </c>
      <c r="X31" s="63" t="s">
        <v>60</v>
      </c>
      <c r="Y31" s="46" t="s">
        <v>61</v>
      </c>
      <c r="AB31" s="28"/>
      <c r="AC31" s="27">
        <v>10</v>
      </c>
      <c r="AD31" s="27">
        <v>5</v>
      </c>
      <c r="AE31" s="33"/>
      <c r="AG31" s="25"/>
      <c r="AH31" s="34"/>
      <c r="AI31" s="27"/>
      <c r="AJ31" s="27"/>
      <c r="AK31" s="27"/>
      <c r="AL31" s="25"/>
      <c r="AM31" s="34"/>
      <c r="AN31" s="27"/>
      <c r="AO31" s="27"/>
      <c r="AP31" s="36"/>
      <c r="AQ31" s="64"/>
      <c r="AR31" s="65"/>
      <c r="AS31" s="25"/>
      <c r="AT31" s="27"/>
      <c r="AU31" s="27"/>
      <c r="AW31" s="25"/>
      <c r="AX31" s="27"/>
      <c r="AY31" s="27"/>
      <c r="AZ31" s="32"/>
      <c r="BA31" s="41"/>
    </row>
    <row r="32" spans="1:53" x14ac:dyDescent="0.2">
      <c r="A32" s="25">
        <v>17</v>
      </c>
      <c r="B32" s="26">
        <v>45408</v>
      </c>
      <c r="C32" s="27" t="s">
        <v>200</v>
      </c>
      <c r="D32" s="25"/>
      <c r="E32" s="28"/>
      <c r="F32" s="27"/>
      <c r="G32" s="28"/>
      <c r="H32" s="27"/>
      <c r="I32" s="28"/>
      <c r="J32" s="27">
        <v>6</v>
      </c>
      <c r="K32" s="29" t="s">
        <v>35</v>
      </c>
      <c r="L32" s="39"/>
      <c r="M32" s="31"/>
      <c r="N32" s="27" t="s">
        <v>240</v>
      </c>
      <c r="P32" s="32"/>
      <c r="Q32" s="25"/>
      <c r="R32" s="27"/>
      <c r="S32" s="27"/>
      <c r="T32" s="28"/>
      <c r="U32" s="27"/>
      <c r="V32" s="27" t="s">
        <v>154</v>
      </c>
      <c r="W32" s="28"/>
      <c r="X32" s="33" t="s">
        <v>155</v>
      </c>
      <c r="Y32" s="32"/>
      <c r="Z32" s="25"/>
      <c r="AA32" s="27"/>
      <c r="AB32" s="28"/>
      <c r="AC32" s="27">
        <v>10</v>
      </c>
      <c r="AD32" s="27">
        <v>5</v>
      </c>
      <c r="AE32" s="33"/>
      <c r="AG32" s="25"/>
      <c r="AH32" s="34"/>
      <c r="AI32" s="27"/>
      <c r="AJ32" s="27"/>
      <c r="AK32" s="27"/>
      <c r="AL32" s="25"/>
      <c r="AM32" s="34"/>
      <c r="AN32" s="27"/>
      <c r="AO32" s="27"/>
      <c r="AP32" s="36"/>
      <c r="AQ32" s="37"/>
      <c r="AR32" s="32"/>
      <c r="AS32" s="25"/>
      <c r="AT32" s="27"/>
      <c r="AU32" s="27"/>
      <c r="AW32" s="25"/>
      <c r="AX32" s="27"/>
      <c r="AY32" s="27"/>
      <c r="AZ32" s="32"/>
      <c r="BA32" s="41"/>
    </row>
    <row r="33" spans="1:54" ht="16" thickBot="1" x14ac:dyDescent="0.25">
      <c r="A33" s="25">
        <v>18</v>
      </c>
      <c r="B33" s="26">
        <v>45409</v>
      </c>
      <c r="C33" s="27" t="s">
        <v>200</v>
      </c>
      <c r="D33" s="25"/>
      <c r="E33" s="28"/>
      <c r="F33" s="27"/>
      <c r="G33" s="28"/>
      <c r="H33" s="27"/>
      <c r="I33" s="28"/>
      <c r="J33" s="27">
        <v>6</v>
      </c>
      <c r="K33" s="29" t="s">
        <v>35</v>
      </c>
      <c r="L33" s="39"/>
      <c r="M33" s="31"/>
      <c r="N33" s="27" t="s">
        <v>240</v>
      </c>
      <c r="P33" s="66"/>
      <c r="Q33" s="25"/>
      <c r="R33" s="27"/>
      <c r="S33" s="27"/>
      <c r="T33" s="28"/>
      <c r="U33" s="27"/>
      <c r="V33" s="27" t="s">
        <v>154</v>
      </c>
      <c r="W33" s="28"/>
      <c r="X33" s="33"/>
      <c r="Y33" s="32"/>
      <c r="Z33" s="25"/>
      <c r="AA33" s="27"/>
      <c r="AB33" s="28"/>
      <c r="AC33" s="27">
        <v>10</v>
      </c>
      <c r="AD33" s="27">
        <v>5</v>
      </c>
      <c r="AE33" s="33"/>
      <c r="AG33" s="25"/>
      <c r="AH33" s="34"/>
      <c r="AI33" s="27">
        <v>2.5000000000000001E-2</v>
      </c>
      <c r="AJ33" s="27"/>
      <c r="AK33" s="27">
        <v>2.5000000000000001E-2</v>
      </c>
      <c r="AL33" s="25"/>
      <c r="AM33" s="34"/>
      <c r="AN33" s="27"/>
      <c r="AO33" s="27"/>
      <c r="AP33" s="36"/>
      <c r="AQ33" s="67" t="s">
        <v>65</v>
      </c>
      <c r="AR33" s="46" t="s">
        <v>350</v>
      </c>
      <c r="AS33" s="25"/>
      <c r="AT33" s="27"/>
      <c r="AW33" s="25"/>
      <c r="AX33" s="27"/>
      <c r="AY33" s="27"/>
      <c r="AZ33" s="32"/>
      <c r="BA33" s="41"/>
    </row>
    <row r="34" spans="1:54" ht="16" thickBot="1" x14ac:dyDescent="0.25">
      <c r="A34" s="25">
        <v>19</v>
      </c>
      <c r="B34" s="26">
        <v>45410</v>
      </c>
      <c r="C34" s="27" t="s">
        <v>232</v>
      </c>
      <c r="D34" s="25"/>
      <c r="E34" s="28"/>
      <c r="F34" s="27"/>
      <c r="G34" s="28"/>
      <c r="H34" s="27"/>
      <c r="I34" s="28"/>
      <c r="J34" s="27">
        <v>6</v>
      </c>
      <c r="K34" s="29" t="s">
        <v>35</v>
      </c>
      <c r="L34" s="39"/>
      <c r="M34" s="31" t="s">
        <v>411</v>
      </c>
      <c r="N34" s="27" t="s">
        <v>240</v>
      </c>
      <c r="P34" s="32"/>
      <c r="Q34" s="25"/>
      <c r="R34" s="27"/>
      <c r="S34" s="27"/>
      <c r="T34" s="28"/>
      <c r="U34" s="27"/>
      <c r="V34" s="27" t="s">
        <v>154</v>
      </c>
      <c r="W34" s="28"/>
      <c r="X34" s="33"/>
      <c r="Y34" s="32"/>
      <c r="Z34" s="25"/>
      <c r="AA34" s="27"/>
      <c r="AB34" s="28"/>
      <c r="AC34" s="27">
        <v>10</v>
      </c>
      <c r="AD34" s="27">
        <v>5</v>
      </c>
      <c r="AE34" s="33"/>
      <c r="AG34" s="25"/>
      <c r="AH34" s="34"/>
      <c r="AI34" s="27">
        <v>2.5000000000000001E-2</v>
      </c>
      <c r="AJ34" s="27"/>
      <c r="AK34" s="27">
        <v>2.5000000000000001E-2</v>
      </c>
      <c r="AL34" s="25"/>
      <c r="AM34" s="34"/>
      <c r="AN34" s="27"/>
      <c r="AO34" s="27"/>
      <c r="AP34" s="36"/>
      <c r="AQ34" s="203"/>
      <c r="AR34" s="32" t="s">
        <v>64</v>
      </c>
      <c r="AS34" s="25"/>
      <c r="AT34" s="27"/>
      <c r="AU34" s="27"/>
      <c r="AW34" s="25"/>
      <c r="AX34" s="27"/>
      <c r="AY34" s="27"/>
      <c r="AZ34" s="32"/>
      <c r="BA34" s="62"/>
    </row>
    <row r="35" spans="1:54" x14ac:dyDescent="0.2">
      <c r="A35" s="25">
        <v>20</v>
      </c>
      <c r="B35" s="26">
        <v>45411</v>
      </c>
      <c r="C35" s="27" t="s">
        <v>232</v>
      </c>
      <c r="D35" s="25"/>
      <c r="E35" s="28"/>
      <c r="F35" s="27"/>
      <c r="G35" s="28"/>
      <c r="H35" s="27"/>
      <c r="I35" s="28"/>
      <c r="J35" s="27">
        <v>6</v>
      </c>
      <c r="K35" s="29" t="s">
        <v>35</v>
      </c>
      <c r="L35" s="39"/>
      <c r="M35" s="197"/>
      <c r="N35" s="27" t="s">
        <v>240</v>
      </c>
      <c r="O35" s="306" t="s">
        <v>66</v>
      </c>
      <c r="P35" s="32"/>
      <c r="Q35" s="25"/>
      <c r="R35" s="27"/>
      <c r="S35" s="27"/>
      <c r="T35" s="28"/>
      <c r="U35" s="27"/>
      <c r="V35" s="27" t="s">
        <v>154</v>
      </c>
      <c r="W35" s="28"/>
      <c r="X35" s="33"/>
      <c r="Y35" s="32"/>
      <c r="Z35" s="25"/>
      <c r="AA35" s="27"/>
      <c r="AB35" s="28"/>
      <c r="AC35" s="27">
        <v>10</v>
      </c>
      <c r="AD35" s="27">
        <v>5</v>
      </c>
      <c r="AE35" s="33"/>
      <c r="AG35" s="25"/>
      <c r="AH35" s="34"/>
      <c r="AI35" s="27">
        <v>2.5000000000000001E-2</v>
      </c>
      <c r="AJ35" s="27"/>
      <c r="AK35" s="27">
        <v>2.5000000000000001E-2</v>
      </c>
      <c r="AL35" s="25"/>
      <c r="AM35" s="34"/>
      <c r="AN35" s="27"/>
      <c r="AO35" s="27"/>
      <c r="AP35" s="36"/>
      <c r="AQ35" s="37"/>
      <c r="AR35" s="32" t="s">
        <v>64</v>
      </c>
      <c r="AS35" s="25"/>
      <c r="AT35" s="27"/>
      <c r="AU35" s="27"/>
      <c r="AW35" s="25"/>
      <c r="AX35" s="27"/>
      <c r="AY35" s="27"/>
      <c r="AZ35" s="32"/>
      <c r="BA35" s="41"/>
    </row>
    <row r="36" spans="1:54" ht="17" thickBot="1" x14ac:dyDescent="0.25">
      <c r="A36" s="70">
        <v>21</v>
      </c>
      <c r="B36" s="26">
        <v>45412</v>
      </c>
      <c r="C36" s="71" t="s">
        <v>232</v>
      </c>
      <c r="D36" s="70"/>
      <c r="E36" s="72"/>
      <c r="F36" s="71"/>
      <c r="G36" s="72"/>
      <c r="H36" s="71"/>
      <c r="I36" s="72"/>
      <c r="J36" s="27">
        <v>6</v>
      </c>
      <c r="K36" s="29" t="s">
        <v>35</v>
      </c>
      <c r="L36" s="39"/>
      <c r="M36" s="198" t="s">
        <v>420</v>
      </c>
      <c r="N36" s="27" t="s">
        <v>240</v>
      </c>
      <c r="O36" s="307"/>
      <c r="P36" s="74"/>
      <c r="Q36" s="70"/>
      <c r="R36" s="71"/>
      <c r="S36" s="71"/>
      <c r="T36" s="72"/>
      <c r="U36" s="71"/>
      <c r="V36" s="71" t="s">
        <v>154</v>
      </c>
      <c r="W36" s="72"/>
      <c r="X36" s="33"/>
      <c r="Y36" s="75"/>
      <c r="Z36" s="70"/>
      <c r="AA36" s="71"/>
      <c r="AB36" s="72"/>
      <c r="AC36" s="27">
        <v>10</v>
      </c>
      <c r="AD36" s="71">
        <v>5</v>
      </c>
      <c r="AE36" s="33"/>
      <c r="AF36" s="76"/>
      <c r="AG36" s="70"/>
      <c r="AH36" s="77"/>
      <c r="AI36" s="27">
        <v>2.5000000000000001E-2</v>
      </c>
      <c r="AJ36" s="27"/>
      <c r="AK36" s="27">
        <v>2.5000000000000001E-2</v>
      </c>
      <c r="AL36" s="70"/>
      <c r="AM36" s="77"/>
      <c r="AN36" s="27"/>
      <c r="AO36" s="71"/>
      <c r="AP36" s="78"/>
      <c r="AQ36" s="37"/>
      <c r="AR36" s="32" t="s">
        <v>64</v>
      </c>
      <c r="AS36" s="70"/>
      <c r="AT36" s="27"/>
      <c r="AU36" s="71"/>
      <c r="AV36" s="76"/>
      <c r="AW36" s="70"/>
      <c r="AX36" s="71"/>
      <c r="AY36" s="71"/>
      <c r="AZ36" s="75"/>
      <c r="BA36" s="79"/>
    </row>
    <row r="37" spans="1:54" ht="16" thickBot="1" x14ac:dyDescent="0.25">
      <c r="A37" s="25">
        <v>22</v>
      </c>
      <c r="B37" s="26">
        <v>45413</v>
      </c>
      <c r="C37" s="27" t="s">
        <v>421</v>
      </c>
      <c r="D37" s="25"/>
      <c r="E37" s="28"/>
      <c r="F37" s="27"/>
      <c r="G37" s="28"/>
      <c r="H37" s="27"/>
      <c r="I37" s="28"/>
      <c r="J37" s="27">
        <v>6</v>
      </c>
      <c r="K37" s="29" t="s">
        <v>35</v>
      </c>
      <c r="L37" s="39"/>
      <c r="M37" s="197"/>
      <c r="N37" s="27" t="s">
        <v>240</v>
      </c>
      <c r="O37" s="307"/>
      <c r="P37" s="46"/>
      <c r="Q37" s="43"/>
      <c r="R37" s="27"/>
      <c r="S37" s="27"/>
      <c r="T37" s="28"/>
      <c r="U37" s="27"/>
      <c r="V37" s="27" t="s">
        <v>154</v>
      </c>
      <c r="W37" s="28"/>
      <c r="X37" s="33"/>
      <c r="Y37" s="32"/>
      <c r="Z37" s="60"/>
      <c r="AA37" s="60"/>
      <c r="AB37" s="61"/>
      <c r="AC37" s="27">
        <v>10</v>
      </c>
      <c r="AD37" s="27">
        <v>5</v>
      </c>
      <c r="AE37" s="33"/>
      <c r="AG37" s="25"/>
      <c r="AH37" s="34"/>
      <c r="AI37" s="27">
        <v>0.05</v>
      </c>
      <c r="AJ37" s="27"/>
      <c r="AK37" s="27">
        <v>0.05</v>
      </c>
      <c r="AL37" s="25"/>
      <c r="AM37" s="34"/>
      <c r="AN37" s="27"/>
      <c r="AO37" s="27"/>
      <c r="AP37" s="36"/>
      <c r="AQ37" s="37"/>
      <c r="AR37" s="32" t="s">
        <v>64</v>
      </c>
      <c r="AS37" s="25"/>
      <c r="AT37" s="27"/>
      <c r="AU37" s="27"/>
      <c r="AW37" s="25"/>
      <c r="AX37" s="27"/>
      <c r="AY37" s="27"/>
      <c r="AZ37" s="32"/>
      <c r="BA37" s="80" t="s">
        <v>68</v>
      </c>
    </row>
    <row r="38" spans="1:54" ht="16" thickBot="1" x14ac:dyDescent="0.25">
      <c r="A38" s="25">
        <v>23</v>
      </c>
      <c r="B38" s="26">
        <v>45414</v>
      </c>
      <c r="C38" s="27" t="s">
        <v>200</v>
      </c>
      <c r="D38" s="25"/>
      <c r="E38" s="28"/>
      <c r="F38" s="27"/>
      <c r="G38" s="28"/>
      <c r="H38" s="27"/>
      <c r="I38" s="28"/>
      <c r="J38" s="27">
        <v>6</v>
      </c>
      <c r="K38" s="29" t="s">
        <v>35</v>
      </c>
      <c r="L38" s="39"/>
      <c r="M38" s="31"/>
      <c r="N38" s="27" t="s">
        <v>240</v>
      </c>
      <c r="O38" s="307"/>
      <c r="P38" s="32"/>
      <c r="Q38" s="25"/>
      <c r="R38" s="27"/>
      <c r="S38" s="27"/>
      <c r="T38" s="28"/>
      <c r="U38" s="27"/>
      <c r="V38" s="27" t="s">
        <v>154</v>
      </c>
      <c r="W38" s="28"/>
      <c r="X38" s="33"/>
      <c r="Y38" s="32"/>
      <c r="Z38" s="25"/>
      <c r="AA38" s="27"/>
      <c r="AB38" s="28"/>
      <c r="AC38" s="27">
        <v>10</v>
      </c>
      <c r="AD38" s="27">
        <v>5</v>
      </c>
      <c r="AE38" s="33"/>
      <c r="AG38" s="25"/>
      <c r="AH38" s="34"/>
      <c r="AI38" s="27">
        <v>0.05</v>
      </c>
      <c r="AJ38" s="27"/>
      <c r="AK38" s="27">
        <v>0.05</v>
      </c>
      <c r="AL38" s="25"/>
      <c r="AM38" s="34"/>
      <c r="AN38" s="27"/>
      <c r="AO38" s="27"/>
      <c r="AP38" s="36"/>
      <c r="AQ38" s="37"/>
      <c r="AR38" s="32" t="s">
        <v>64</v>
      </c>
      <c r="AS38" s="25"/>
      <c r="AT38" s="27"/>
      <c r="AU38" s="201"/>
      <c r="AW38" s="25"/>
      <c r="AX38" s="27"/>
      <c r="AY38" s="27"/>
      <c r="AZ38" s="32"/>
      <c r="BA38" s="41">
        <v>3</v>
      </c>
    </row>
    <row r="39" spans="1:54" ht="16" thickBot="1" x14ac:dyDescent="0.25">
      <c r="A39" s="25">
        <v>24</v>
      </c>
      <c r="B39" s="26">
        <v>45415</v>
      </c>
      <c r="C39" s="27" t="s">
        <v>200</v>
      </c>
      <c r="D39" s="25"/>
      <c r="E39" s="28"/>
      <c r="F39" s="27"/>
      <c r="G39" s="28"/>
      <c r="H39" s="27"/>
      <c r="I39" s="28"/>
      <c r="J39" s="27">
        <v>6</v>
      </c>
      <c r="K39" s="29" t="s">
        <v>35</v>
      </c>
      <c r="L39" s="44" t="s">
        <v>289</v>
      </c>
      <c r="M39" s="31" t="s">
        <v>424</v>
      </c>
      <c r="N39" s="27" t="s">
        <v>240</v>
      </c>
      <c r="O39" s="307"/>
      <c r="P39" s="32"/>
      <c r="Q39" s="25"/>
      <c r="R39" s="27"/>
      <c r="S39" s="27"/>
      <c r="T39" s="28"/>
      <c r="U39" s="27"/>
      <c r="V39" s="27" t="s">
        <v>154</v>
      </c>
      <c r="W39" s="28"/>
      <c r="X39" s="33"/>
      <c r="Y39" s="32"/>
      <c r="Z39" s="25"/>
      <c r="AA39" s="27"/>
      <c r="AB39" s="28"/>
      <c r="AC39" s="27">
        <v>10</v>
      </c>
      <c r="AD39" s="27">
        <v>5</v>
      </c>
      <c r="AF39" s="46" t="s">
        <v>290</v>
      </c>
      <c r="AG39" s="25"/>
      <c r="AH39" s="34"/>
      <c r="AI39" s="27">
        <v>0.05</v>
      </c>
      <c r="AJ39" s="27"/>
      <c r="AK39" s="27">
        <v>0.05</v>
      </c>
      <c r="AL39" s="25"/>
      <c r="AM39" s="34"/>
      <c r="AN39" s="27"/>
      <c r="AO39" s="27"/>
      <c r="AP39" s="36"/>
      <c r="AQ39" s="37"/>
      <c r="AR39" s="46" t="s">
        <v>351</v>
      </c>
      <c r="AS39" s="25" t="s">
        <v>72</v>
      </c>
      <c r="AT39" s="27" t="s">
        <v>52</v>
      </c>
      <c r="AU39" s="58" t="s">
        <v>295</v>
      </c>
      <c r="AW39" s="25"/>
      <c r="AX39" s="27"/>
      <c r="AY39" s="27"/>
      <c r="AZ39" s="32"/>
      <c r="BA39" s="41">
        <v>15</v>
      </c>
    </row>
    <row r="40" spans="1:54" ht="16" thickBot="1" x14ac:dyDescent="0.25">
      <c r="A40" s="25">
        <v>25</v>
      </c>
      <c r="B40" s="26">
        <v>45416</v>
      </c>
      <c r="C40" s="27" t="s">
        <v>200</v>
      </c>
      <c r="D40" s="25"/>
      <c r="E40" s="28"/>
      <c r="F40" s="27"/>
      <c r="G40" s="28"/>
      <c r="H40" s="27"/>
      <c r="I40" s="28"/>
      <c r="J40" s="27">
        <v>6</v>
      </c>
      <c r="K40" s="29" t="s">
        <v>35</v>
      </c>
      <c r="L40" s="39"/>
      <c r="M40" s="31"/>
      <c r="N40" s="27" t="s">
        <v>240</v>
      </c>
      <c r="O40" s="307"/>
      <c r="P40" s="81"/>
      <c r="Q40" s="43"/>
      <c r="R40" s="27"/>
      <c r="S40" s="27"/>
      <c r="T40" s="28"/>
      <c r="U40" s="27"/>
      <c r="V40" s="27" t="s">
        <v>154</v>
      </c>
      <c r="W40" s="28"/>
      <c r="X40" s="33"/>
      <c r="Y40" s="32"/>
      <c r="Z40" s="27"/>
      <c r="AA40" s="27"/>
      <c r="AB40" s="28"/>
      <c r="AC40" s="27"/>
      <c r="AD40" s="27"/>
      <c r="AE40" s="27"/>
      <c r="AG40" s="25"/>
      <c r="AH40" s="34"/>
      <c r="AI40" s="27">
        <v>0.05</v>
      </c>
      <c r="AJ40" s="27">
        <v>0.05</v>
      </c>
      <c r="AK40" s="27">
        <v>0.05</v>
      </c>
      <c r="AL40" s="25"/>
      <c r="AM40" s="34"/>
      <c r="AN40" s="27"/>
      <c r="AO40" s="27"/>
      <c r="AP40" s="36"/>
      <c r="AQ40" s="37"/>
      <c r="AR40" s="32" t="s">
        <v>75</v>
      </c>
      <c r="AS40" s="25" t="s">
        <v>72</v>
      </c>
      <c r="AT40" s="27" t="s">
        <v>52</v>
      </c>
      <c r="AW40" s="25"/>
      <c r="AX40" s="27"/>
      <c r="AY40" s="27"/>
      <c r="AZ40" s="32"/>
      <c r="BA40" s="41">
        <v>3</v>
      </c>
    </row>
    <row r="41" spans="1:54" ht="16" thickBot="1" x14ac:dyDescent="0.25">
      <c r="A41" s="25">
        <v>26</v>
      </c>
      <c r="B41" s="26">
        <v>45417</v>
      </c>
      <c r="C41" s="27" t="s">
        <v>232</v>
      </c>
      <c r="D41" s="25"/>
      <c r="E41" s="28"/>
      <c r="F41" s="27"/>
      <c r="G41" s="28"/>
      <c r="H41" s="27"/>
      <c r="I41" s="28"/>
      <c r="J41" s="27">
        <v>6</v>
      </c>
      <c r="K41" s="29" t="s">
        <v>35</v>
      </c>
      <c r="L41" s="39"/>
      <c r="M41" s="31"/>
      <c r="N41" s="27" t="s">
        <v>240</v>
      </c>
      <c r="O41" s="307"/>
      <c r="P41" s="32"/>
      <c r="Q41" s="25"/>
      <c r="R41" s="27"/>
      <c r="S41" s="27"/>
      <c r="T41" s="28"/>
      <c r="U41" s="27"/>
      <c r="V41" s="27" t="s">
        <v>154</v>
      </c>
      <c r="W41" s="28"/>
      <c r="X41" s="33"/>
      <c r="Y41" s="32"/>
      <c r="Z41" s="25"/>
      <c r="AA41" s="27"/>
      <c r="AB41" s="28"/>
      <c r="AC41" s="27"/>
      <c r="AD41" s="27"/>
      <c r="AE41" s="33"/>
      <c r="AG41" s="25"/>
      <c r="AH41" s="34"/>
      <c r="AI41" s="27">
        <v>0.05</v>
      </c>
      <c r="AJ41" s="27">
        <v>0.05</v>
      </c>
      <c r="AK41" s="27">
        <v>0.05</v>
      </c>
      <c r="AL41" s="25"/>
      <c r="AM41" s="34"/>
      <c r="AN41" s="27"/>
      <c r="AO41" s="27"/>
      <c r="AP41" s="36"/>
      <c r="AQ41" s="37"/>
      <c r="AR41" s="32" t="s">
        <v>75</v>
      </c>
      <c r="AS41" s="25" t="s">
        <v>72</v>
      </c>
      <c r="AT41" s="27" t="s">
        <v>52</v>
      </c>
      <c r="AW41" s="25"/>
      <c r="AX41" s="27"/>
      <c r="AY41" s="27"/>
      <c r="AZ41" s="32"/>
      <c r="BA41" s="41">
        <v>26</v>
      </c>
    </row>
    <row r="42" spans="1:54" ht="16" thickBot="1" x14ac:dyDescent="0.25">
      <c r="A42" s="25">
        <v>27</v>
      </c>
      <c r="B42" s="26">
        <v>45418</v>
      </c>
      <c r="C42" s="27" t="s">
        <v>232</v>
      </c>
      <c r="D42" s="25"/>
      <c r="E42" s="28"/>
      <c r="F42" s="27"/>
      <c r="G42" s="28"/>
      <c r="H42" s="27"/>
      <c r="I42" s="28"/>
      <c r="J42" s="27">
        <v>6</v>
      </c>
      <c r="K42" s="29" t="s">
        <v>35</v>
      </c>
      <c r="L42" s="39"/>
      <c r="M42" s="31"/>
      <c r="N42" s="27" t="s">
        <v>240</v>
      </c>
      <c r="O42" s="307"/>
      <c r="P42" s="32"/>
      <c r="Q42" s="25"/>
      <c r="R42" s="27"/>
      <c r="S42" s="27"/>
      <c r="T42" s="28"/>
      <c r="U42" s="27"/>
      <c r="V42" s="27" t="s">
        <v>154</v>
      </c>
      <c r="W42" s="28"/>
      <c r="X42" s="33"/>
      <c r="Y42" s="32"/>
      <c r="Z42" s="25"/>
      <c r="AA42" s="27"/>
      <c r="AB42" s="28"/>
      <c r="AC42" s="27"/>
      <c r="AD42" s="27"/>
      <c r="AE42" s="33"/>
      <c r="AG42" s="25"/>
      <c r="AH42" s="34"/>
      <c r="AI42" s="27">
        <v>0.05</v>
      </c>
      <c r="AJ42" s="27">
        <v>0.05</v>
      </c>
      <c r="AK42" s="27">
        <v>0.05</v>
      </c>
      <c r="AL42" s="25"/>
      <c r="AM42" s="34"/>
      <c r="AN42" s="27"/>
      <c r="AO42" s="27"/>
      <c r="AP42" s="36"/>
      <c r="AQ42" s="82" t="s">
        <v>292</v>
      </c>
      <c r="AR42" s="32" t="s">
        <v>352</v>
      </c>
      <c r="AS42" s="25" t="s">
        <v>72</v>
      </c>
      <c r="AT42" s="27" t="s">
        <v>52</v>
      </c>
      <c r="AU42" s="27"/>
      <c r="AW42" s="25"/>
      <c r="AX42" s="27"/>
      <c r="AY42" s="27"/>
      <c r="AZ42" s="32"/>
      <c r="BA42" s="41">
        <v>22</v>
      </c>
    </row>
    <row r="43" spans="1:54" x14ac:dyDescent="0.2">
      <c r="A43" s="25">
        <v>28</v>
      </c>
      <c r="B43" s="26">
        <v>45419</v>
      </c>
      <c r="C43" s="27" t="s">
        <v>232</v>
      </c>
      <c r="D43" s="25"/>
      <c r="E43" s="28"/>
      <c r="F43" s="27"/>
      <c r="G43" s="28"/>
      <c r="H43" s="27"/>
      <c r="I43" s="28"/>
      <c r="J43" s="27">
        <v>6</v>
      </c>
      <c r="K43" s="29" t="s">
        <v>35</v>
      </c>
      <c r="L43" s="39"/>
      <c r="M43" s="31"/>
      <c r="N43" s="27" t="s">
        <v>240</v>
      </c>
      <c r="O43" s="307"/>
      <c r="P43" s="32"/>
      <c r="Q43" s="25"/>
      <c r="R43" s="27"/>
      <c r="S43" s="27"/>
      <c r="T43" s="28"/>
      <c r="U43" s="27"/>
      <c r="V43" s="27" t="s">
        <v>154</v>
      </c>
      <c r="W43" s="28"/>
      <c r="Y43" s="32"/>
      <c r="Z43" s="25"/>
      <c r="AA43" s="27"/>
      <c r="AB43" s="28"/>
      <c r="AC43" s="27"/>
      <c r="AD43" s="27"/>
      <c r="AE43" s="33"/>
      <c r="AG43" s="25"/>
      <c r="AH43" s="34"/>
      <c r="AI43" s="27">
        <v>0.05</v>
      </c>
      <c r="AJ43" s="27">
        <v>0.05</v>
      </c>
      <c r="AK43" s="27">
        <v>0.05</v>
      </c>
      <c r="AL43" s="25"/>
      <c r="AM43" s="34"/>
      <c r="AN43" s="27">
        <v>2.5000000000000001E-2</v>
      </c>
      <c r="AO43" s="27"/>
      <c r="AP43" s="36">
        <v>2.5000000000000001E-2</v>
      </c>
      <c r="AR43" s="32" t="s">
        <v>293</v>
      </c>
      <c r="AS43" s="25" t="s">
        <v>72</v>
      </c>
      <c r="AT43" s="27" t="s">
        <v>52</v>
      </c>
      <c r="AU43" s="27"/>
      <c r="AW43" s="25"/>
      <c r="AX43" s="27"/>
      <c r="AY43" s="27"/>
      <c r="AZ43" s="32"/>
      <c r="BA43" s="41">
        <v>9</v>
      </c>
    </row>
    <row r="44" spans="1:54" ht="17.25" customHeight="1" thickBot="1" x14ac:dyDescent="0.25">
      <c r="A44" s="25">
        <v>29</v>
      </c>
      <c r="B44" s="26">
        <v>45420</v>
      </c>
      <c r="C44" s="27" t="s">
        <v>227</v>
      </c>
      <c r="D44" s="25"/>
      <c r="E44" s="28"/>
      <c r="F44" s="27"/>
      <c r="G44" s="28"/>
      <c r="H44" s="27"/>
      <c r="I44" s="28"/>
      <c r="J44" s="27">
        <v>6</v>
      </c>
      <c r="K44" s="29" t="s">
        <v>345</v>
      </c>
      <c r="L44" s="39"/>
      <c r="M44" s="31"/>
      <c r="N44" s="27" t="s">
        <v>240</v>
      </c>
      <c r="O44" s="307"/>
      <c r="P44" s="32"/>
      <c r="Q44" s="25"/>
      <c r="R44" s="27"/>
      <c r="S44" s="27"/>
      <c r="T44" s="28"/>
      <c r="U44" s="27"/>
      <c r="V44" s="27" t="s">
        <v>154</v>
      </c>
      <c r="W44" s="28"/>
      <c r="X44" s="33"/>
      <c r="Y44" s="32"/>
      <c r="Z44" s="25"/>
      <c r="AA44" s="27"/>
      <c r="AB44" s="28"/>
      <c r="AC44" s="27"/>
      <c r="AD44" s="27"/>
      <c r="AE44" s="33"/>
      <c r="AG44" s="25"/>
      <c r="AH44" s="34"/>
      <c r="AI44" s="27">
        <v>0.05</v>
      </c>
      <c r="AJ44" s="27">
        <v>0.05</v>
      </c>
      <c r="AK44" s="27">
        <v>0.05</v>
      </c>
      <c r="AL44" s="25"/>
      <c r="AM44" s="34"/>
      <c r="AN44" s="27">
        <v>2.5000000000000001E-2</v>
      </c>
      <c r="AO44" s="27"/>
      <c r="AP44" s="36">
        <v>2.5000000000000001E-2</v>
      </c>
      <c r="AQ44" s="37"/>
      <c r="AR44" s="32" t="s">
        <v>293</v>
      </c>
      <c r="AS44" s="25" t="s">
        <v>72</v>
      </c>
      <c r="AT44" s="27" t="s">
        <v>52</v>
      </c>
      <c r="AU44" s="27"/>
      <c r="AW44" s="25"/>
      <c r="AX44" s="27"/>
      <c r="AY44" s="27"/>
      <c r="AZ44" s="32"/>
      <c r="BA44" s="41">
        <v>2</v>
      </c>
    </row>
    <row r="45" spans="1:54" s="87" customFormat="1" ht="16" thickBot="1" x14ac:dyDescent="0.25">
      <c r="A45" s="25">
        <v>30</v>
      </c>
      <c r="B45" s="26">
        <v>45421</v>
      </c>
      <c r="C45" s="27" t="s">
        <v>227</v>
      </c>
      <c r="D45" s="25"/>
      <c r="E45" s="28"/>
      <c r="F45" s="27"/>
      <c r="G45" s="28"/>
      <c r="H45" s="27"/>
      <c r="I45" s="28"/>
      <c r="J45" s="27">
        <v>6</v>
      </c>
      <c r="K45" s="29" t="s">
        <v>346</v>
      </c>
      <c r="L45" s="39" t="s">
        <v>434</v>
      </c>
      <c r="M45" s="31"/>
      <c r="N45" s="27" t="s">
        <v>240</v>
      </c>
      <c r="O45" s="307"/>
      <c r="Q45" s="83"/>
      <c r="R45" s="83"/>
      <c r="S45" s="83"/>
      <c r="T45" s="83"/>
      <c r="U45" s="83"/>
      <c r="V45" s="83" t="s">
        <v>154</v>
      </c>
      <c r="W45" s="83"/>
      <c r="X45" s="83"/>
      <c r="Z45" s="83"/>
      <c r="AA45" s="83"/>
      <c r="AB45" s="83"/>
      <c r="AC45" s="83"/>
      <c r="AD45" s="83"/>
      <c r="AE45" s="83"/>
      <c r="AG45" s="83"/>
      <c r="AH45" s="83"/>
      <c r="AI45" s="83">
        <v>2.5000000000000001E-2</v>
      </c>
      <c r="AJ45" s="83"/>
      <c r="AK45" s="83">
        <v>2.5000000000000001E-2</v>
      </c>
      <c r="AL45" s="83"/>
      <c r="AM45" s="83"/>
      <c r="AN45" s="83">
        <v>0.05</v>
      </c>
      <c r="AO45" s="83">
        <v>0.05</v>
      </c>
      <c r="AP45" s="83">
        <v>0.05</v>
      </c>
      <c r="AQ45" s="87" t="s">
        <v>433</v>
      </c>
      <c r="AR45" s="190" t="s">
        <v>426</v>
      </c>
      <c r="AS45" s="83" t="s">
        <v>72</v>
      </c>
      <c r="AT45" s="83" t="s">
        <v>52</v>
      </c>
      <c r="AU45" s="83"/>
      <c r="AW45" s="83"/>
      <c r="AX45" s="83"/>
      <c r="AY45" s="83"/>
      <c r="BA45" s="83">
        <v>6</v>
      </c>
    </row>
    <row r="46" spans="1:54" x14ac:dyDescent="0.2">
      <c r="A46" s="25">
        <v>31</v>
      </c>
      <c r="B46" s="26">
        <v>45422</v>
      </c>
      <c r="C46" s="27" t="s">
        <v>200</v>
      </c>
      <c r="D46" s="25"/>
      <c r="E46" s="28"/>
      <c r="F46" s="27"/>
      <c r="G46" s="28"/>
      <c r="H46" s="27"/>
      <c r="I46" s="28"/>
      <c r="J46" s="202">
        <v>45357</v>
      </c>
      <c r="K46" s="29" t="s">
        <v>347</v>
      </c>
      <c r="L46" s="39"/>
      <c r="M46" s="31"/>
      <c r="N46" s="27" t="s">
        <v>272</v>
      </c>
      <c r="O46" s="307"/>
      <c r="P46" s="32"/>
      <c r="Q46" s="25"/>
      <c r="R46" s="27"/>
      <c r="S46" s="27"/>
      <c r="T46" s="28"/>
      <c r="U46" s="27"/>
      <c r="V46" s="27" t="s">
        <v>154</v>
      </c>
      <c r="W46" s="28"/>
      <c r="X46" s="33"/>
      <c r="Y46" s="32"/>
      <c r="Z46" s="25"/>
      <c r="AA46" s="27"/>
      <c r="AB46" s="28"/>
      <c r="AC46" s="27"/>
      <c r="AD46" s="27"/>
      <c r="AE46" s="33"/>
      <c r="AG46" s="25"/>
      <c r="AH46" s="34"/>
      <c r="AI46" s="27">
        <v>0.02</v>
      </c>
      <c r="AJ46" s="27"/>
      <c r="AK46" s="27">
        <v>0.02</v>
      </c>
      <c r="AL46" s="25"/>
      <c r="AM46" s="34"/>
      <c r="AN46" s="27">
        <v>0.05</v>
      </c>
      <c r="AO46" s="27">
        <v>0.05</v>
      </c>
      <c r="AP46" s="36">
        <v>0.05</v>
      </c>
      <c r="AQ46" s="37"/>
      <c r="AR46" s="66"/>
      <c r="AS46" s="25" t="s">
        <v>72</v>
      </c>
      <c r="AT46" s="27" t="s">
        <v>52</v>
      </c>
      <c r="AU46" s="27"/>
      <c r="AW46" s="25"/>
      <c r="AX46" s="27"/>
      <c r="AY46" s="27"/>
      <c r="AZ46" s="32"/>
      <c r="BA46" s="41">
        <v>20</v>
      </c>
    </row>
    <row r="47" spans="1:54" x14ac:dyDescent="0.2">
      <c r="A47" s="25">
        <v>32</v>
      </c>
      <c r="B47" s="26">
        <v>45423</v>
      </c>
      <c r="C47" s="27" t="s">
        <v>200</v>
      </c>
      <c r="D47" s="25"/>
      <c r="E47" s="28"/>
      <c r="F47" s="27"/>
      <c r="G47" s="28"/>
      <c r="H47" s="27"/>
      <c r="I47" s="28"/>
      <c r="J47" s="202">
        <v>45357</v>
      </c>
      <c r="K47" s="29" t="s">
        <v>35</v>
      </c>
      <c r="L47" s="39" t="s">
        <v>437</v>
      </c>
      <c r="M47" s="31"/>
      <c r="N47" s="27" t="s">
        <v>272</v>
      </c>
      <c r="O47" s="307"/>
      <c r="P47" s="32"/>
      <c r="Q47" s="25"/>
      <c r="R47" s="27"/>
      <c r="S47" s="27"/>
      <c r="T47" s="28"/>
      <c r="U47" s="27"/>
      <c r="V47" s="27" t="s">
        <v>154</v>
      </c>
      <c r="W47" s="28"/>
      <c r="X47" s="33"/>
      <c r="Y47" s="32"/>
      <c r="Z47" s="25"/>
      <c r="AA47" s="27"/>
      <c r="AB47" s="28"/>
      <c r="AC47" s="27"/>
      <c r="AD47" s="27"/>
      <c r="AE47" s="33"/>
      <c r="AG47" s="25"/>
      <c r="AH47" s="34"/>
      <c r="AI47" s="27">
        <v>0.02</v>
      </c>
      <c r="AJ47" s="27"/>
      <c r="AK47" s="27">
        <v>0.02</v>
      </c>
      <c r="AL47" s="25"/>
      <c r="AM47" s="34"/>
      <c r="AN47" s="27">
        <v>0.05</v>
      </c>
      <c r="AO47" s="27">
        <v>0.05</v>
      </c>
      <c r="AP47" s="36">
        <v>0.05</v>
      </c>
      <c r="AQ47" s="37"/>
      <c r="AR47" s="32"/>
      <c r="AS47" s="25" t="s">
        <v>72</v>
      </c>
      <c r="AT47" s="27" t="s">
        <v>52</v>
      </c>
      <c r="AU47" s="27"/>
      <c r="AW47" s="25"/>
      <c r="AX47" s="27"/>
      <c r="AY47" s="27"/>
      <c r="AZ47" s="32"/>
      <c r="BA47" s="41">
        <v>16</v>
      </c>
    </row>
    <row r="48" spans="1:54" x14ac:dyDescent="0.2">
      <c r="A48" s="25">
        <v>33</v>
      </c>
      <c r="B48" s="26">
        <v>45424</v>
      </c>
      <c r="C48" s="27" t="s">
        <v>232</v>
      </c>
      <c r="D48" s="25"/>
      <c r="E48" s="28"/>
      <c r="F48" s="27"/>
      <c r="G48" s="28"/>
      <c r="H48" s="27"/>
      <c r="I48" s="28"/>
      <c r="J48" s="202">
        <v>45357</v>
      </c>
      <c r="K48" s="29" t="s">
        <v>35</v>
      </c>
      <c r="L48" s="39" t="s">
        <v>438</v>
      </c>
      <c r="M48" s="31"/>
      <c r="N48" s="27" t="s">
        <v>272</v>
      </c>
      <c r="O48" s="307"/>
      <c r="P48" s="32"/>
      <c r="Q48" s="25"/>
      <c r="R48" s="27"/>
      <c r="S48" s="27"/>
      <c r="T48" s="28"/>
      <c r="U48" s="27"/>
      <c r="V48" s="27" t="s">
        <v>154</v>
      </c>
      <c r="W48" s="28"/>
      <c r="X48" s="33"/>
      <c r="Y48" s="32"/>
      <c r="Z48" s="25"/>
      <c r="AA48" s="27"/>
      <c r="AB48" s="28"/>
      <c r="AC48" s="27"/>
      <c r="AD48" s="27"/>
      <c r="AE48" s="33"/>
      <c r="AG48" s="25"/>
      <c r="AH48" s="34"/>
      <c r="AI48" s="27">
        <v>2.5000000000000001E-2</v>
      </c>
      <c r="AJ48" s="27"/>
      <c r="AK48" s="27">
        <v>2.5000000000000001E-2</v>
      </c>
      <c r="AL48" s="25"/>
      <c r="AM48" s="34"/>
      <c r="AN48" s="27">
        <v>0.05</v>
      </c>
      <c r="AO48" s="27">
        <v>0.05</v>
      </c>
      <c r="AP48" s="36">
        <v>0.05</v>
      </c>
      <c r="AQ48" s="37"/>
      <c r="AR48" s="32"/>
      <c r="AS48" s="25" t="s">
        <v>72</v>
      </c>
      <c r="AT48" s="27" t="s">
        <v>52</v>
      </c>
      <c r="AW48" s="25"/>
      <c r="AX48" s="27"/>
      <c r="AY48" s="27"/>
      <c r="AZ48" s="32"/>
      <c r="BA48" s="41">
        <v>21</v>
      </c>
      <c r="BB48" t="s">
        <v>439</v>
      </c>
    </row>
    <row r="49" spans="1:53" ht="16" thickBot="1" x14ac:dyDescent="0.25">
      <c r="A49" s="25">
        <v>34</v>
      </c>
      <c r="B49" s="26">
        <v>45425</v>
      </c>
      <c r="C49" s="27" t="s">
        <v>232</v>
      </c>
      <c r="D49" s="25"/>
      <c r="E49" s="28"/>
      <c r="F49" s="27"/>
      <c r="G49" s="28"/>
      <c r="H49" s="27"/>
      <c r="I49" s="28"/>
      <c r="J49" s="202">
        <v>45357</v>
      </c>
      <c r="K49" s="29" t="s">
        <v>35</v>
      </c>
      <c r="L49" s="39"/>
      <c r="M49" s="31"/>
      <c r="N49" s="27" t="s">
        <v>272</v>
      </c>
      <c r="O49" s="307"/>
      <c r="P49" s="32"/>
      <c r="Q49" s="25"/>
      <c r="R49" s="27"/>
      <c r="S49" s="27"/>
      <c r="T49" s="28"/>
      <c r="U49" s="27"/>
      <c r="V49" s="27" t="s">
        <v>154</v>
      </c>
      <c r="W49" s="28"/>
      <c r="X49" s="33"/>
      <c r="Y49" s="32"/>
      <c r="Z49" s="25"/>
      <c r="AA49" s="27"/>
      <c r="AB49" s="28"/>
      <c r="AC49" s="27"/>
      <c r="AD49" s="27"/>
      <c r="AE49" s="33"/>
      <c r="AG49" s="25"/>
      <c r="AH49" s="34"/>
      <c r="AI49" s="27">
        <v>2.5000000000000001E-2</v>
      </c>
      <c r="AJ49" s="27"/>
      <c r="AK49" s="27">
        <v>2.5000000000000001E-2</v>
      </c>
      <c r="AL49" s="25"/>
      <c r="AM49" s="34"/>
      <c r="AN49" s="27">
        <v>0.05</v>
      </c>
      <c r="AO49" s="27">
        <v>0.05</v>
      </c>
      <c r="AP49" s="36">
        <v>0.05</v>
      </c>
      <c r="AQ49" s="37"/>
      <c r="AR49" s="32"/>
      <c r="AS49" s="25" t="s">
        <v>72</v>
      </c>
      <c r="AT49" s="27" t="s">
        <v>52</v>
      </c>
      <c r="AU49" s="27"/>
      <c r="AW49" s="25"/>
      <c r="AX49" s="27"/>
      <c r="AY49" s="27"/>
      <c r="AZ49" s="32"/>
      <c r="BA49" s="41">
        <v>15</v>
      </c>
    </row>
    <row r="50" spans="1:53" ht="16" thickBot="1" x14ac:dyDescent="0.25">
      <c r="A50" s="25">
        <v>35</v>
      </c>
      <c r="B50" s="26">
        <v>45426</v>
      </c>
      <c r="C50" s="27" t="s">
        <v>232</v>
      </c>
      <c r="D50" s="25"/>
      <c r="E50" s="28"/>
      <c r="F50" s="27"/>
      <c r="G50" s="28"/>
      <c r="H50" s="27"/>
      <c r="I50" s="28"/>
      <c r="J50" s="202">
        <v>45357</v>
      </c>
      <c r="K50" s="29" t="s">
        <v>35</v>
      </c>
      <c r="L50" s="39"/>
      <c r="M50" s="31"/>
      <c r="N50" s="27" t="s">
        <v>272</v>
      </c>
      <c r="O50" s="307"/>
      <c r="P50" s="32"/>
      <c r="Q50" s="25"/>
      <c r="R50" s="27"/>
      <c r="S50" s="27"/>
      <c r="T50" s="28"/>
      <c r="U50" s="27"/>
      <c r="V50" s="27" t="s">
        <v>154</v>
      </c>
      <c r="W50" s="28"/>
      <c r="X50" s="33"/>
      <c r="Y50" s="32"/>
      <c r="Z50" s="25"/>
      <c r="AA50" s="27"/>
      <c r="AB50" s="28"/>
      <c r="AC50" s="27"/>
      <c r="AD50" s="27"/>
      <c r="AE50" s="33"/>
      <c r="AG50" s="25"/>
      <c r="AH50" s="34"/>
      <c r="AI50" s="27">
        <v>2.5000000000000001E-2</v>
      </c>
      <c r="AJ50" s="27"/>
      <c r="AK50" s="27">
        <v>2.5000000000000001E-2</v>
      </c>
      <c r="AL50" s="25"/>
      <c r="AM50" s="34"/>
      <c r="AN50" s="27">
        <v>0.05</v>
      </c>
      <c r="AO50" s="27">
        <v>0.05</v>
      </c>
      <c r="AP50" s="36">
        <v>0.05</v>
      </c>
      <c r="AQ50" s="37"/>
      <c r="AR50" s="32"/>
      <c r="AS50" s="25" t="s">
        <v>72</v>
      </c>
      <c r="AT50" s="27" t="s">
        <v>52</v>
      </c>
      <c r="AU50" s="58" t="s">
        <v>77</v>
      </c>
      <c r="AW50" s="27" t="s">
        <v>325</v>
      </c>
      <c r="AX50" s="27" t="s">
        <v>91</v>
      </c>
      <c r="AY50" s="27"/>
      <c r="AZ50" s="32"/>
      <c r="BA50" s="41">
        <v>4</v>
      </c>
    </row>
    <row r="51" spans="1:53" ht="16" thickBot="1" x14ac:dyDescent="0.25">
      <c r="A51" s="25">
        <v>36</v>
      </c>
      <c r="B51" s="26">
        <v>45427</v>
      </c>
      <c r="C51" s="27" t="s">
        <v>227</v>
      </c>
      <c r="D51" s="25"/>
      <c r="E51" s="28"/>
      <c r="F51" s="27"/>
      <c r="G51" s="28"/>
      <c r="H51" s="27"/>
      <c r="I51" s="28"/>
      <c r="J51" s="202">
        <v>45357</v>
      </c>
      <c r="K51" s="29" t="s">
        <v>35</v>
      </c>
      <c r="L51" s="53"/>
      <c r="M51" s="31"/>
      <c r="N51" s="27" t="s">
        <v>272</v>
      </c>
      <c r="O51" s="307"/>
      <c r="P51" s="32"/>
      <c r="Q51" s="25"/>
      <c r="R51" s="27"/>
      <c r="S51" s="27"/>
      <c r="T51" s="28"/>
      <c r="U51" s="27"/>
      <c r="V51" s="27" t="s">
        <v>154</v>
      </c>
      <c r="W51" s="28"/>
      <c r="X51" s="33"/>
      <c r="Y51" s="32"/>
      <c r="Z51" s="25"/>
      <c r="AA51" s="27"/>
      <c r="AB51" s="28"/>
      <c r="AC51" s="27"/>
      <c r="AD51" s="27"/>
      <c r="AE51" s="33"/>
      <c r="AG51" s="25"/>
      <c r="AH51" s="34"/>
      <c r="AI51" s="27">
        <v>2.5000000000000001E-2</v>
      </c>
      <c r="AJ51" s="27"/>
      <c r="AK51" s="27">
        <v>2.5000000000000001E-2</v>
      </c>
      <c r="AL51" s="25"/>
      <c r="AM51" s="34"/>
      <c r="AN51" s="27">
        <v>0.05</v>
      </c>
      <c r="AO51" s="27">
        <v>0.05</v>
      </c>
      <c r="AP51" s="36">
        <v>0.05</v>
      </c>
      <c r="AQ51" s="37"/>
      <c r="AR51" s="32"/>
      <c r="AS51" s="25" t="s">
        <v>72</v>
      </c>
      <c r="AT51" s="27" t="s">
        <v>52</v>
      </c>
      <c r="AV51" t="s">
        <v>258</v>
      </c>
      <c r="AW51" s="27" t="s">
        <v>325</v>
      </c>
      <c r="AX51" s="27" t="s">
        <v>91</v>
      </c>
      <c r="AY51" s="27"/>
      <c r="AZ51" s="32"/>
      <c r="BA51" s="41">
        <v>1</v>
      </c>
    </row>
    <row r="52" spans="1:53" ht="16" thickBot="1" x14ac:dyDescent="0.25">
      <c r="A52" s="25">
        <v>37</v>
      </c>
      <c r="B52" s="26">
        <v>45428</v>
      </c>
      <c r="C52" s="27" t="s">
        <v>200</v>
      </c>
      <c r="D52" s="25"/>
      <c r="E52" s="28"/>
      <c r="F52" s="27"/>
      <c r="G52" s="28"/>
      <c r="H52" s="27"/>
      <c r="I52" s="28"/>
      <c r="J52" s="202">
        <v>45357</v>
      </c>
      <c r="K52" s="29" t="s">
        <v>35</v>
      </c>
      <c r="L52" s="53" t="s">
        <v>444</v>
      </c>
      <c r="M52" s="31"/>
      <c r="N52" s="27" t="s">
        <v>272</v>
      </c>
      <c r="O52" s="307"/>
      <c r="P52" s="32"/>
      <c r="Q52" s="25"/>
      <c r="R52" s="27"/>
      <c r="S52" s="27"/>
      <c r="T52" s="28"/>
      <c r="U52" s="27"/>
      <c r="V52" s="27" t="s">
        <v>154</v>
      </c>
      <c r="W52" s="28"/>
      <c r="X52" s="33"/>
      <c r="Y52" s="32"/>
      <c r="Z52" s="59"/>
      <c r="AA52" s="60"/>
      <c r="AB52" s="61"/>
      <c r="AC52" s="27"/>
      <c r="AD52" s="27"/>
      <c r="AE52" s="33"/>
      <c r="AG52" s="25"/>
      <c r="AH52" s="34"/>
      <c r="AI52" s="27">
        <v>2.5000000000000001E-2</v>
      </c>
      <c r="AJ52" s="27"/>
      <c r="AK52" s="27">
        <v>2.5000000000000001E-2</v>
      </c>
      <c r="AL52" s="25"/>
      <c r="AM52" s="34"/>
      <c r="AN52" s="27">
        <v>0.1</v>
      </c>
      <c r="AO52" s="27">
        <v>0.1</v>
      </c>
      <c r="AP52" s="36">
        <v>0.1</v>
      </c>
      <c r="AQ52" s="37"/>
      <c r="AR52" s="32"/>
      <c r="AS52" s="25" t="s">
        <v>445</v>
      </c>
      <c r="AT52" s="27" t="s">
        <v>52</v>
      </c>
      <c r="AU52" s="27"/>
      <c r="AW52" s="27" t="s">
        <v>325</v>
      </c>
      <c r="AX52" s="27" t="s">
        <v>91</v>
      </c>
      <c r="AY52" s="27"/>
      <c r="AZ52" s="32"/>
      <c r="BA52" s="41">
        <v>9</v>
      </c>
    </row>
    <row r="53" spans="1:53" x14ac:dyDescent="0.2">
      <c r="A53" s="25">
        <v>38</v>
      </c>
      <c r="B53" s="26">
        <v>45429</v>
      </c>
      <c r="C53" s="27" t="s">
        <v>200</v>
      </c>
      <c r="D53" s="25"/>
      <c r="E53" s="28"/>
      <c r="F53" s="27"/>
      <c r="G53" s="28"/>
      <c r="H53" s="27"/>
      <c r="I53" s="28"/>
      <c r="J53" s="202">
        <v>45357</v>
      </c>
      <c r="K53" s="29" t="s">
        <v>35</v>
      </c>
      <c r="L53" s="39"/>
      <c r="M53" s="31"/>
      <c r="N53" s="27" t="s">
        <v>272</v>
      </c>
      <c r="O53" s="307"/>
      <c r="P53" s="32"/>
      <c r="Q53" s="25"/>
      <c r="R53" s="27"/>
      <c r="S53" s="27"/>
      <c r="T53" s="28"/>
      <c r="U53" s="27"/>
      <c r="V53" s="27" t="s">
        <v>154</v>
      </c>
      <c r="W53" s="28"/>
      <c r="X53" s="33"/>
      <c r="Y53" s="32"/>
      <c r="Z53" s="25"/>
      <c r="AA53" s="27"/>
      <c r="AB53" s="28"/>
      <c r="AC53" s="27"/>
      <c r="AD53" s="27"/>
      <c r="AE53" s="33"/>
      <c r="AG53" s="25"/>
      <c r="AH53" s="34"/>
      <c r="AI53" s="27">
        <v>2.5000000000000001E-2</v>
      </c>
      <c r="AJ53" s="27"/>
      <c r="AK53" s="27">
        <v>2.5000000000000001E-2</v>
      </c>
      <c r="AL53" s="25"/>
      <c r="AM53" s="34"/>
      <c r="AN53" s="27">
        <v>0.1</v>
      </c>
      <c r="AO53" s="27">
        <v>0.1</v>
      </c>
      <c r="AP53" s="36">
        <v>0.1</v>
      </c>
      <c r="AQ53" s="37"/>
      <c r="AR53" s="32"/>
      <c r="AS53" s="25" t="s">
        <v>78</v>
      </c>
      <c r="AT53" s="27" t="s">
        <v>52</v>
      </c>
      <c r="AU53" s="27"/>
      <c r="AW53" s="27" t="s">
        <v>325</v>
      </c>
      <c r="AX53" s="27" t="s">
        <v>91</v>
      </c>
      <c r="AY53" s="27"/>
      <c r="AZ53" s="32"/>
      <c r="BA53" s="41">
        <v>5</v>
      </c>
    </row>
    <row r="54" spans="1:53" ht="16" thickBot="1" x14ac:dyDescent="0.25">
      <c r="A54" s="25">
        <v>39</v>
      </c>
      <c r="B54" s="26">
        <v>45430</v>
      </c>
      <c r="C54" s="27" t="s">
        <v>200</v>
      </c>
      <c r="D54" s="25"/>
      <c r="E54" s="28"/>
      <c r="F54" s="27"/>
      <c r="G54" s="28"/>
      <c r="H54" s="27"/>
      <c r="I54" s="28"/>
      <c r="J54" s="202">
        <v>45357</v>
      </c>
      <c r="K54" s="29" t="s">
        <v>35</v>
      </c>
      <c r="L54" t="s">
        <v>446</v>
      </c>
      <c r="M54" s="31"/>
      <c r="N54" s="27" t="s">
        <v>272</v>
      </c>
      <c r="O54" s="307"/>
      <c r="P54" s="32"/>
      <c r="Q54" s="25"/>
      <c r="R54" s="27"/>
      <c r="S54" s="27"/>
      <c r="T54" s="28"/>
      <c r="U54" s="27"/>
      <c r="V54" s="27" t="s">
        <v>154</v>
      </c>
      <c r="W54" s="28"/>
      <c r="X54" s="33"/>
      <c r="Y54" s="32"/>
      <c r="Z54" s="25"/>
      <c r="AA54" s="27"/>
      <c r="AB54" s="28"/>
      <c r="AC54" s="27"/>
      <c r="AD54" s="27"/>
      <c r="AE54" s="33"/>
      <c r="AG54" s="25"/>
      <c r="AH54" s="34"/>
      <c r="AI54" s="27"/>
      <c r="AJ54" s="27"/>
      <c r="AK54" s="27"/>
      <c r="AL54" s="25"/>
      <c r="AM54" s="34"/>
      <c r="AN54" s="27">
        <v>0.1</v>
      </c>
      <c r="AO54" s="27">
        <v>0.1</v>
      </c>
      <c r="AP54" s="36">
        <v>0.1</v>
      </c>
      <c r="AQ54" s="37"/>
      <c r="AR54" s="32"/>
      <c r="AS54" s="25" t="s">
        <v>78</v>
      </c>
      <c r="AT54" s="27" t="s">
        <v>52</v>
      </c>
      <c r="AU54" s="27"/>
      <c r="AW54" s="27" t="s">
        <v>325</v>
      </c>
      <c r="AX54" s="27" t="s">
        <v>91</v>
      </c>
      <c r="AY54" s="27"/>
      <c r="AZ54" s="32"/>
      <c r="BA54" s="41">
        <v>6</v>
      </c>
    </row>
    <row r="55" spans="1:53" ht="16" thickBot="1" x14ac:dyDescent="0.25">
      <c r="A55" s="25">
        <v>40</v>
      </c>
      <c r="B55" s="26">
        <v>45431</v>
      </c>
      <c r="C55" s="27" t="s">
        <v>200</v>
      </c>
      <c r="D55" s="25"/>
      <c r="E55" s="28"/>
      <c r="F55" s="27"/>
      <c r="G55" s="28"/>
      <c r="H55" s="27"/>
      <c r="I55" s="28"/>
      <c r="J55" s="202">
        <v>45357</v>
      </c>
      <c r="K55" s="29" t="s">
        <v>35</v>
      </c>
      <c r="L55" s="53"/>
      <c r="M55" s="31"/>
      <c r="N55" s="27" t="s">
        <v>272</v>
      </c>
      <c r="O55" s="308"/>
      <c r="Q55" s="25"/>
      <c r="R55" s="27"/>
      <c r="S55" s="27"/>
      <c r="T55" s="28"/>
      <c r="U55" s="27"/>
      <c r="V55" s="27" t="s">
        <v>154</v>
      </c>
      <c r="W55" s="28"/>
      <c r="X55" s="33"/>
      <c r="Y55" s="32"/>
      <c r="Z55" s="59"/>
      <c r="AA55" s="60"/>
      <c r="AB55" s="61"/>
      <c r="AC55" s="27"/>
      <c r="AD55" s="27"/>
      <c r="AE55" s="33"/>
      <c r="AG55" s="25"/>
      <c r="AH55" s="34"/>
      <c r="AI55" s="27"/>
      <c r="AJ55" s="27"/>
      <c r="AK55" s="27"/>
      <c r="AL55" s="25"/>
      <c r="AM55" s="34"/>
      <c r="AN55" s="27">
        <v>0.1</v>
      </c>
      <c r="AO55" s="27">
        <v>0.1</v>
      </c>
      <c r="AP55" s="36">
        <v>0.1</v>
      </c>
      <c r="AQ55" s="37"/>
      <c r="AR55" s="32"/>
      <c r="AS55" s="25" t="s">
        <v>79</v>
      </c>
      <c r="AT55" s="27" t="s">
        <v>52</v>
      </c>
      <c r="AU55" s="58" t="s">
        <v>80</v>
      </c>
      <c r="AW55" s="27" t="s">
        <v>325</v>
      </c>
      <c r="AX55" s="27" t="s">
        <v>91</v>
      </c>
      <c r="AY55" s="27"/>
      <c r="AZ55" s="32"/>
      <c r="BA55" s="41">
        <v>4</v>
      </c>
    </row>
    <row r="56" spans="1:53" x14ac:dyDescent="0.2">
      <c r="A56" s="25">
        <v>41</v>
      </c>
      <c r="B56" s="26">
        <v>45432</v>
      </c>
      <c r="C56" s="27" t="s">
        <v>200</v>
      </c>
      <c r="D56" s="25"/>
      <c r="E56" s="28"/>
      <c r="F56" s="27"/>
      <c r="G56" s="28"/>
      <c r="H56" s="27"/>
      <c r="I56" s="28"/>
      <c r="J56" s="202">
        <v>45357</v>
      </c>
      <c r="K56" s="29" t="s">
        <v>35</v>
      </c>
      <c r="M56" s="31"/>
      <c r="N56" s="27" t="s">
        <v>272</v>
      </c>
      <c r="P56" s="32"/>
      <c r="Q56" s="25"/>
      <c r="R56" s="27"/>
      <c r="S56" s="27"/>
      <c r="T56" s="28"/>
      <c r="U56" s="27"/>
      <c r="V56" s="27" t="s">
        <v>154</v>
      </c>
      <c r="W56" s="28"/>
      <c r="X56" s="33"/>
      <c r="Y56" s="32"/>
      <c r="Z56" s="25"/>
      <c r="AA56" s="27"/>
      <c r="AB56" s="28"/>
      <c r="AC56" s="27"/>
      <c r="AD56" s="27"/>
      <c r="AE56" s="33"/>
      <c r="AG56" s="25"/>
      <c r="AH56" s="34"/>
      <c r="AI56" s="27"/>
      <c r="AJ56" s="27"/>
      <c r="AK56" s="27"/>
      <c r="AL56" s="25"/>
      <c r="AM56" s="34"/>
      <c r="AN56" s="27">
        <v>0.1</v>
      </c>
      <c r="AO56" s="27">
        <v>0.1</v>
      </c>
      <c r="AP56" s="36">
        <v>0.1</v>
      </c>
      <c r="AQ56" s="37"/>
      <c r="AR56" s="32"/>
      <c r="AS56" s="25" t="s">
        <v>79</v>
      </c>
      <c r="AT56" s="27" t="s">
        <v>52</v>
      </c>
      <c r="AU56" s="27"/>
      <c r="AW56" s="27" t="s">
        <v>325</v>
      </c>
      <c r="AX56" s="27" t="s">
        <v>91</v>
      </c>
      <c r="AY56" s="27"/>
      <c r="AZ56" s="32"/>
      <c r="BA56" s="41">
        <v>3</v>
      </c>
    </row>
    <row r="57" spans="1:53" x14ac:dyDescent="0.2">
      <c r="A57" s="25">
        <v>42</v>
      </c>
      <c r="B57" s="26">
        <v>45433</v>
      </c>
      <c r="C57" s="27" t="s">
        <v>232</v>
      </c>
      <c r="D57" s="25"/>
      <c r="E57" s="28"/>
      <c r="F57" s="27"/>
      <c r="G57" s="28"/>
      <c r="H57" s="27"/>
      <c r="I57" s="28"/>
      <c r="J57" s="202">
        <v>45357</v>
      </c>
      <c r="K57" s="29" t="s">
        <v>35</v>
      </c>
      <c r="L57" s="39"/>
      <c r="M57" s="31"/>
      <c r="N57" s="27" t="s">
        <v>272</v>
      </c>
      <c r="P57" s="32"/>
      <c r="Q57" s="25"/>
      <c r="R57" s="27"/>
      <c r="S57" s="27"/>
      <c r="T57" s="28"/>
      <c r="U57" s="27"/>
      <c r="V57" s="27" t="s">
        <v>154</v>
      </c>
      <c r="W57" s="28"/>
      <c r="X57" s="33"/>
      <c r="Y57" s="32"/>
      <c r="Z57" s="25"/>
      <c r="AA57" s="27"/>
      <c r="AB57" s="28"/>
      <c r="AC57" s="27"/>
      <c r="AD57" s="27"/>
      <c r="AE57" s="33"/>
      <c r="AG57" s="25"/>
      <c r="AH57" s="34"/>
      <c r="AI57" s="27"/>
      <c r="AJ57" s="27"/>
      <c r="AK57" s="27"/>
      <c r="AL57" s="25"/>
      <c r="AM57" s="34"/>
      <c r="AN57" s="27">
        <v>0.1</v>
      </c>
      <c r="AO57" s="27">
        <v>0.1</v>
      </c>
      <c r="AP57" s="36">
        <v>0.1</v>
      </c>
      <c r="AQ57" s="37"/>
      <c r="AR57" s="32"/>
      <c r="AS57" s="25" t="s">
        <v>79</v>
      </c>
      <c r="AT57" s="27" t="s">
        <v>52</v>
      </c>
      <c r="AU57" s="27"/>
      <c r="AW57" s="27" t="s">
        <v>325</v>
      </c>
      <c r="AX57" s="27" t="s">
        <v>91</v>
      </c>
      <c r="AY57" s="27"/>
      <c r="AZ57" s="32"/>
      <c r="BA57" s="41">
        <v>4</v>
      </c>
    </row>
    <row r="58" spans="1:53" ht="16" thickBot="1" x14ac:dyDescent="0.25">
      <c r="A58" s="25">
        <v>43</v>
      </c>
      <c r="B58" s="26">
        <v>45434</v>
      </c>
      <c r="C58" s="27" t="s">
        <v>232</v>
      </c>
      <c r="D58" s="25"/>
      <c r="E58" s="28"/>
      <c r="F58" s="27"/>
      <c r="G58" s="28"/>
      <c r="H58" s="27"/>
      <c r="I58" s="28"/>
      <c r="J58" s="202">
        <v>45357</v>
      </c>
      <c r="K58" s="29" t="s">
        <v>35</v>
      </c>
      <c r="L58" s="39"/>
      <c r="M58" s="31"/>
      <c r="N58" s="27" t="s">
        <v>272</v>
      </c>
      <c r="P58" s="32"/>
      <c r="Q58" s="25"/>
      <c r="R58" s="27"/>
      <c r="S58" s="27"/>
      <c r="T58" s="28"/>
      <c r="U58" s="27"/>
      <c r="V58" s="27" t="s">
        <v>154</v>
      </c>
      <c r="W58" s="28"/>
      <c r="X58" s="33"/>
      <c r="Y58" s="32"/>
      <c r="Z58" s="25"/>
      <c r="AA58" s="27"/>
      <c r="AB58" s="28"/>
      <c r="AC58" s="27"/>
      <c r="AD58" s="27"/>
      <c r="AE58" s="33"/>
      <c r="AG58" s="25"/>
      <c r="AH58" s="34"/>
      <c r="AI58" s="27"/>
      <c r="AJ58" s="27"/>
      <c r="AK58" s="27"/>
      <c r="AL58" s="25"/>
      <c r="AM58" s="34"/>
      <c r="AN58" s="27">
        <v>0.1</v>
      </c>
      <c r="AO58" s="27">
        <v>0.1</v>
      </c>
      <c r="AP58" s="36">
        <v>0.1</v>
      </c>
      <c r="AQ58" s="37"/>
      <c r="AR58" s="32"/>
      <c r="AS58" s="25" t="s">
        <v>79</v>
      </c>
      <c r="AT58" s="27" t="s">
        <v>52</v>
      </c>
      <c r="AU58" s="27"/>
      <c r="AW58" s="27" t="s">
        <v>325</v>
      </c>
      <c r="AX58" s="27" t="s">
        <v>91</v>
      </c>
      <c r="AY58" s="27"/>
      <c r="AZ58" s="32"/>
      <c r="BA58" s="41">
        <v>5</v>
      </c>
    </row>
    <row r="59" spans="1:53" ht="16" thickBot="1" x14ac:dyDescent="0.25">
      <c r="A59" s="25">
        <v>44</v>
      </c>
      <c r="B59" s="26">
        <v>45435</v>
      </c>
      <c r="C59" s="27" t="s">
        <v>232</v>
      </c>
      <c r="D59" s="25"/>
      <c r="E59" s="28"/>
      <c r="F59" s="27"/>
      <c r="G59" s="28"/>
      <c r="H59" s="27"/>
      <c r="I59" s="28"/>
      <c r="J59" s="202">
        <v>45357</v>
      </c>
      <c r="K59" s="29" t="s">
        <v>35</v>
      </c>
      <c r="L59" s="39"/>
      <c r="M59" s="31"/>
      <c r="N59" s="27" t="s">
        <v>272</v>
      </c>
      <c r="P59" s="32"/>
      <c r="Q59" s="27"/>
      <c r="R59" s="27"/>
      <c r="S59" s="27"/>
      <c r="T59" s="28"/>
      <c r="U59" s="27"/>
      <c r="V59" s="27" t="s">
        <v>154</v>
      </c>
      <c r="W59" s="28"/>
      <c r="X59" s="33"/>
      <c r="Y59" s="32"/>
      <c r="Z59" s="59"/>
      <c r="AA59" s="60"/>
      <c r="AB59" s="61"/>
      <c r="AC59" s="27"/>
      <c r="AD59" s="27"/>
      <c r="AE59" s="33"/>
      <c r="AG59" s="25"/>
      <c r="AH59" s="34"/>
      <c r="AI59" s="27"/>
      <c r="AJ59" s="27"/>
      <c r="AK59" s="27"/>
      <c r="AL59" s="25"/>
      <c r="AM59" s="34"/>
      <c r="AN59" s="27">
        <v>0.1</v>
      </c>
      <c r="AO59" s="27">
        <v>0.1</v>
      </c>
      <c r="AP59" s="36">
        <v>0.1</v>
      </c>
      <c r="AQ59" s="37"/>
      <c r="AR59" s="32"/>
      <c r="AS59" s="25" t="s">
        <v>79</v>
      </c>
      <c r="AT59" s="27" t="s">
        <v>52</v>
      </c>
      <c r="AU59" s="58" t="s">
        <v>81</v>
      </c>
      <c r="AW59" s="27" t="s">
        <v>325</v>
      </c>
      <c r="AX59" s="27" t="s">
        <v>91</v>
      </c>
      <c r="AY59" s="27"/>
      <c r="AZ59" s="32"/>
      <c r="BA59" s="41">
        <v>3</v>
      </c>
    </row>
    <row r="60" spans="1:53" x14ac:dyDescent="0.2">
      <c r="A60" s="25">
        <v>45</v>
      </c>
      <c r="B60" s="26">
        <v>45436</v>
      </c>
      <c r="C60" s="27" t="s">
        <v>200</v>
      </c>
      <c r="D60" s="25"/>
      <c r="E60" s="28"/>
      <c r="F60" s="27"/>
      <c r="G60" s="28"/>
      <c r="H60" s="27"/>
      <c r="I60" s="28"/>
      <c r="J60" s="202">
        <v>45357</v>
      </c>
      <c r="K60" s="29" t="s">
        <v>35</v>
      </c>
      <c r="L60" s="39"/>
      <c r="M60" s="31"/>
      <c r="N60" s="27" t="s">
        <v>272</v>
      </c>
      <c r="P60" s="32"/>
      <c r="Q60" s="25"/>
      <c r="R60" s="27"/>
      <c r="S60" s="27"/>
      <c r="T60" s="28"/>
      <c r="U60" s="27"/>
      <c r="V60" s="27" t="s">
        <v>154</v>
      </c>
      <c r="W60" s="28"/>
      <c r="X60" s="33"/>
      <c r="Y60" s="32"/>
      <c r="Z60" s="25"/>
      <c r="AA60" s="27"/>
      <c r="AB60" s="28"/>
      <c r="AC60" s="27"/>
      <c r="AD60" s="27"/>
      <c r="AE60" s="33"/>
      <c r="AG60" s="25"/>
      <c r="AH60" s="34"/>
      <c r="AI60" s="27"/>
      <c r="AJ60" s="27"/>
      <c r="AK60" s="27"/>
      <c r="AL60" s="25"/>
      <c r="AM60" s="34"/>
      <c r="AN60" s="27">
        <v>0.1</v>
      </c>
      <c r="AO60" s="27">
        <v>0.1</v>
      </c>
      <c r="AP60" s="36">
        <v>0.1</v>
      </c>
      <c r="AQ60" s="37"/>
      <c r="AR60" s="32"/>
      <c r="AS60" s="25" t="s">
        <v>82</v>
      </c>
      <c r="AT60" s="27" t="s">
        <v>52</v>
      </c>
      <c r="AW60" s="27" t="s">
        <v>325</v>
      </c>
      <c r="AX60" s="27" t="s">
        <v>303</v>
      </c>
      <c r="AY60" s="27"/>
      <c r="AZ60" s="32"/>
      <c r="BA60" s="41">
        <v>4</v>
      </c>
    </row>
    <row r="61" spans="1:53" x14ac:dyDescent="0.2">
      <c r="A61" s="25">
        <v>46</v>
      </c>
      <c r="B61" s="26">
        <v>45437</v>
      </c>
      <c r="C61" s="27" t="s">
        <v>200</v>
      </c>
      <c r="D61" s="25"/>
      <c r="E61" s="28"/>
      <c r="F61" s="27"/>
      <c r="G61" s="28"/>
      <c r="H61" s="27"/>
      <c r="I61" s="28"/>
      <c r="J61" s="202">
        <v>45357</v>
      </c>
      <c r="K61" s="29" t="s">
        <v>35</v>
      </c>
      <c r="L61" s="39"/>
      <c r="M61" s="31"/>
      <c r="N61" s="27" t="s">
        <v>272</v>
      </c>
      <c r="P61" s="32"/>
      <c r="Q61" s="25"/>
      <c r="R61" s="27"/>
      <c r="S61" s="27"/>
      <c r="T61" s="28"/>
      <c r="U61" s="27"/>
      <c r="V61" s="27" t="s">
        <v>154</v>
      </c>
      <c r="W61" s="28"/>
      <c r="X61" s="33"/>
      <c r="Y61" s="32"/>
      <c r="Z61" s="25"/>
      <c r="AA61" s="27"/>
      <c r="AB61" s="28"/>
      <c r="AC61" s="27"/>
      <c r="AD61" s="27"/>
      <c r="AE61" s="33"/>
      <c r="AG61" s="25"/>
      <c r="AH61" s="34"/>
      <c r="AI61" s="27"/>
      <c r="AJ61" s="27"/>
      <c r="AK61" s="27"/>
      <c r="AL61" s="25"/>
      <c r="AM61" s="34"/>
      <c r="AN61" s="27">
        <v>0.1</v>
      </c>
      <c r="AO61" s="27">
        <v>0.1</v>
      </c>
      <c r="AP61" s="36">
        <v>0.1</v>
      </c>
      <c r="AQ61" s="37"/>
      <c r="AR61" s="32"/>
      <c r="AS61" s="25" t="s">
        <v>82</v>
      </c>
      <c r="AT61" s="27" t="s">
        <v>52</v>
      </c>
      <c r="AU61" s="27"/>
      <c r="AW61" s="27" t="s">
        <v>325</v>
      </c>
      <c r="AX61" s="27" t="s">
        <v>303</v>
      </c>
      <c r="AY61" s="27"/>
      <c r="AZ61" s="32"/>
      <c r="BA61" s="41">
        <v>5</v>
      </c>
    </row>
    <row r="62" spans="1:53" x14ac:dyDescent="0.2">
      <c r="A62" s="25">
        <v>47</v>
      </c>
      <c r="B62" s="26">
        <v>45438</v>
      </c>
      <c r="C62" s="27" t="s">
        <v>232</v>
      </c>
      <c r="D62" s="25"/>
      <c r="E62" s="28"/>
      <c r="F62" s="27"/>
      <c r="G62" s="28"/>
      <c r="H62" s="27"/>
      <c r="I62" s="28"/>
      <c r="J62" s="202">
        <v>45357</v>
      </c>
      <c r="K62" s="29" t="s">
        <v>35</v>
      </c>
      <c r="L62" s="39"/>
      <c r="M62" s="31"/>
      <c r="N62" s="27" t="s">
        <v>272</v>
      </c>
      <c r="P62" s="32"/>
      <c r="Q62" s="25"/>
      <c r="R62" s="27"/>
      <c r="S62" s="27"/>
      <c r="T62" s="28"/>
      <c r="U62" s="27"/>
      <c r="V62" s="27" t="s">
        <v>154</v>
      </c>
      <c r="W62" s="28"/>
      <c r="X62" s="33"/>
      <c r="Y62" s="32"/>
      <c r="Z62" s="25"/>
      <c r="AA62" s="27"/>
      <c r="AB62" s="28"/>
      <c r="AC62" s="27"/>
      <c r="AD62" s="27"/>
      <c r="AE62" s="33"/>
      <c r="AG62" s="25"/>
      <c r="AH62" s="34"/>
      <c r="AI62" s="27"/>
      <c r="AJ62" s="27"/>
      <c r="AK62" s="27"/>
      <c r="AL62" s="25"/>
      <c r="AM62" s="34"/>
      <c r="AN62" s="27">
        <v>0.1</v>
      </c>
      <c r="AO62" s="27">
        <v>0.1</v>
      </c>
      <c r="AP62" s="36">
        <v>0.1</v>
      </c>
      <c r="AQ62" s="37"/>
      <c r="AR62" s="32"/>
      <c r="AS62" s="25" t="s">
        <v>82</v>
      </c>
      <c r="AT62" s="27" t="s">
        <v>52</v>
      </c>
      <c r="AU62" s="27"/>
      <c r="AW62" s="27" t="s">
        <v>325</v>
      </c>
      <c r="AX62" s="27" t="s">
        <v>303</v>
      </c>
      <c r="AY62" s="27"/>
      <c r="AZ62" s="32"/>
      <c r="BA62" s="41">
        <v>4</v>
      </c>
    </row>
    <row r="63" spans="1:53" x14ac:dyDescent="0.2">
      <c r="A63" s="25">
        <v>48</v>
      </c>
      <c r="B63" s="26">
        <v>45439</v>
      </c>
      <c r="C63" s="27" t="s">
        <v>232</v>
      </c>
      <c r="D63" s="25"/>
      <c r="E63" s="28"/>
      <c r="F63" s="27"/>
      <c r="G63" s="28"/>
      <c r="H63" s="27"/>
      <c r="I63" s="28"/>
      <c r="J63" s="202">
        <v>45357</v>
      </c>
      <c r="K63" s="29" t="s">
        <v>35</v>
      </c>
      <c r="M63" s="31"/>
      <c r="N63" s="27" t="s">
        <v>367</v>
      </c>
      <c r="O63" s="205" t="s">
        <v>461</v>
      </c>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v>0.1</v>
      </c>
      <c r="AO63" s="27">
        <v>0.1</v>
      </c>
      <c r="AP63" s="36">
        <v>0.1</v>
      </c>
      <c r="AQ63" s="37"/>
      <c r="AR63" s="32"/>
      <c r="AS63" s="25" t="s">
        <v>82</v>
      </c>
      <c r="AT63" s="27" t="s">
        <v>52</v>
      </c>
      <c r="AU63" s="27"/>
      <c r="AW63" s="27" t="s">
        <v>325</v>
      </c>
      <c r="AX63" s="27" t="s">
        <v>303</v>
      </c>
      <c r="AY63" s="27"/>
      <c r="AZ63" s="32"/>
      <c r="BA63" s="41">
        <v>4</v>
      </c>
    </row>
    <row r="64" spans="1:53" ht="16" thickBot="1" x14ac:dyDescent="0.25">
      <c r="A64" s="25">
        <v>49</v>
      </c>
      <c r="B64" s="26">
        <v>45440</v>
      </c>
      <c r="C64" s="27" t="s">
        <v>232</v>
      </c>
      <c r="D64" s="25"/>
      <c r="E64" s="28"/>
      <c r="F64" s="27"/>
      <c r="G64" s="28"/>
      <c r="H64" s="27"/>
      <c r="I64" s="28"/>
      <c r="J64" s="202">
        <v>45357</v>
      </c>
      <c r="K64" s="29" t="s">
        <v>35</v>
      </c>
      <c r="L64" s="39"/>
      <c r="M64" s="31"/>
      <c r="N64" s="27" t="s">
        <v>367</v>
      </c>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v>0.1</v>
      </c>
      <c r="AO64" s="27">
        <v>0.1</v>
      </c>
      <c r="AP64" s="36">
        <v>0.1</v>
      </c>
      <c r="AQ64" s="37"/>
      <c r="AR64" s="32"/>
      <c r="AS64" s="25" t="s">
        <v>82</v>
      </c>
      <c r="AT64" s="27" t="s">
        <v>52</v>
      </c>
      <c r="AU64" s="27"/>
      <c r="AW64" s="27" t="s">
        <v>325</v>
      </c>
      <c r="AX64" s="27" t="s">
        <v>303</v>
      </c>
      <c r="AY64" s="27"/>
      <c r="AZ64" s="32"/>
      <c r="BA64" s="41">
        <v>0</v>
      </c>
    </row>
    <row r="65" spans="1:54" ht="16" thickBot="1" x14ac:dyDescent="0.25">
      <c r="A65" s="25">
        <v>50</v>
      </c>
      <c r="B65" s="26">
        <v>45441</v>
      </c>
      <c r="C65" s="27" t="s">
        <v>232</v>
      </c>
      <c r="D65" s="25"/>
      <c r="E65" s="28"/>
      <c r="F65" s="27"/>
      <c r="G65" s="28"/>
      <c r="H65" s="27"/>
      <c r="I65" s="28"/>
      <c r="J65" s="202">
        <v>45357</v>
      </c>
      <c r="K65" s="29" t="s">
        <v>35</v>
      </c>
      <c r="L65" s="44" t="s">
        <v>83</v>
      </c>
      <c r="M65" s="31"/>
      <c r="N65" s="27" t="s">
        <v>367</v>
      </c>
      <c r="O65" s="45" t="s">
        <v>349</v>
      </c>
      <c r="P65" s="46" t="s">
        <v>61</v>
      </c>
      <c r="Q65" s="25"/>
      <c r="R65" s="27"/>
      <c r="S65" s="27"/>
      <c r="T65" s="28"/>
      <c r="U65" s="27"/>
      <c r="V65" s="27" t="s">
        <v>154</v>
      </c>
      <c r="W65" s="28"/>
      <c r="X65" s="33"/>
      <c r="Y65" s="32"/>
      <c r="Z65" s="25"/>
      <c r="AA65" s="27"/>
      <c r="AB65" s="28"/>
      <c r="AC65" s="27"/>
      <c r="AD65" s="27"/>
      <c r="AE65" s="33"/>
      <c r="AG65" s="25"/>
      <c r="AH65" s="34"/>
      <c r="AI65" s="27"/>
      <c r="AJ65" s="27"/>
      <c r="AK65" s="27"/>
      <c r="AL65" s="25"/>
      <c r="AM65" s="34"/>
      <c r="AN65" s="27">
        <v>0.1</v>
      </c>
      <c r="AO65" s="27">
        <v>0.1</v>
      </c>
      <c r="AP65" s="36">
        <v>0.1</v>
      </c>
      <c r="AQ65" s="37"/>
      <c r="AR65" s="32"/>
      <c r="AS65" s="25" t="s">
        <v>86</v>
      </c>
      <c r="AT65" s="27" t="s">
        <v>87</v>
      </c>
      <c r="AU65" s="58" t="s">
        <v>88</v>
      </c>
      <c r="AW65" s="27" t="s">
        <v>325</v>
      </c>
      <c r="AX65" s="27" t="s">
        <v>303</v>
      </c>
      <c r="AY65" s="27"/>
      <c r="AZ65" s="32"/>
      <c r="BA65" s="41">
        <v>1</v>
      </c>
    </row>
    <row r="66" spans="1:54" ht="16" thickBot="1" x14ac:dyDescent="0.25">
      <c r="A66" s="25">
        <v>51</v>
      </c>
      <c r="B66" s="26">
        <v>45442</v>
      </c>
      <c r="C66" s="27" t="s">
        <v>232</v>
      </c>
      <c r="D66" s="25"/>
      <c r="E66" s="28"/>
      <c r="F66" s="27"/>
      <c r="G66" s="28"/>
      <c r="H66" s="27"/>
      <c r="I66" s="28"/>
      <c r="J66" s="27">
        <v>8</v>
      </c>
      <c r="K66" s="29" t="s">
        <v>35</v>
      </c>
      <c r="L66" s="88" t="s">
        <v>348</v>
      </c>
      <c r="M66" s="31"/>
      <c r="N66" s="27"/>
      <c r="O66" t="s">
        <v>371</v>
      </c>
      <c r="P66" s="46"/>
      <c r="Q66" s="27"/>
      <c r="R66" s="27"/>
      <c r="S66" s="27"/>
      <c r="T66" s="28"/>
      <c r="U66" s="27"/>
      <c r="V66" s="27" t="s">
        <v>154</v>
      </c>
      <c r="W66" s="28"/>
      <c r="X66" s="33"/>
      <c r="Y66" s="32"/>
      <c r="Z66" s="25"/>
      <c r="AA66" s="27"/>
      <c r="AB66" s="28"/>
      <c r="AC66" s="27"/>
      <c r="AD66" s="27"/>
      <c r="AE66" s="33"/>
      <c r="AG66" s="25"/>
      <c r="AH66" s="34"/>
      <c r="AI66" s="27"/>
      <c r="AJ66" s="27"/>
      <c r="AK66" s="27"/>
      <c r="AL66" s="25"/>
      <c r="AM66" s="34"/>
      <c r="AN66" s="27">
        <v>0.1</v>
      </c>
      <c r="AO66" s="27">
        <v>0.1</v>
      </c>
      <c r="AP66" s="36">
        <v>0.1</v>
      </c>
      <c r="AQ66" s="37"/>
      <c r="AR66" s="32"/>
      <c r="AS66" s="25" t="s">
        <v>82</v>
      </c>
      <c r="AT66" s="27" t="s">
        <v>87</v>
      </c>
      <c r="AU66" s="27"/>
      <c r="AV66" t="s">
        <v>464</v>
      </c>
      <c r="AW66" s="27" t="s">
        <v>325</v>
      </c>
      <c r="AX66" s="27" t="s">
        <v>303</v>
      </c>
      <c r="AY66" s="27"/>
      <c r="AZ66" s="32"/>
      <c r="BA66" s="41">
        <v>0</v>
      </c>
    </row>
    <row r="67" spans="1:54" ht="16" thickBot="1" x14ac:dyDescent="0.25">
      <c r="A67" s="25">
        <v>52</v>
      </c>
      <c r="B67" s="26">
        <v>45443</v>
      </c>
      <c r="C67" s="27" t="s">
        <v>200</v>
      </c>
      <c r="D67" s="25"/>
      <c r="E67" s="28"/>
      <c r="F67" s="27"/>
      <c r="G67" s="28"/>
      <c r="H67" s="27"/>
      <c r="I67" s="28"/>
      <c r="J67" s="27">
        <v>8</v>
      </c>
      <c r="K67" s="29" t="s">
        <v>35</v>
      </c>
      <c r="L67" s="39"/>
      <c r="M67" s="31"/>
      <c r="N67" s="27"/>
      <c r="P67" s="32"/>
      <c r="Q67" s="25"/>
      <c r="R67" s="27"/>
      <c r="S67" s="27"/>
      <c r="T67" s="28"/>
      <c r="U67" s="27"/>
      <c r="V67" s="27" t="s">
        <v>154</v>
      </c>
      <c r="W67" s="28"/>
      <c r="X67" s="33"/>
      <c r="Y67" s="32"/>
      <c r="Z67" s="25"/>
      <c r="AA67" s="27"/>
      <c r="AB67" s="28"/>
      <c r="AC67" s="27"/>
      <c r="AD67" s="27"/>
      <c r="AE67" s="33"/>
      <c r="AG67" s="25"/>
      <c r="AH67" s="34"/>
      <c r="AI67" s="27"/>
      <c r="AJ67" s="27"/>
      <c r="AK67" s="27"/>
      <c r="AL67" s="25"/>
      <c r="AM67" s="34"/>
      <c r="AN67" s="27">
        <v>0.1</v>
      </c>
      <c r="AO67" s="27">
        <v>0.1</v>
      </c>
      <c r="AP67" s="36">
        <v>0.1</v>
      </c>
      <c r="AQ67" s="37" t="s">
        <v>467</v>
      </c>
      <c r="AR67" s="32"/>
      <c r="AS67" s="25" t="s">
        <v>82</v>
      </c>
      <c r="AT67" s="27" t="s">
        <v>87</v>
      </c>
      <c r="AW67" s="27" t="s">
        <v>325</v>
      </c>
      <c r="AX67" s="27" t="s">
        <v>303</v>
      </c>
      <c r="AY67" s="27"/>
      <c r="AZ67" s="32"/>
      <c r="BA67" s="41">
        <v>1</v>
      </c>
    </row>
    <row r="68" spans="1:54" ht="16" thickBot="1" x14ac:dyDescent="0.25">
      <c r="A68" s="25">
        <v>53</v>
      </c>
      <c r="B68" s="26">
        <v>45444</v>
      </c>
      <c r="C68" s="27" t="s">
        <v>200</v>
      </c>
      <c r="D68" s="25"/>
      <c r="E68" s="28"/>
      <c r="F68" s="27"/>
      <c r="G68" s="28"/>
      <c r="H68" s="27"/>
      <c r="I68" s="28"/>
      <c r="J68" s="27">
        <v>8</v>
      </c>
      <c r="K68" s="29" t="s">
        <v>35</v>
      </c>
      <c r="L68" s="39"/>
      <c r="M68" s="31"/>
      <c r="N68" s="27"/>
      <c r="P68" s="32"/>
      <c r="Q68" s="25"/>
      <c r="R68" s="27"/>
      <c r="S68" s="27"/>
      <c r="T68" s="28"/>
      <c r="U68" s="27"/>
      <c r="V68" s="27" t="s">
        <v>154</v>
      </c>
      <c r="W68" s="28"/>
      <c r="X68" s="33"/>
      <c r="Y68" s="32"/>
      <c r="Z68" s="25"/>
      <c r="AA68" s="27"/>
      <c r="AB68" s="28"/>
      <c r="AC68" s="27"/>
      <c r="AD68" s="27"/>
      <c r="AE68" s="33"/>
      <c r="AG68" s="25"/>
      <c r="AH68" s="34"/>
      <c r="AI68" s="27"/>
      <c r="AJ68" s="27"/>
      <c r="AK68" s="27"/>
      <c r="AL68" s="25"/>
      <c r="AM68" s="34"/>
      <c r="AN68" s="27">
        <v>0.1</v>
      </c>
      <c r="AO68" s="27">
        <v>0.1</v>
      </c>
      <c r="AP68" s="36">
        <v>0.1</v>
      </c>
      <c r="AQ68" s="37" t="s">
        <v>469</v>
      </c>
      <c r="AR68" s="32"/>
      <c r="AS68" s="25" t="s">
        <v>486</v>
      </c>
      <c r="AT68" s="27" t="s">
        <v>87</v>
      </c>
      <c r="AU68" s="27" t="s">
        <v>470</v>
      </c>
      <c r="AW68" s="27" t="s">
        <v>325</v>
      </c>
      <c r="AX68" s="27" t="s">
        <v>91</v>
      </c>
      <c r="AY68" s="89" t="s">
        <v>92</v>
      </c>
      <c r="AZ68" s="32"/>
      <c r="BA68" s="41">
        <v>3</v>
      </c>
    </row>
    <row r="69" spans="1:54" ht="16" thickBot="1" x14ac:dyDescent="0.25">
      <c r="A69" s="25">
        <v>54</v>
      </c>
      <c r="B69" s="26">
        <v>45445</v>
      </c>
      <c r="C69" s="27" t="s">
        <v>232</v>
      </c>
      <c r="D69" s="25"/>
      <c r="E69" s="28"/>
      <c r="F69" s="27"/>
      <c r="G69" s="28"/>
      <c r="H69" s="27"/>
      <c r="I69" s="28"/>
      <c r="J69" s="27">
        <v>8</v>
      </c>
      <c r="K69" s="29" t="s">
        <v>35</v>
      </c>
      <c r="L69" s="39"/>
      <c r="M69" s="31"/>
      <c r="N69" s="27"/>
      <c r="P69" s="32"/>
      <c r="Q69" s="25"/>
      <c r="R69" s="27"/>
      <c r="S69" s="27"/>
      <c r="T69" s="28"/>
      <c r="U69" s="27"/>
      <c r="V69" s="27" t="s">
        <v>154</v>
      </c>
      <c r="W69" s="28"/>
      <c r="X69" s="33"/>
      <c r="Y69" s="32"/>
      <c r="Z69" s="25"/>
      <c r="AA69" s="27"/>
      <c r="AB69" s="28"/>
      <c r="AC69" s="27"/>
      <c r="AD69" s="27"/>
      <c r="AE69" s="33"/>
      <c r="AG69" s="25"/>
      <c r="AH69" s="34"/>
      <c r="AI69" s="27"/>
      <c r="AJ69" s="27"/>
      <c r="AK69" s="27"/>
      <c r="AL69" s="25"/>
      <c r="AM69" s="34"/>
      <c r="AN69" s="27">
        <v>0.1</v>
      </c>
      <c r="AO69" s="27">
        <v>0.1</v>
      </c>
      <c r="AP69" s="36">
        <v>0.1</v>
      </c>
      <c r="AQ69" s="37"/>
      <c r="AR69" s="32"/>
      <c r="AS69" s="25" t="s">
        <v>486</v>
      </c>
      <c r="AT69" s="27" t="s">
        <v>87</v>
      </c>
      <c r="AU69" s="27"/>
      <c r="AW69" s="25" t="s">
        <v>325</v>
      </c>
      <c r="AX69" s="27" t="s">
        <v>91</v>
      </c>
      <c r="AY69" s="27"/>
      <c r="AZ69" s="32" t="s">
        <v>472</v>
      </c>
      <c r="BA69" s="41">
        <v>2</v>
      </c>
    </row>
    <row r="70" spans="1:54" ht="16" thickBot="1" x14ac:dyDescent="0.25">
      <c r="A70" s="25">
        <v>55</v>
      </c>
      <c r="B70" s="26">
        <v>45446</v>
      </c>
      <c r="C70" s="27" t="s">
        <v>232</v>
      </c>
      <c r="D70" s="25"/>
      <c r="E70" s="28"/>
      <c r="F70" s="27"/>
      <c r="G70" s="28"/>
      <c r="H70" s="27"/>
      <c r="I70" s="28"/>
      <c r="J70" s="27">
        <v>8</v>
      </c>
      <c r="K70" s="29" t="s">
        <v>35</v>
      </c>
      <c r="L70" s="39"/>
      <c r="M70" s="31"/>
      <c r="N70" s="27"/>
      <c r="P70" s="32"/>
      <c r="Q70" s="25"/>
      <c r="R70" s="27"/>
      <c r="S70" s="27"/>
      <c r="T70" s="28"/>
      <c r="U70" s="27"/>
      <c r="V70" s="27" t="s">
        <v>154</v>
      </c>
      <c r="W70" s="28"/>
      <c r="X70" s="33"/>
      <c r="Y70" s="32"/>
      <c r="Z70" s="25"/>
      <c r="AA70" s="27"/>
      <c r="AB70" s="28"/>
      <c r="AC70" s="27"/>
      <c r="AD70" s="27"/>
      <c r="AE70" s="33"/>
      <c r="AG70" s="25"/>
      <c r="AH70" s="34"/>
      <c r="AI70" s="27"/>
      <c r="AJ70" s="27"/>
      <c r="AK70" s="27"/>
      <c r="AL70" s="25"/>
      <c r="AM70" s="34"/>
      <c r="AN70" s="27">
        <v>0.1</v>
      </c>
      <c r="AO70" s="27">
        <v>0.1</v>
      </c>
      <c r="AP70" s="36">
        <v>0.1</v>
      </c>
      <c r="AQ70" s="82"/>
      <c r="AR70" s="32"/>
      <c r="AS70" s="25" t="s">
        <v>486</v>
      </c>
      <c r="AT70" s="27" t="s">
        <v>87</v>
      </c>
      <c r="AW70" s="25" t="s">
        <v>473</v>
      </c>
      <c r="AX70" s="27" t="s">
        <v>91</v>
      </c>
      <c r="AY70" s="27"/>
      <c r="AZ70" s="32"/>
      <c r="BA70" s="41">
        <v>0</v>
      </c>
    </row>
    <row r="71" spans="1:54" x14ac:dyDescent="0.2">
      <c r="A71" s="25">
        <v>56</v>
      </c>
      <c r="B71" s="26">
        <v>45447</v>
      </c>
      <c r="C71" s="27" t="s">
        <v>227</v>
      </c>
      <c r="D71" s="25"/>
      <c r="E71" s="28"/>
      <c r="F71" s="27"/>
      <c r="G71" s="28"/>
      <c r="H71" s="27"/>
      <c r="I71" s="28"/>
      <c r="J71" s="27">
        <v>8</v>
      </c>
      <c r="K71" s="29" t="s">
        <v>35</v>
      </c>
      <c r="L71" s="39"/>
      <c r="M71" s="31"/>
      <c r="N71" s="27"/>
      <c r="P71" s="32"/>
      <c r="Q71" s="25"/>
      <c r="R71" s="27"/>
      <c r="S71" s="27"/>
      <c r="T71" s="28"/>
      <c r="U71" s="27"/>
      <c r="V71" s="27" t="s">
        <v>154</v>
      </c>
      <c r="W71" s="28"/>
      <c r="X71" s="33"/>
      <c r="Y71" s="32"/>
      <c r="Z71" s="25"/>
      <c r="AA71" s="27"/>
      <c r="AB71" s="28"/>
      <c r="AC71" s="27"/>
      <c r="AD71" s="27"/>
      <c r="AE71" s="33"/>
      <c r="AG71" s="25"/>
      <c r="AH71" s="34"/>
      <c r="AI71" s="27"/>
      <c r="AJ71" s="27"/>
      <c r="AK71" s="27"/>
      <c r="AL71" s="25"/>
      <c r="AM71" s="34"/>
      <c r="AN71" s="27">
        <v>0.1</v>
      </c>
      <c r="AO71" s="27">
        <v>0.1</v>
      </c>
      <c r="AP71" s="36">
        <v>0.1</v>
      </c>
      <c r="AQ71" s="37"/>
      <c r="AR71" s="32"/>
      <c r="AS71" s="25" t="s">
        <v>486</v>
      </c>
      <c r="AT71" s="27" t="s">
        <v>87</v>
      </c>
      <c r="AU71" s="27"/>
      <c r="AW71" s="25" t="s">
        <v>341</v>
      </c>
      <c r="AX71" s="27" t="s">
        <v>91</v>
      </c>
      <c r="AY71" s="27"/>
      <c r="AZ71" s="32"/>
      <c r="BA71" s="41">
        <v>0</v>
      </c>
    </row>
    <row r="72" spans="1:54" ht="16" thickBot="1" x14ac:dyDescent="0.25">
      <c r="A72" s="25">
        <v>57</v>
      </c>
      <c r="B72" s="26">
        <v>45448</v>
      </c>
      <c r="C72" s="27" t="s">
        <v>227</v>
      </c>
      <c r="D72" s="25"/>
      <c r="E72" s="28"/>
      <c r="F72" s="27"/>
      <c r="G72" s="28"/>
      <c r="H72" s="27"/>
      <c r="I72" s="28"/>
      <c r="J72" s="27">
        <v>8</v>
      </c>
      <c r="K72" s="29" t="s">
        <v>35</v>
      </c>
      <c r="L72" s="39"/>
      <c r="M72" s="153" t="s">
        <v>487</v>
      </c>
      <c r="N72" s="27"/>
      <c r="P72" s="32"/>
      <c r="Q72" s="25"/>
      <c r="R72" s="27"/>
      <c r="S72" s="27"/>
      <c r="T72" s="28"/>
      <c r="U72" s="27"/>
      <c r="V72" s="27"/>
      <c r="W72" s="28"/>
      <c r="X72" s="33"/>
      <c r="Y72" s="32" t="s">
        <v>477</v>
      </c>
      <c r="Z72" s="25"/>
      <c r="AA72" s="27"/>
      <c r="AB72" s="28"/>
      <c r="AC72" s="27"/>
      <c r="AD72" s="27"/>
      <c r="AE72" s="33"/>
      <c r="AG72" s="25"/>
      <c r="AH72" s="34"/>
      <c r="AI72" s="27"/>
      <c r="AJ72" s="27"/>
      <c r="AK72" s="27"/>
      <c r="AL72" s="25"/>
      <c r="AM72" s="34"/>
      <c r="AN72" s="27">
        <v>0.1</v>
      </c>
      <c r="AO72" s="27">
        <v>0.1</v>
      </c>
      <c r="AP72" s="36">
        <v>0.1</v>
      </c>
      <c r="AQ72" s="37"/>
      <c r="AR72" s="32"/>
      <c r="AS72" s="25" t="s">
        <v>486</v>
      </c>
      <c r="AT72" s="27" t="s">
        <v>87</v>
      </c>
      <c r="AU72" s="27"/>
      <c r="AW72" s="25" t="s">
        <v>473</v>
      </c>
      <c r="AX72" s="27" t="s">
        <v>91</v>
      </c>
      <c r="AY72" s="27"/>
      <c r="AZ72" s="32"/>
      <c r="BA72" s="41">
        <v>0</v>
      </c>
    </row>
    <row r="73" spans="1:54" ht="16" thickBot="1" x14ac:dyDescent="0.25">
      <c r="A73" s="25">
        <v>58</v>
      </c>
      <c r="B73" s="26">
        <v>45449</v>
      </c>
      <c r="C73" s="27" t="s">
        <v>227</v>
      </c>
      <c r="D73" s="25"/>
      <c r="E73" s="28"/>
      <c r="F73" s="27"/>
      <c r="G73" s="28"/>
      <c r="H73" s="27"/>
      <c r="I73" s="28"/>
      <c r="J73" s="27">
        <v>8</v>
      </c>
      <c r="K73" s="29" t="s">
        <v>35</v>
      </c>
      <c r="L73" s="39"/>
      <c r="M73" s="31"/>
      <c r="N73" s="27"/>
      <c r="P73" s="32"/>
      <c r="Q73" s="25"/>
      <c r="R73" s="27"/>
      <c r="S73" s="27"/>
      <c r="T73" s="28"/>
      <c r="U73" s="27"/>
      <c r="V73" s="27"/>
      <c r="W73" s="28"/>
      <c r="X73" s="33"/>
      <c r="Y73" s="32"/>
      <c r="Z73" s="25"/>
      <c r="AA73" s="27"/>
      <c r="AB73" s="28"/>
      <c r="AC73" s="27"/>
      <c r="AD73" s="27"/>
      <c r="AE73" s="33"/>
      <c r="AG73" s="25"/>
      <c r="AH73" s="34"/>
      <c r="AI73" s="27"/>
      <c r="AJ73" s="27"/>
      <c r="AK73" s="27"/>
      <c r="AL73" s="25"/>
      <c r="AM73" s="34"/>
      <c r="AN73" s="27">
        <v>0.1</v>
      </c>
      <c r="AO73" s="27">
        <v>0.1</v>
      </c>
      <c r="AP73" s="36">
        <v>0.1</v>
      </c>
      <c r="AQ73" s="37"/>
      <c r="AR73" s="32"/>
      <c r="AS73" s="25" t="s">
        <v>486</v>
      </c>
      <c r="AT73" s="27" t="s">
        <v>87</v>
      </c>
      <c r="AU73" s="27"/>
      <c r="AW73" s="25" t="s">
        <v>473</v>
      </c>
      <c r="AX73" s="27" t="s">
        <v>91</v>
      </c>
      <c r="AY73" s="89" t="s">
        <v>94</v>
      </c>
      <c r="AZ73" s="32"/>
      <c r="BA73" s="41">
        <v>1</v>
      </c>
    </row>
    <row r="74" spans="1:54" ht="16" thickBot="1" x14ac:dyDescent="0.25">
      <c r="A74" s="25">
        <v>59</v>
      </c>
      <c r="B74" s="26">
        <v>45450</v>
      </c>
      <c r="C74" s="27" t="s">
        <v>200</v>
      </c>
      <c r="D74" s="25"/>
      <c r="E74" s="28"/>
      <c r="F74" s="27"/>
      <c r="G74" s="28"/>
      <c r="H74" s="27"/>
      <c r="I74" s="28"/>
      <c r="J74" s="27">
        <v>8</v>
      </c>
      <c r="K74" s="29" t="s">
        <v>35</v>
      </c>
      <c r="L74" s="39"/>
      <c r="M74" s="31"/>
      <c r="N74" s="27"/>
      <c r="P74" s="32"/>
      <c r="Q74" s="25"/>
      <c r="R74" s="27"/>
      <c r="S74" s="27"/>
      <c r="T74" s="28"/>
      <c r="U74" s="27"/>
      <c r="V74" s="27"/>
      <c r="W74" s="28"/>
      <c r="X74" s="33"/>
      <c r="Y74" s="32"/>
      <c r="Z74" s="25"/>
      <c r="AA74" s="27"/>
      <c r="AB74" s="28"/>
      <c r="AC74" s="27"/>
      <c r="AD74" s="27"/>
      <c r="AE74" s="33"/>
      <c r="AG74" s="25"/>
      <c r="AH74" s="34"/>
      <c r="AI74" s="27"/>
      <c r="AJ74" s="27"/>
      <c r="AK74" s="27"/>
      <c r="AL74" s="25"/>
      <c r="AM74" s="34"/>
      <c r="AN74" s="27">
        <v>0.1</v>
      </c>
      <c r="AO74" s="27">
        <v>0.1</v>
      </c>
      <c r="AP74" s="36">
        <v>0.1</v>
      </c>
      <c r="AQ74" s="37"/>
      <c r="AR74" s="32"/>
      <c r="AS74" s="25" t="s">
        <v>486</v>
      </c>
      <c r="AT74" s="27" t="s">
        <v>87</v>
      </c>
      <c r="AU74" s="27" t="s">
        <v>483</v>
      </c>
      <c r="AW74" s="25" t="s">
        <v>473</v>
      </c>
      <c r="AX74" s="27" t="s">
        <v>95</v>
      </c>
      <c r="AY74" s="27"/>
      <c r="AZ74" s="32"/>
      <c r="BA74" s="41">
        <v>1</v>
      </c>
    </row>
    <row r="75" spans="1:54" ht="16" thickBot="1" x14ac:dyDescent="0.25">
      <c r="A75" s="25">
        <v>60</v>
      </c>
      <c r="B75" s="26">
        <v>45451</v>
      </c>
      <c r="C75" s="27" t="s">
        <v>200</v>
      </c>
      <c r="D75" s="25"/>
      <c r="E75" s="28"/>
      <c r="F75" s="27"/>
      <c r="G75" s="28"/>
      <c r="H75" s="27"/>
      <c r="I75" s="28"/>
      <c r="J75" s="27">
        <v>8</v>
      </c>
      <c r="K75" s="29" t="s">
        <v>35</v>
      </c>
      <c r="L75" s="39"/>
      <c r="M75" s="31"/>
      <c r="N75" s="27"/>
      <c r="P75" s="32"/>
      <c r="Q75" s="25"/>
      <c r="R75" s="27"/>
      <c r="S75" s="27"/>
      <c r="T75" s="28"/>
      <c r="U75" s="27"/>
      <c r="V75" s="27"/>
      <c r="W75" s="28"/>
      <c r="X75" s="33"/>
      <c r="Y75" s="32"/>
      <c r="Z75" s="25"/>
      <c r="AA75" s="27"/>
      <c r="AB75" s="28"/>
      <c r="AC75" s="27"/>
      <c r="AD75" s="27"/>
      <c r="AE75" s="33"/>
      <c r="AG75" s="25"/>
      <c r="AH75" s="34"/>
      <c r="AI75" s="27"/>
      <c r="AJ75" s="27"/>
      <c r="AK75" s="27"/>
      <c r="AL75" s="25"/>
      <c r="AM75" s="34"/>
      <c r="AN75" s="27">
        <v>0.1</v>
      </c>
      <c r="AO75" s="27">
        <v>0.1</v>
      </c>
      <c r="AP75" s="36">
        <v>0.1</v>
      </c>
      <c r="AQ75" s="37"/>
      <c r="AR75" s="32"/>
      <c r="AS75" s="25" t="s">
        <v>486</v>
      </c>
      <c r="AT75" s="27" t="s">
        <v>87</v>
      </c>
      <c r="AU75" s="58" t="s">
        <v>97</v>
      </c>
      <c r="AW75" s="25" t="s">
        <v>473</v>
      </c>
      <c r="AX75" s="27" t="s">
        <v>95</v>
      </c>
      <c r="AY75" s="27"/>
      <c r="AZ75" s="32"/>
      <c r="BA75" s="41">
        <v>1</v>
      </c>
    </row>
    <row r="76" spans="1:54" x14ac:dyDescent="0.2">
      <c r="A76" s="25">
        <v>61</v>
      </c>
      <c r="B76" s="26">
        <v>45452</v>
      </c>
      <c r="C76" s="27" t="s">
        <v>232</v>
      </c>
      <c r="D76" s="25"/>
      <c r="E76" s="28"/>
      <c r="F76" s="27"/>
      <c r="G76" s="28"/>
      <c r="H76" s="27"/>
      <c r="I76" s="28"/>
      <c r="J76" s="27">
        <v>8</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v>0.1</v>
      </c>
      <c r="AO76" s="27">
        <v>0.1</v>
      </c>
      <c r="AP76" s="36">
        <v>0.1</v>
      </c>
      <c r="AQ76" s="37"/>
      <c r="AR76" s="32"/>
      <c r="AS76" s="25" t="s">
        <v>406</v>
      </c>
      <c r="AT76" s="27" t="s">
        <v>87</v>
      </c>
      <c r="AU76" s="27"/>
      <c r="AW76" s="25" t="s">
        <v>473</v>
      </c>
      <c r="AX76" s="27" t="s">
        <v>95</v>
      </c>
      <c r="AY76" s="27"/>
      <c r="AZ76" s="32"/>
      <c r="BA76" s="41">
        <v>0</v>
      </c>
    </row>
    <row r="77" spans="1:54" x14ac:dyDescent="0.2">
      <c r="A77" s="25">
        <v>62</v>
      </c>
      <c r="B77" s="26">
        <v>45453</v>
      </c>
      <c r="C77" s="27" t="s">
        <v>232</v>
      </c>
      <c r="D77" s="25"/>
      <c r="E77" s="28"/>
      <c r="F77" s="27"/>
      <c r="G77" s="28"/>
      <c r="H77" s="27"/>
      <c r="I77" s="28"/>
      <c r="J77" s="27">
        <v>8</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v>0.1</v>
      </c>
      <c r="AO77" s="27">
        <v>0.1</v>
      </c>
      <c r="AP77" s="36">
        <v>0.1</v>
      </c>
      <c r="AQ77" s="37"/>
      <c r="AR77" s="32"/>
      <c r="AS77" s="25" t="s">
        <v>406</v>
      </c>
      <c r="AT77" s="27" t="s">
        <v>87</v>
      </c>
      <c r="AU77" s="27"/>
      <c r="AW77" s="25" t="s">
        <v>473</v>
      </c>
      <c r="AX77" s="27" t="s">
        <v>95</v>
      </c>
      <c r="AY77" s="27"/>
      <c r="AZ77" s="32"/>
      <c r="BA77" s="41">
        <v>0</v>
      </c>
    </row>
    <row r="78" spans="1:54" x14ac:dyDescent="0.2">
      <c r="A78" s="25">
        <v>63</v>
      </c>
      <c r="B78" s="26">
        <v>45454</v>
      </c>
      <c r="C78" s="27" t="s">
        <v>227</v>
      </c>
      <c r="D78" s="25"/>
      <c r="E78" s="28"/>
      <c r="F78" s="27"/>
      <c r="G78" s="28"/>
      <c r="H78" s="27"/>
      <c r="I78" s="28"/>
      <c r="J78" s="27">
        <v>8</v>
      </c>
      <c r="K78" s="29" t="s">
        <v>35</v>
      </c>
      <c r="L78" s="39"/>
      <c r="M78" s="31"/>
      <c r="N78" s="27"/>
      <c r="P78" s="32"/>
      <c r="Q78" s="25"/>
      <c r="R78" s="27"/>
      <c r="S78" s="27"/>
      <c r="T78" s="28"/>
      <c r="U78" s="27"/>
      <c r="V78" s="27"/>
      <c r="W78" s="28"/>
      <c r="X78" s="33"/>
      <c r="Y78" s="32"/>
      <c r="Z78" s="25"/>
      <c r="AA78" s="27"/>
      <c r="AB78" s="28"/>
      <c r="AC78" s="27"/>
      <c r="AD78" s="27"/>
      <c r="AE78" s="33"/>
      <c r="AG78" s="25"/>
      <c r="AH78" s="34"/>
      <c r="AI78" s="27"/>
      <c r="AJ78" s="27"/>
      <c r="AK78" s="27"/>
      <c r="AL78" s="25"/>
      <c r="AM78" s="34"/>
      <c r="AN78" s="27">
        <v>0.1</v>
      </c>
      <c r="AO78" s="27">
        <v>0.1</v>
      </c>
      <c r="AP78" s="36">
        <v>0.1</v>
      </c>
      <c r="AQ78" s="37"/>
      <c r="AR78" s="32" t="s">
        <v>489</v>
      </c>
      <c r="AS78" s="25" t="s">
        <v>96</v>
      </c>
      <c r="AT78" s="27" t="s">
        <v>87</v>
      </c>
      <c r="AU78" s="27"/>
      <c r="AW78" s="25" t="s">
        <v>473</v>
      </c>
      <c r="AX78" s="27" t="s">
        <v>95</v>
      </c>
      <c r="AY78" s="27"/>
      <c r="AZ78" s="32"/>
      <c r="BA78" s="41">
        <v>0</v>
      </c>
    </row>
    <row r="79" spans="1:54" x14ac:dyDescent="0.2">
      <c r="A79" s="25">
        <v>64</v>
      </c>
      <c r="B79" s="26">
        <v>45455</v>
      </c>
      <c r="C79" s="27" t="s">
        <v>227</v>
      </c>
      <c r="D79" s="25"/>
      <c r="E79" s="28"/>
      <c r="F79" s="27"/>
      <c r="G79" s="28"/>
      <c r="H79" s="27"/>
      <c r="I79" s="28"/>
      <c r="J79" s="27">
        <v>8</v>
      </c>
      <c r="K79" s="29" t="s">
        <v>35</v>
      </c>
      <c r="L79" s="39"/>
      <c r="M79" s="31"/>
      <c r="N79" s="27"/>
      <c r="P79" s="32"/>
      <c r="Q79" s="25"/>
      <c r="R79" s="27"/>
      <c r="S79" s="27"/>
      <c r="T79" s="28"/>
      <c r="U79" s="27"/>
      <c r="V79" s="27"/>
      <c r="W79" s="28"/>
      <c r="X79" s="33"/>
      <c r="Y79" s="32"/>
      <c r="Z79" s="25"/>
      <c r="AA79" s="27"/>
      <c r="AB79" s="28"/>
      <c r="AC79" s="27"/>
      <c r="AD79" s="27"/>
      <c r="AE79" s="33"/>
      <c r="AG79" s="25"/>
      <c r="AH79" s="34"/>
      <c r="AI79" s="27"/>
      <c r="AJ79" s="27"/>
      <c r="AK79" s="27"/>
      <c r="AL79" s="25"/>
      <c r="AM79" s="34"/>
      <c r="AN79" s="27">
        <v>0.1</v>
      </c>
      <c r="AO79" s="27">
        <v>0.1</v>
      </c>
      <c r="AP79" s="36">
        <v>0.1</v>
      </c>
      <c r="AQ79" s="37"/>
      <c r="AR79" s="32"/>
      <c r="AS79" s="25" t="s">
        <v>96</v>
      </c>
      <c r="AT79" s="27" t="s">
        <v>87</v>
      </c>
      <c r="AU79" s="27"/>
      <c r="AW79" s="25" t="s">
        <v>473</v>
      </c>
      <c r="AX79" s="27" t="s">
        <v>95</v>
      </c>
      <c r="AY79" s="27"/>
      <c r="AZ79" s="32"/>
      <c r="BA79" s="41">
        <v>1</v>
      </c>
      <c r="BB79" t="s">
        <v>496</v>
      </c>
    </row>
    <row r="80" spans="1:54" x14ac:dyDescent="0.2">
      <c r="A80" s="25">
        <v>65</v>
      </c>
      <c r="B80" s="26">
        <v>45456</v>
      </c>
      <c r="C80" s="27" t="s">
        <v>232</v>
      </c>
      <c r="D80" s="25"/>
      <c r="E80" s="28"/>
      <c r="F80" s="27"/>
      <c r="G80" s="28"/>
      <c r="H80" s="27"/>
      <c r="I80" s="28"/>
      <c r="J80" s="27">
        <v>8</v>
      </c>
      <c r="K80" s="29" t="s">
        <v>35</v>
      </c>
      <c r="L80" s="39"/>
      <c r="M80" s="31"/>
      <c r="N80" s="27"/>
      <c r="P80" s="32"/>
      <c r="Q80" s="25"/>
      <c r="R80" s="27"/>
      <c r="S80" s="27"/>
      <c r="T80" s="28"/>
      <c r="U80" s="27"/>
      <c r="V80" s="27"/>
      <c r="W80" s="28"/>
      <c r="X80" s="33"/>
      <c r="Y80" s="32"/>
      <c r="Z80" s="25"/>
      <c r="AA80" s="27"/>
      <c r="AB80" s="28"/>
      <c r="AC80" s="27"/>
      <c r="AD80" s="27"/>
      <c r="AE80" s="33"/>
      <c r="AG80" s="25"/>
      <c r="AH80" s="34"/>
      <c r="AI80" s="27"/>
      <c r="AJ80" s="27"/>
      <c r="AK80" s="27"/>
      <c r="AL80" s="25"/>
      <c r="AM80" s="34"/>
      <c r="AN80" s="27">
        <v>0.1</v>
      </c>
      <c r="AO80" s="27">
        <v>0.1</v>
      </c>
      <c r="AP80" s="36">
        <v>0.1</v>
      </c>
      <c r="AQ80" s="37"/>
      <c r="AR80" s="32"/>
      <c r="AS80" s="25" t="s">
        <v>96</v>
      </c>
      <c r="AT80" s="27" t="s">
        <v>87</v>
      </c>
      <c r="AU80" s="27"/>
      <c r="AW80" s="25" t="s">
        <v>473</v>
      </c>
      <c r="AX80" s="27" t="s">
        <v>95</v>
      </c>
      <c r="AY80" s="27"/>
      <c r="AZ80" s="32"/>
      <c r="BA80" s="41">
        <v>0</v>
      </c>
    </row>
    <row r="81" spans="1:53" x14ac:dyDescent="0.2">
      <c r="A81" s="25">
        <v>66</v>
      </c>
      <c r="B81" s="26">
        <v>45457</v>
      </c>
      <c r="C81" s="27" t="s">
        <v>200</v>
      </c>
      <c r="D81" s="25"/>
      <c r="E81" s="28"/>
      <c r="F81" s="27"/>
      <c r="G81" s="28"/>
      <c r="H81" s="27"/>
      <c r="I81" s="28"/>
      <c r="J81" s="27">
        <v>8</v>
      </c>
      <c r="K81" s="29" t="s">
        <v>35</v>
      </c>
      <c r="L81" s="39"/>
      <c r="M81" s="31"/>
      <c r="N81" s="27"/>
      <c r="P81" s="32"/>
      <c r="Q81" s="25"/>
      <c r="R81" s="27"/>
      <c r="S81" s="27"/>
      <c r="T81" s="28"/>
      <c r="U81" s="27"/>
      <c r="V81" s="27"/>
      <c r="W81" s="28"/>
      <c r="X81" s="33"/>
      <c r="Y81" s="32"/>
      <c r="Z81" s="25"/>
      <c r="AA81" s="27"/>
      <c r="AB81" s="28"/>
      <c r="AC81" s="27"/>
      <c r="AD81" s="27"/>
      <c r="AE81" s="33"/>
      <c r="AG81" s="25"/>
      <c r="AH81" s="34"/>
      <c r="AI81" s="27"/>
      <c r="AJ81" s="27"/>
      <c r="AK81" s="27"/>
      <c r="AL81" s="25"/>
      <c r="AM81" s="34"/>
      <c r="AN81" s="27">
        <v>0.1</v>
      </c>
      <c r="AO81" s="27">
        <v>0.1</v>
      </c>
      <c r="AP81" s="36">
        <v>0.1</v>
      </c>
      <c r="AQ81" s="37"/>
      <c r="AR81" s="32"/>
      <c r="AS81" s="25" t="s">
        <v>96</v>
      </c>
      <c r="AT81" s="27" t="s">
        <v>87</v>
      </c>
      <c r="AU81" s="27"/>
      <c r="AW81" s="25" t="s">
        <v>473</v>
      </c>
      <c r="AX81" s="27" t="s">
        <v>95</v>
      </c>
      <c r="AY81" s="27"/>
      <c r="AZ81" s="32"/>
      <c r="BA81" s="41">
        <v>1</v>
      </c>
    </row>
    <row r="82" spans="1:53" x14ac:dyDescent="0.2">
      <c r="A82" s="25">
        <v>67</v>
      </c>
      <c r="B82" s="26">
        <v>45458</v>
      </c>
      <c r="C82" s="27" t="s">
        <v>200</v>
      </c>
      <c r="D82" s="25"/>
      <c r="E82" s="28"/>
      <c r="F82" s="27"/>
      <c r="G82" s="28"/>
      <c r="H82" s="27"/>
      <c r="I82" s="28"/>
      <c r="J82" s="27">
        <v>8</v>
      </c>
      <c r="K82" s="29" t="s">
        <v>35</v>
      </c>
      <c r="L82" s="39"/>
      <c r="M82" s="31"/>
      <c r="N82" s="27"/>
      <c r="P82" s="32"/>
      <c r="Q82" s="25"/>
      <c r="R82" s="27"/>
      <c r="S82" s="27"/>
      <c r="T82" s="28"/>
      <c r="U82" s="27"/>
      <c r="V82" s="27"/>
      <c r="W82" s="28"/>
      <c r="X82" s="33"/>
      <c r="Y82" s="32"/>
      <c r="Z82" s="25"/>
      <c r="AA82" s="27"/>
      <c r="AB82" s="28"/>
      <c r="AC82" s="27"/>
      <c r="AD82" s="27"/>
      <c r="AE82" s="33"/>
      <c r="AG82" s="25"/>
      <c r="AH82" s="34"/>
      <c r="AI82" s="27"/>
      <c r="AJ82" s="27"/>
      <c r="AK82" s="27"/>
      <c r="AL82" s="25"/>
      <c r="AM82" s="34"/>
      <c r="AN82" s="27">
        <v>0.1</v>
      </c>
      <c r="AO82" s="27">
        <v>0.1</v>
      </c>
      <c r="AP82" s="36">
        <v>0.1</v>
      </c>
      <c r="AQ82" s="37"/>
      <c r="AR82" s="32"/>
      <c r="AS82" s="25" t="s">
        <v>96</v>
      </c>
      <c r="AT82" s="27" t="s">
        <v>87</v>
      </c>
      <c r="AU82" s="27"/>
      <c r="AW82" s="25" t="s">
        <v>473</v>
      </c>
      <c r="AX82" s="27" t="s">
        <v>95</v>
      </c>
      <c r="AY82" s="27"/>
      <c r="AZ82" s="32"/>
      <c r="BA82" s="41">
        <v>0</v>
      </c>
    </row>
    <row r="83" spans="1:53" x14ac:dyDescent="0.2">
      <c r="A83" s="25">
        <v>68</v>
      </c>
      <c r="B83" s="26">
        <v>45459</v>
      </c>
      <c r="C83" s="27" t="s">
        <v>232</v>
      </c>
      <c r="D83" s="25"/>
      <c r="E83" s="28"/>
      <c r="F83" s="27"/>
      <c r="G83" s="28"/>
      <c r="H83" s="27"/>
      <c r="I83" s="28"/>
      <c r="J83" s="27">
        <v>8</v>
      </c>
      <c r="K83" s="29" t="s">
        <v>35</v>
      </c>
      <c r="L83" s="39"/>
      <c r="M83" s="31"/>
      <c r="N83" s="27"/>
      <c r="P83" s="32"/>
      <c r="Q83" s="25"/>
      <c r="R83" s="27"/>
      <c r="S83" s="27"/>
      <c r="T83" s="28"/>
      <c r="U83" s="27"/>
      <c r="V83" s="27"/>
      <c r="W83" s="28"/>
      <c r="X83" s="33"/>
      <c r="Y83" s="32"/>
      <c r="Z83" s="25"/>
      <c r="AA83" s="27"/>
      <c r="AB83" s="28"/>
      <c r="AC83" s="27"/>
      <c r="AD83" s="27"/>
      <c r="AE83" s="33"/>
      <c r="AG83" s="25"/>
      <c r="AH83" s="34"/>
      <c r="AI83" s="27"/>
      <c r="AJ83" s="27"/>
      <c r="AK83" s="27"/>
      <c r="AL83" s="25"/>
      <c r="AM83" s="34"/>
      <c r="AN83" s="27">
        <v>0.1</v>
      </c>
      <c r="AO83" s="27">
        <v>0.1</v>
      </c>
      <c r="AP83" s="36">
        <v>0.1</v>
      </c>
      <c r="AQ83" s="37"/>
      <c r="AR83" s="32"/>
      <c r="AS83" s="25" t="s">
        <v>96</v>
      </c>
      <c r="AT83" s="27" t="s">
        <v>87</v>
      </c>
      <c r="AU83" s="27"/>
      <c r="AW83" s="25" t="s">
        <v>473</v>
      </c>
      <c r="AX83" s="27" t="s">
        <v>95</v>
      </c>
      <c r="AY83" s="27"/>
      <c r="AZ83" s="32"/>
      <c r="BA83" s="41">
        <v>3</v>
      </c>
    </row>
    <row r="84" spans="1:53" x14ac:dyDescent="0.2">
      <c r="A84" s="25">
        <v>69</v>
      </c>
      <c r="B84" s="26">
        <v>45460</v>
      </c>
      <c r="C84" s="27" t="s">
        <v>232</v>
      </c>
      <c r="D84" s="25"/>
      <c r="E84" s="28"/>
      <c r="F84" s="27"/>
      <c r="G84" s="28"/>
      <c r="H84" s="27"/>
      <c r="I84" s="28"/>
      <c r="J84" s="27">
        <v>8</v>
      </c>
      <c r="K84" s="29" t="s">
        <v>35</v>
      </c>
      <c r="L84" s="39"/>
      <c r="M84" s="31"/>
      <c r="N84" s="27"/>
      <c r="P84" s="32"/>
      <c r="Q84" s="25"/>
      <c r="R84" s="27"/>
      <c r="S84" s="27"/>
      <c r="T84" s="28"/>
      <c r="U84" s="27"/>
      <c r="V84" s="27"/>
      <c r="W84" s="28"/>
      <c r="X84" s="33"/>
      <c r="Y84" s="32"/>
      <c r="Z84" s="25"/>
      <c r="AA84" s="27"/>
      <c r="AB84" s="28"/>
      <c r="AC84" s="27"/>
      <c r="AD84" s="27"/>
      <c r="AE84" s="33"/>
      <c r="AG84" s="25"/>
      <c r="AH84" s="34"/>
      <c r="AI84" s="27"/>
      <c r="AJ84" s="27"/>
      <c r="AK84" s="27"/>
      <c r="AL84" s="25"/>
      <c r="AM84" s="34"/>
      <c r="AN84" s="27">
        <v>0.1</v>
      </c>
      <c r="AO84" s="27">
        <v>0.1</v>
      </c>
      <c r="AP84" s="36">
        <v>0.1</v>
      </c>
      <c r="AQ84" s="37"/>
      <c r="AR84" s="32"/>
      <c r="AS84" s="25" t="s">
        <v>96</v>
      </c>
      <c r="AT84" s="27" t="s">
        <v>87</v>
      </c>
      <c r="AU84" s="27"/>
      <c r="AW84" s="25" t="s">
        <v>507</v>
      </c>
      <c r="AX84" s="27" t="s">
        <v>95</v>
      </c>
      <c r="AY84" s="27"/>
      <c r="AZ84" s="32"/>
      <c r="BA84" s="41">
        <v>1</v>
      </c>
    </row>
    <row r="85" spans="1:53" x14ac:dyDescent="0.2">
      <c r="A85" s="25">
        <v>70</v>
      </c>
      <c r="B85" s="26">
        <v>45461</v>
      </c>
      <c r="C85" s="27" t="s">
        <v>232</v>
      </c>
      <c r="D85" s="25"/>
      <c r="E85" s="28"/>
      <c r="F85" s="27"/>
      <c r="G85" s="28"/>
      <c r="H85" s="27"/>
      <c r="I85" s="28"/>
      <c r="J85" s="27">
        <v>8</v>
      </c>
      <c r="K85" s="29" t="s">
        <v>35</v>
      </c>
      <c r="L85" s="39"/>
      <c r="M85" s="31"/>
      <c r="N85" s="27"/>
      <c r="P85" s="32"/>
      <c r="Q85" s="25"/>
      <c r="R85" s="27"/>
      <c r="S85" s="27"/>
      <c r="T85" s="28"/>
      <c r="U85" s="27"/>
      <c r="V85" s="27"/>
      <c r="W85" s="28"/>
      <c r="X85" s="33"/>
      <c r="Y85" s="32"/>
      <c r="Z85" s="25"/>
      <c r="AA85" s="27"/>
      <c r="AB85" s="28"/>
      <c r="AC85" s="27"/>
      <c r="AD85" s="27"/>
      <c r="AE85" s="33"/>
      <c r="AG85" s="25"/>
      <c r="AH85" s="34"/>
      <c r="AI85" s="27"/>
      <c r="AJ85" s="27"/>
      <c r="AK85" s="27"/>
      <c r="AL85" s="25"/>
      <c r="AM85" s="34"/>
      <c r="AN85" s="27">
        <v>0.1</v>
      </c>
      <c r="AO85" s="27">
        <v>0.1</v>
      </c>
      <c r="AP85" s="36">
        <v>0.1</v>
      </c>
      <c r="AQ85" s="37"/>
      <c r="AR85" s="32"/>
      <c r="AS85" s="25" t="s">
        <v>96</v>
      </c>
      <c r="AT85" s="27" t="s">
        <v>87</v>
      </c>
      <c r="AU85" s="27"/>
      <c r="AW85" s="25" t="s">
        <v>473</v>
      </c>
      <c r="AX85" s="27" t="s">
        <v>95</v>
      </c>
      <c r="AY85" s="27"/>
      <c r="AZ85" s="32"/>
      <c r="BA85" s="41">
        <v>1</v>
      </c>
    </row>
    <row r="86" spans="1:53" x14ac:dyDescent="0.2">
      <c r="A86" s="25">
        <v>71</v>
      </c>
      <c r="B86" s="26">
        <v>45462</v>
      </c>
      <c r="C86" s="27" t="s">
        <v>227</v>
      </c>
      <c r="D86" s="25"/>
      <c r="E86" s="28"/>
      <c r="F86" s="27"/>
      <c r="G86" s="28"/>
      <c r="H86" s="27"/>
      <c r="I86" s="28"/>
      <c r="J86" s="27">
        <v>8</v>
      </c>
      <c r="K86" s="29" t="s">
        <v>35</v>
      </c>
      <c r="L86" s="39"/>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v>0.1</v>
      </c>
      <c r="AO86" s="27">
        <v>0.1</v>
      </c>
      <c r="AP86" s="36">
        <v>0.1</v>
      </c>
      <c r="AQ86" s="37"/>
      <c r="AS86" s="25" t="s">
        <v>96</v>
      </c>
      <c r="AT86" s="27" t="s">
        <v>87</v>
      </c>
      <c r="AU86" s="27"/>
      <c r="AW86" s="25" t="s">
        <v>473</v>
      </c>
      <c r="AX86" s="27" t="s">
        <v>95</v>
      </c>
      <c r="AY86" s="27"/>
      <c r="AZ86" s="32"/>
      <c r="BA86" s="41">
        <v>0</v>
      </c>
    </row>
    <row r="87" spans="1:53" x14ac:dyDescent="0.2">
      <c r="A87" s="25">
        <v>72</v>
      </c>
      <c r="B87" s="26">
        <v>45463</v>
      </c>
      <c r="C87" s="27" t="s">
        <v>227</v>
      </c>
      <c r="D87" s="25"/>
      <c r="E87" s="28"/>
      <c r="F87" s="27"/>
      <c r="G87" s="28"/>
      <c r="H87" s="27"/>
      <c r="I87" s="28"/>
      <c r="J87" s="27">
        <v>8</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v>0.1</v>
      </c>
      <c r="AO87" s="27">
        <v>0.1</v>
      </c>
      <c r="AP87" s="36">
        <v>0.1</v>
      </c>
      <c r="AQ87" s="37"/>
      <c r="AS87" s="25" t="s">
        <v>486</v>
      </c>
      <c r="AT87" s="27" t="s">
        <v>87</v>
      </c>
      <c r="AU87" s="27"/>
      <c r="AV87" t="s">
        <v>508</v>
      </c>
      <c r="AW87" s="25" t="s">
        <v>473</v>
      </c>
      <c r="AX87" s="27" t="s">
        <v>95</v>
      </c>
      <c r="AY87" s="27"/>
      <c r="AZ87" s="32"/>
      <c r="BA87" s="41">
        <v>1</v>
      </c>
    </row>
    <row r="88" spans="1:53" x14ac:dyDescent="0.2">
      <c r="A88" s="25">
        <v>73</v>
      </c>
      <c r="B88" s="26">
        <v>45464</v>
      </c>
      <c r="C88" s="27" t="s">
        <v>200</v>
      </c>
      <c r="D88" s="25"/>
      <c r="E88" s="28"/>
      <c r="F88" s="27"/>
      <c r="G88" s="28"/>
      <c r="H88" s="27"/>
      <c r="I88" s="28"/>
      <c r="J88" s="27">
        <v>8</v>
      </c>
      <c r="K88" s="29" t="s">
        <v>35</v>
      </c>
      <c r="L88" s="173"/>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v>0.1</v>
      </c>
      <c r="AO88" s="27">
        <v>0.1</v>
      </c>
      <c r="AP88" s="36">
        <v>0.1</v>
      </c>
      <c r="AQ88" s="37"/>
      <c r="AS88" s="25" t="s">
        <v>486</v>
      </c>
      <c r="AT88" s="27" t="s">
        <v>87</v>
      </c>
      <c r="AU88" s="27"/>
      <c r="AW88" s="25" t="s">
        <v>473</v>
      </c>
      <c r="AX88" s="27" t="s">
        <v>95</v>
      </c>
      <c r="AY88" s="27"/>
      <c r="AZ88" s="32"/>
      <c r="BA88" s="41">
        <v>0</v>
      </c>
    </row>
    <row r="89" spans="1:53" x14ac:dyDescent="0.2">
      <c r="A89" s="25">
        <v>74</v>
      </c>
      <c r="B89" s="26">
        <v>45465</v>
      </c>
      <c r="C89" s="27" t="s">
        <v>200</v>
      </c>
      <c r="D89" s="25"/>
      <c r="E89" s="28"/>
      <c r="F89" s="27"/>
      <c r="G89" s="28"/>
      <c r="H89" s="27"/>
      <c r="I89" s="28"/>
      <c r="J89" s="27">
        <v>8</v>
      </c>
      <c r="K89" s="29" t="s">
        <v>35</v>
      </c>
      <c r="L89" s="173"/>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v>0.1</v>
      </c>
      <c r="AO89" s="27">
        <v>0.1</v>
      </c>
      <c r="AP89" s="36">
        <v>0.1</v>
      </c>
      <c r="AQ89" s="37"/>
      <c r="AS89" s="25" t="s">
        <v>486</v>
      </c>
      <c r="AT89" s="27" t="s">
        <v>87</v>
      </c>
      <c r="AU89" s="27"/>
      <c r="AW89" s="25" t="s">
        <v>473</v>
      </c>
      <c r="AX89" s="27" t="s">
        <v>95</v>
      </c>
      <c r="AY89" s="27"/>
      <c r="AZ89" s="32"/>
      <c r="BA89" s="41">
        <v>0</v>
      </c>
    </row>
    <row r="90" spans="1:53" x14ac:dyDescent="0.2">
      <c r="A90" s="25">
        <v>75</v>
      </c>
      <c r="B90" s="26">
        <v>45466</v>
      </c>
      <c r="C90" s="27" t="s">
        <v>232</v>
      </c>
      <c r="D90" s="25"/>
      <c r="E90" s="28"/>
      <c r="F90" s="27"/>
      <c r="G90" s="28"/>
      <c r="H90" s="27"/>
      <c r="I90" s="28"/>
      <c r="J90" s="27">
        <v>8</v>
      </c>
      <c r="K90" s="29" t="s">
        <v>35</v>
      </c>
      <c r="L90" s="173"/>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v>0.1</v>
      </c>
      <c r="AO90" s="27">
        <v>0.1</v>
      </c>
      <c r="AP90" s="36">
        <v>0.1</v>
      </c>
      <c r="AQ90" s="37"/>
      <c r="AR90" s="32"/>
      <c r="AS90" s="25" t="s">
        <v>486</v>
      </c>
      <c r="AT90" s="27" t="s">
        <v>87</v>
      </c>
      <c r="AU90" s="27"/>
      <c r="AW90" s="25" t="s">
        <v>473</v>
      </c>
      <c r="AX90" s="27" t="s">
        <v>95</v>
      </c>
      <c r="AY90" s="27"/>
      <c r="AZ90" s="32"/>
      <c r="BA90" s="41">
        <v>2</v>
      </c>
    </row>
    <row r="91" spans="1:53" x14ac:dyDescent="0.2">
      <c r="A91" s="25">
        <v>76</v>
      </c>
      <c r="B91" s="26">
        <v>45467</v>
      </c>
      <c r="C91" s="27" t="s">
        <v>232</v>
      </c>
      <c r="D91" s="25"/>
      <c r="E91" s="28"/>
      <c r="F91" s="27"/>
      <c r="G91" s="28"/>
      <c r="H91" s="27"/>
      <c r="I91" s="28"/>
      <c r="J91" s="27">
        <v>8</v>
      </c>
      <c r="K91" s="29" t="s">
        <v>35</v>
      </c>
      <c r="L91" s="173"/>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v>0.1</v>
      </c>
      <c r="AO91" s="27">
        <v>0.1</v>
      </c>
      <c r="AP91" s="36">
        <v>0.1</v>
      </c>
      <c r="AQ91" s="37"/>
      <c r="AR91" s="32"/>
      <c r="AS91" s="25" t="s">
        <v>486</v>
      </c>
      <c r="AT91" s="27" t="s">
        <v>87</v>
      </c>
      <c r="AU91" s="27"/>
      <c r="AW91" s="25" t="s">
        <v>473</v>
      </c>
      <c r="AX91" s="27" t="s">
        <v>95</v>
      </c>
      <c r="AY91" s="27"/>
      <c r="AZ91" s="32"/>
      <c r="BA91" s="41">
        <v>0</v>
      </c>
    </row>
    <row r="92" spans="1:53" x14ac:dyDescent="0.2">
      <c r="A92" s="25">
        <v>77</v>
      </c>
      <c r="B92" s="26">
        <v>45468</v>
      </c>
      <c r="C92" s="27" t="s">
        <v>200</v>
      </c>
      <c r="D92" s="25"/>
      <c r="E92" s="28"/>
      <c r="F92" s="27"/>
      <c r="G92" s="28"/>
      <c r="H92" s="27"/>
      <c r="I92" s="28"/>
      <c r="J92" s="27">
        <v>8</v>
      </c>
      <c r="K92" s="29" t="s">
        <v>35</v>
      </c>
      <c r="L92" s="173"/>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v>0.1</v>
      </c>
      <c r="AO92" s="27">
        <v>0.1</v>
      </c>
      <c r="AP92" s="36">
        <v>0.1</v>
      </c>
      <c r="AQ92" s="37"/>
      <c r="AR92" s="32"/>
      <c r="AS92" s="25" t="s">
        <v>486</v>
      </c>
      <c r="AT92" s="27" t="s">
        <v>87</v>
      </c>
      <c r="AU92" s="27"/>
      <c r="AW92" s="25" t="s">
        <v>473</v>
      </c>
      <c r="AX92" s="27" t="s">
        <v>95</v>
      </c>
      <c r="AY92" s="27"/>
      <c r="AZ92" s="32"/>
      <c r="BA92" s="41">
        <v>0</v>
      </c>
    </row>
    <row r="93" spans="1:53" x14ac:dyDescent="0.2">
      <c r="A93" s="25">
        <v>78</v>
      </c>
      <c r="B93" s="26">
        <v>45469</v>
      </c>
      <c r="C93" s="27" t="s">
        <v>227</v>
      </c>
      <c r="D93" s="25"/>
      <c r="E93" s="28"/>
      <c r="F93" s="27"/>
      <c r="G93" s="28"/>
      <c r="H93" s="27"/>
      <c r="I93" s="28"/>
      <c r="J93" s="27">
        <v>8</v>
      </c>
      <c r="K93" s="29" t="s">
        <v>35</v>
      </c>
      <c r="L93" s="173" t="s">
        <v>515</v>
      </c>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v>0.1</v>
      </c>
      <c r="AO93" s="27">
        <v>0.1</v>
      </c>
      <c r="AP93" s="36">
        <v>0.1</v>
      </c>
      <c r="AQ93" s="37"/>
      <c r="AR93" s="32" t="s">
        <v>489</v>
      </c>
      <c r="AS93" s="25" t="s">
        <v>486</v>
      </c>
      <c r="AT93" s="27" t="s">
        <v>87</v>
      </c>
      <c r="AU93" s="27"/>
      <c r="AW93" s="25" t="s">
        <v>473</v>
      </c>
      <c r="AX93" s="27" t="s">
        <v>95</v>
      </c>
      <c r="AY93" s="27"/>
      <c r="AZ93" s="32"/>
      <c r="BA93" s="41">
        <v>0</v>
      </c>
    </row>
    <row r="94" spans="1:53" x14ac:dyDescent="0.2">
      <c r="A94" s="25">
        <v>79</v>
      </c>
      <c r="B94" s="26">
        <v>45470</v>
      </c>
      <c r="C94" s="27" t="s">
        <v>227</v>
      </c>
      <c r="D94" s="25"/>
      <c r="E94" s="28"/>
      <c r="F94" s="27"/>
      <c r="G94" s="28"/>
      <c r="H94" s="27"/>
      <c r="I94" s="28"/>
      <c r="J94" s="27">
        <v>8</v>
      </c>
      <c r="K94" s="29" t="s">
        <v>35</v>
      </c>
      <c r="L94" s="173" t="s">
        <v>516</v>
      </c>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v>0.1</v>
      </c>
      <c r="AO94" s="27">
        <v>0.1</v>
      </c>
      <c r="AP94" s="36">
        <v>0.1</v>
      </c>
      <c r="AQ94" s="37"/>
      <c r="AR94" s="32"/>
      <c r="AS94" s="25" t="s">
        <v>486</v>
      </c>
      <c r="AT94" s="27" t="s">
        <v>87</v>
      </c>
      <c r="AU94" s="27"/>
      <c r="AW94" s="25" t="s">
        <v>473</v>
      </c>
      <c r="AX94" s="27" t="s">
        <v>95</v>
      </c>
      <c r="AY94" s="27"/>
      <c r="AZ94" s="32"/>
      <c r="BA94" s="41">
        <v>0</v>
      </c>
    </row>
    <row r="95" spans="1:53" x14ac:dyDescent="0.2">
      <c r="A95" s="25">
        <v>80</v>
      </c>
      <c r="B95" s="26">
        <v>45471</v>
      </c>
      <c r="C95" s="27" t="s">
        <v>200</v>
      </c>
      <c r="D95" s="25"/>
      <c r="E95" s="28"/>
      <c r="F95" s="27"/>
      <c r="G95" s="28"/>
      <c r="H95" s="27"/>
      <c r="I95" s="28"/>
      <c r="J95" s="27">
        <v>8</v>
      </c>
      <c r="K95" s="29" t="s">
        <v>35</v>
      </c>
      <c r="L95" s="173"/>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v>0.1</v>
      </c>
      <c r="AO95" s="27">
        <v>0.1</v>
      </c>
      <c r="AP95" s="36">
        <v>0.1</v>
      </c>
      <c r="AQ95" s="37"/>
      <c r="AR95" s="32"/>
      <c r="AS95" s="25" t="s">
        <v>486</v>
      </c>
      <c r="AT95" s="27" t="s">
        <v>87</v>
      </c>
      <c r="AU95" s="27"/>
      <c r="AW95" s="25" t="s">
        <v>473</v>
      </c>
      <c r="AX95" s="27" t="s">
        <v>95</v>
      </c>
      <c r="AY95" s="27"/>
      <c r="AZ95" s="32"/>
      <c r="BA95" s="41">
        <v>3</v>
      </c>
    </row>
    <row r="96" spans="1:53" x14ac:dyDescent="0.2">
      <c r="A96" s="25">
        <v>81</v>
      </c>
      <c r="B96" s="26">
        <v>45472</v>
      </c>
      <c r="C96" s="27" t="s">
        <v>200</v>
      </c>
      <c r="D96" s="25"/>
      <c r="E96" s="28"/>
      <c r="F96" s="27"/>
      <c r="G96" s="28"/>
      <c r="H96" s="27"/>
      <c r="I96" s="28"/>
      <c r="J96" s="27">
        <v>8</v>
      </c>
      <c r="K96" s="29" t="s">
        <v>35</v>
      </c>
      <c r="L96" s="173"/>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v>0.1</v>
      </c>
      <c r="AO96" s="27">
        <v>0.1</v>
      </c>
      <c r="AP96" s="36">
        <v>0.1</v>
      </c>
      <c r="AQ96" s="37"/>
      <c r="AR96" s="32"/>
      <c r="AS96" s="25" t="s">
        <v>486</v>
      </c>
      <c r="AT96" s="27" t="s">
        <v>87</v>
      </c>
      <c r="AU96" s="27"/>
      <c r="AW96" s="25" t="s">
        <v>473</v>
      </c>
      <c r="AX96" s="27" t="s">
        <v>52</v>
      </c>
      <c r="AY96" s="27"/>
      <c r="AZ96" s="32"/>
      <c r="BA96" s="41">
        <v>2</v>
      </c>
    </row>
    <row r="97" spans="1:54" x14ac:dyDescent="0.2">
      <c r="A97" s="25">
        <v>82</v>
      </c>
      <c r="B97" s="26">
        <v>45473</v>
      </c>
      <c r="C97" s="27" t="s">
        <v>232</v>
      </c>
      <c r="D97" s="25"/>
      <c r="E97" s="28"/>
      <c r="F97" s="27"/>
      <c r="G97" s="28"/>
      <c r="H97" s="27"/>
      <c r="I97" s="28"/>
      <c r="J97" s="27">
        <v>8</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v>0.1</v>
      </c>
      <c r="AO97" s="27">
        <v>0.1</v>
      </c>
      <c r="AP97" s="36">
        <v>0.1</v>
      </c>
      <c r="AQ97" s="37"/>
      <c r="AR97" s="32"/>
      <c r="AS97" s="25" t="s">
        <v>486</v>
      </c>
      <c r="AT97" s="27" t="s">
        <v>87</v>
      </c>
      <c r="AU97" s="27"/>
      <c r="AW97" s="25" t="s">
        <v>473</v>
      </c>
      <c r="AX97" s="27" t="s">
        <v>95</v>
      </c>
      <c r="AY97" s="27"/>
      <c r="AZ97" s="32"/>
      <c r="BA97" s="41">
        <v>1</v>
      </c>
    </row>
    <row r="98" spans="1:54" x14ac:dyDescent="0.2">
      <c r="A98" s="25">
        <v>83</v>
      </c>
      <c r="B98" s="26">
        <v>45474</v>
      </c>
      <c r="C98" s="27" t="s">
        <v>112</v>
      </c>
      <c r="D98" s="25"/>
      <c r="E98" s="28"/>
      <c r="F98" s="27"/>
      <c r="G98" s="28"/>
      <c r="H98" s="27"/>
      <c r="I98" s="28"/>
      <c r="J98" s="27">
        <v>8</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v>0.1</v>
      </c>
      <c r="AO98" s="27">
        <v>0.1</v>
      </c>
      <c r="AP98" s="36">
        <v>0.1</v>
      </c>
      <c r="AQ98" s="37"/>
      <c r="AR98" s="32"/>
      <c r="AS98" s="25" t="s">
        <v>96</v>
      </c>
      <c r="AT98" s="27" t="s">
        <v>87</v>
      </c>
      <c r="AU98" s="27"/>
      <c r="AW98" s="25" t="s">
        <v>90</v>
      </c>
      <c r="AX98" s="27" t="s">
        <v>95</v>
      </c>
      <c r="AY98" s="27"/>
      <c r="AZ98" s="32"/>
      <c r="BA98" s="41">
        <v>0</v>
      </c>
    </row>
    <row r="99" spans="1:54" x14ac:dyDescent="0.2">
      <c r="A99" s="25">
        <v>84</v>
      </c>
      <c r="B99" s="26">
        <v>45475</v>
      </c>
      <c r="C99" s="27" t="s">
        <v>227</v>
      </c>
      <c r="D99" s="25"/>
      <c r="E99" s="28"/>
      <c r="F99" s="27"/>
      <c r="G99" s="28"/>
      <c r="H99" s="27"/>
      <c r="I99" s="28"/>
      <c r="J99" s="27">
        <v>8</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v>0.1</v>
      </c>
      <c r="AO99" s="27">
        <v>0.1</v>
      </c>
      <c r="AP99" s="36">
        <v>0.1</v>
      </c>
      <c r="AQ99" s="37"/>
      <c r="AR99" s="32"/>
      <c r="AS99" s="25" t="s">
        <v>96</v>
      </c>
      <c r="AT99" s="27" t="s">
        <v>87</v>
      </c>
      <c r="AU99" s="27"/>
      <c r="AW99" s="25" t="s">
        <v>90</v>
      </c>
      <c r="AX99" s="27" t="s">
        <v>95</v>
      </c>
      <c r="AY99" s="27"/>
      <c r="AZ99" s="32"/>
      <c r="BA99" s="41">
        <v>1</v>
      </c>
      <c r="BB99" t="s">
        <v>523</v>
      </c>
    </row>
    <row r="100" spans="1:54" x14ac:dyDescent="0.2">
      <c r="A100" s="25">
        <v>85</v>
      </c>
      <c r="B100" s="26">
        <v>45476</v>
      </c>
      <c r="C100" s="27" t="s">
        <v>227</v>
      </c>
      <c r="D100" s="25"/>
      <c r="E100" s="28"/>
      <c r="F100" s="27"/>
      <c r="G100" s="28"/>
      <c r="H100" s="27"/>
      <c r="I100" s="28"/>
      <c r="J100" s="27">
        <v>8</v>
      </c>
      <c r="K100" s="29" t="s">
        <v>35</v>
      </c>
      <c r="L100" s="39"/>
      <c r="M100" s="31"/>
      <c r="N100" s="27"/>
      <c r="P100" s="32"/>
      <c r="Q100" s="25"/>
      <c r="R100" s="27"/>
      <c r="S100" s="27"/>
      <c r="T100" s="28"/>
      <c r="U100" s="27"/>
      <c r="V100" s="27"/>
      <c r="W100" s="28"/>
      <c r="X100" s="33"/>
      <c r="Y100" s="32"/>
      <c r="Z100" s="25"/>
      <c r="AA100" s="27"/>
      <c r="AB100" s="28"/>
      <c r="AC100" s="27"/>
      <c r="AD100" s="27"/>
      <c r="AE100" s="33"/>
      <c r="AF100" s="32"/>
      <c r="AG100" s="90"/>
      <c r="AH100" s="91"/>
      <c r="AI100" s="27"/>
      <c r="AJ100" s="27"/>
      <c r="AK100" s="28"/>
      <c r="AL100" s="27"/>
      <c r="AM100" s="27"/>
      <c r="AN100" s="27">
        <v>0.1</v>
      </c>
      <c r="AO100" s="27">
        <v>0.1</v>
      </c>
      <c r="AP100" s="36">
        <v>0.1</v>
      </c>
      <c r="AQ100" s="37"/>
      <c r="AR100" s="32"/>
      <c r="AS100" s="25" t="s">
        <v>96</v>
      </c>
      <c r="AT100" s="27" t="s">
        <v>87</v>
      </c>
      <c r="AU100" s="27"/>
      <c r="AW100" s="25" t="s">
        <v>90</v>
      </c>
      <c r="AX100" s="27" t="s">
        <v>95</v>
      </c>
      <c r="AY100" s="27"/>
      <c r="AZ100" s="32"/>
      <c r="BA100" s="41">
        <v>0</v>
      </c>
    </row>
    <row r="101" spans="1:54" x14ac:dyDescent="0.2">
      <c r="A101" s="25">
        <v>86</v>
      </c>
      <c r="B101" s="26">
        <v>45477</v>
      </c>
      <c r="C101" s="27" t="s">
        <v>227</v>
      </c>
      <c r="D101" s="25"/>
      <c r="E101" s="28"/>
      <c r="F101" s="27"/>
      <c r="G101" s="28"/>
      <c r="H101" s="27"/>
      <c r="I101" s="28"/>
      <c r="J101" s="27">
        <v>8</v>
      </c>
      <c r="K101" s="29" t="s">
        <v>35</v>
      </c>
      <c r="L101" s="39"/>
      <c r="M101" s="31"/>
      <c r="N101" s="27"/>
      <c r="P101" s="32"/>
      <c r="Q101" s="25"/>
      <c r="R101" s="27"/>
      <c r="S101" s="27"/>
      <c r="T101" s="28"/>
      <c r="U101" s="27"/>
      <c r="V101" s="27"/>
      <c r="W101" s="28"/>
      <c r="X101" s="33"/>
      <c r="Y101" s="32"/>
      <c r="Z101" s="25"/>
      <c r="AA101" s="27"/>
      <c r="AB101" s="28"/>
      <c r="AC101" s="27"/>
      <c r="AD101" s="27"/>
      <c r="AE101" s="33"/>
      <c r="AF101" s="32"/>
      <c r="AG101" s="90"/>
      <c r="AH101" s="91"/>
      <c r="AI101" s="27"/>
      <c r="AJ101" s="27"/>
      <c r="AK101" s="28"/>
      <c r="AL101" s="27"/>
      <c r="AM101" s="27"/>
      <c r="AN101" s="27">
        <v>0.1</v>
      </c>
      <c r="AO101" s="27">
        <v>0.1</v>
      </c>
      <c r="AP101" s="36">
        <v>0.1</v>
      </c>
      <c r="AQ101" s="37"/>
      <c r="AR101" s="32"/>
      <c r="AS101" s="25" t="s">
        <v>96</v>
      </c>
      <c r="AT101" s="27" t="s">
        <v>87</v>
      </c>
      <c r="AU101" s="27"/>
      <c r="AW101" s="25" t="s">
        <v>90</v>
      </c>
      <c r="AX101" s="27" t="s">
        <v>95</v>
      </c>
      <c r="AY101" s="27"/>
      <c r="AZ101" s="32"/>
      <c r="BA101" s="41">
        <v>0</v>
      </c>
    </row>
    <row r="102" spans="1:54" x14ac:dyDescent="0.2">
      <c r="A102" s="25">
        <v>87</v>
      </c>
      <c r="B102" s="26">
        <v>45478</v>
      </c>
      <c r="C102" s="27" t="s">
        <v>200</v>
      </c>
      <c r="D102" s="25"/>
      <c r="E102" s="28"/>
      <c r="F102" s="27"/>
      <c r="G102" s="28"/>
      <c r="H102" s="27"/>
      <c r="I102" s="28"/>
      <c r="J102" s="27">
        <v>8</v>
      </c>
      <c r="K102" s="29" t="s">
        <v>35</v>
      </c>
      <c r="L102" s="39"/>
      <c r="M102" s="31"/>
      <c r="N102" s="27"/>
      <c r="P102" s="32"/>
      <c r="Q102" s="25"/>
      <c r="R102" s="27"/>
      <c r="S102" s="27"/>
      <c r="T102" s="28"/>
      <c r="U102" s="27"/>
      <c r="V102" s="27"/>
      <c r="W102" s="28"/>
      <c r="X102" s="33"/>
      <c r="Y102" s="32"/>
      <c r="Z102" s="25"/>
      <c r="AA102" s="27"/>
      <c r="AB102" s="28"/>
      <c r="AC102" s="27"/>
      <c r="AD102" s="27"/>
      <c r="AE102" s="33"/>
      <c r="AF102" s="32"/>
      <c r="AG102" s="90"/>
      <c r="AH102" s="91"/>
      <c r="AI102" s="27"/>
      <c r="AJ102" s="27"/>
      <c r="AK102" s="28"/>
      <c r="AL102" s="27"/>
      <c r="AM102" s="27"/>
      <c r="AN102" s="27">
        <v>0.1</v>
      </c>
      <c r="AO102" s="27">
        <v>0.1</v>
      </c>
      <c r="AP102" s="36">
        <v>0.1</v>
      </c>
      <c r="AQ102" s="37"/>
      <c r="AR102" s="32"/>
      <c r="AS102" s="25" t="s">
        <v>96</v>
      </c>
      <c r="AT102" s="27" t="s">
        <v>87</v>
      </c>
      <c r="AU102" s="27"/>
      <c r="AW102" s="25" t="s">
        <v>90</v>
      </c>
      <c r="AX102" s="27" t="s">
        <v>95</v>
      </c>
      <c r="AY102" s="27"/>
      <c r="AZ102" s="32"/>
      <c r="BA102" s="41">
        <v>0</v>
      </c>
    </row>
    <row r="103" spans="1:54" x14ac:dyDescent="0.2">
      <c r="A103" s="25">
        <v>88</v>
      </c>
      <c r="B103" s="26">
        <v>45479</v>
      </c>
      <c r="C103" s="27" t="s">
        <v>200</v>
      </c>
      <c r="D103" s="25"/>
      <c r="E103" s="28"/>
      <c r="F103" s="27"/>
      <c r="G103" s="28"/>
      <c r="H103" s="27"/>
      <c r="I103" s="28"/>
      <c r="J103" s="27">
        <v>8</v>
      </c>
      <c r="K103" s="29" t="s">
        <v>35</v>
      </c>
      <c r="L103" s="39" t="s">
        <v>526</v>
      </c>
      <c r="M103" s="31"/>
      <c r="N103" s="27"/>
      <c r="P103" s="32"/>
      <c r="Q103" s="25"/>
      <c r="R103" s="27"/>
      <c r="S103" s="27"/>
      <c r="T103" s="28"/>
      <c r="U103" s="27"/>
      <c r="V103" s="27"/>
      <c r="W103" s="28"/>
      <c r="X103" s="33"/>
      <c r="Y103" s="32"/>
      <c r="Z103" s="25"/>
      <c r="AA103" s="27"/>
      <c r="AB103" s="28"/>
      <c r="AC103" s="27"/>
      <c r="AD103" s="27"/>
      <c r="AE103" s="33"/>
      <c r="AF103" s="32"/>
      <c r="AG103" s="90"/>
      <c r="AH103" s="91"/>
      <c r="AI103" s="27"/>
      <c r="AJ103" s="27"/>
      <c r="AK103" s="28"/>
      <c r="AL103" s="27"/>
      <c r="AM103" s="27"/>
      <c r="AN103" s="27">
        <v>0.1</v>
      </c>
      <c r="AO103" s="27">
        <v>0.1</v>
      </c>
      <c r="AP103" s="36">
        <v>0.1</v>
      </c>
      <c r="AQ103" s="37"/>
      <c r="AR103" s="32"/>
      <c r="AS103" s="25" t="s">
        <v>96</v>
      </c>
      <c r="AT103" s="27" t="s">
        <v>87</v>
      </c>
      <c r="AU103" s="27"/>
      <c r="AW103" s="25" t="s">
        <v>90</v>
      </c>
      <c r="AX103" s="27" t="s">
        <v>95</v>
      </c>
      <c r="AY103" s="27"/>
      <c r="AZ103" s="32"/>
      <c r="BA103" s="41">
        <v>0</v>
      </c>
    </row>
    <row r="104" spans="1:54" x14ac:dyDescent="0.2">
      <c r="A104" s="25">
        <v>89</v>
      </c>
      <c r="B104" s="26">
        <v>45480</v>
      </c>
      <c r="C104" s="27" t="s">
        <v>232</v>
      </c>
      <c r="D104" s="25"/>
      <c r="E104" s="28"/>
      <c r="F104" s="27"/>
      <c r="G104" s="28"/>
      <c r="H104" s="27"/>
      <c r="I104" s="28"/>
      <c r="J104" s="27">
        <v>8</v>
      </c>
      <c r="K104" s="29" t="s">
        <v>35</v>
      </c>
      <c r="L104" s="39"/>
      <c r="M104" s="31"/>
      <c r="N104" s="27"/>
      <c r="P104" s="32"/>
      <c r="Q104" s="25"/>
      <c r="R104" s="27"/>
      <c r="S104" s="27"/>
      <c r="T104" s="28"/>
      <c r="U104" s="27"/>
      <c r="V104" s="27"/>
      <c r="W104" s="28"/>
      <c r="X104" s="33"/>
      <c r="Y104" s="32"/>
      <c r="Z104" s="25"/>
      <c r="AA104" s="27"/>
      <c r="AB104" s="28"/>
      <c r="AC104" s="27"/>
      <c r="AD104" s="27"/>
      <c r="AE104" s="33"/>
      <c r="AF104" s="32"/>
      <c r="AG104" s="90"/>
      <c r="AH104" s="91"/>
      <c r="AI104" s="27"/>
      <c r="AJ104" s="27"/>
      <c r="AK104" s="28"/>
      <c r="AL104" s="27"/>
      <c r="AM104" s="27"/>
      <c r="AN104" s="27">
        <v>0.1</v>
      </c>
      <c r="AO104" s="27">
        <v>0.1</v>
      </c>
      <c r="AP104" s="36">
        <v>0.1</v>
      </c>
      <c r="AQ104" s="37"/>
      <c r="AR104" s="32"/>
      <c r="AS104" s="25" t="s">
        <v>386</v>
      </c>
      <c r="AT104" s="27" t="s">
        <v>87</v>
      </c>
      <c r="AU104" s="27"/>
      <c r="AV104" t="s">
        <v>537</v>
      </c>
      <c r="AW104" s="25" t="s">
        <v>90</v>
      </c>
      <c r="AX104" s="27" t="s">
        <v>95</v>
      </c>
      <c r="AY104" s="27"/>
      <c r="AZ104" s="32"/>
      <c r="BA104" s="41">
        <v>0</v>
      </c>
    </row>
    <row r="105" spans="1:54" x14ac:dyDescent="0.2">
      <c r="A105" s="25">
        <v>90</v>
      </c>
      <c r="B105" s="26">
        <v>45481</v>
      </c>
      <c r="C105" s="27" t="s">
        <v>232</v>
      </c>
      <c r="D105" s="25"/>
      <c r="E105" s="28"/>
      <c r="F105" s="27"/>
      <c r="G105" s="28"/>
      <c r="H105" s="27"/>
      <c r="I105" s="28"/>
      <c r="J105" s="27">
        <v>8</v>
      </c>
      <c r="K105" s="29" t="s">
        <v>35</v>
      </c>
      <c r="L105" s="39"/>
      <c r="M105" s="31"/>
      <c r="N105" s="27"/>
      <c r="P105" s="32"/>
      <c r="Q105" s="25"/>
      <c r="R105" s="27"/>
      <c r="S105" s="27"/>
      <c r="T105" s="28"/>
      <c r="U105" s="27"/>
      <c r="V105" s="27"/>
      <c r="W105" s="28"/>
      <c r="X105" s="33"/>
      <c r="Y105" s="32"/>
      <c r="Z105" s="25"/>
      <c r="AA105" s="27"/>
      <c r="AB105" s="28"/>
      <c r="AC105" s="27"/>
      <c r="AD105" s="27"/>
      <c r="AE105" s="33"/>
      <c r="AF105" s="32"/>
      <c r="AG105" s="90"/>
      <c r="AH105" s="91"/>
      <c r="AI105" s="27"/>
      <c r="AJ105" s="27"/>
      <c r="AK105" s="28"/>
      <c r="AL105" s="27"/>
      <c r="AM105" s="27"/>
      <c r="AN105" s="27">
        <v>0.1</v>
      </c>
      <c r="AO105" s="27">
        <v>0.1</v>
      </c>
      <c r="AP105" s="36">
        <v>0.1</v>
      </c>
      <c r="AQ105" s="37"/>
      <c r="AR105" s="32"/>
      <c r="AS105" s="25" t="s">
        <v>386</v>
      </c>
      <c r="AT105" s="27" t="s">
        <v>87</v>
      </c>
      <c r="AU105" s="27"/>
      <c r="AW105" s="25" t="s">
        <v>90</v>
      </c>
      <c r="AX105" s="27" t="s">
        <v>95</v>
      </c>
      <c r="AY105" s="27"/>
      <c r="AZ105" s="32"/>
      <c r="BA105" s="41">
        <v>1</v>
      </c>
      <c r="BB105" t="s">
        <v>538</v>
      </c>
    </row>
    <row r="106" spans="1:54" x14ac:dyDescent="0.2">
      <c r="A106" s="25">
        <v>91</v>
      </c>
      <c r="B106" s="26">
        <v>45482</v>
      </c>
      <c r="C106" s="27" t="s">
        <v>314</v>
      </c>
      <c r="J106" s="27">
        <v>8</v>
      </c>
      <c r="K106" s="29" t="s">
        <v>35</v>
      </c>
      <c r="AN106" s="27">
        <v>0.1</v>
      </c>
      <c r="AO106" s="27">
        <v>0.1</v>
      </c>
      <c r="AP106" s="36">
        <v>0.1</v>
      </c>
      <c r="AS106" s="25" t="s">
        <v>386</v>
      </c>
      <c r="AT106" s="27" t="s">
        <v>87</v>
      </c>
      <c r="AU106" s="27"/>
      <c r="AW106" s="25" t="s">
        <v>90</v>
      </c>
      <c r="AX106" s="27" t="s">
        <v>95</v>
      </c>
      <c r="BA106" s="41">
        <v>0</v>
      </c>
    </row>
    <row r="107" spans="1:54" x14ac:dyDescent="0.2">
      <c r="A107" s="25">
        <v>92</v>
      </c>
      <c r="B107" s="26">
        <v>45483</v>
      </c>
      <c r="C107" s="27" t="s">
        <v>232</v>
      </c>
      <c r="AN107" s="27">
        <v>0.1</v>
      </c>
      <c r="AO107" s="27">
        <v>0.1</v>
      </c>
      <c r="AP107" s="36">
        <v>0.1</v>
      </c>
      <c r="AS107" s="25" t="s">
        <v>386</v>
      </c>
      <c r="AT107" s="27" t="s">
        <v>87</v>
      </c>
      <c r="AU107" s="27"/>
      <c r="AW107" s="25" t="s">
        <v>90</v>
      </c>
      <c r="AX107" s="27" t="s">
        <v>95</v>
      </c>
      <c r="BA107" s="41">
        <v>1</v>
      </c>
      <c r="BB107" t="s">
        <v>538</v>
      </c>
    </row>
    <row r="108" spans="1:54" x14ac:dyDescent="0.2">
      <c r="A108" s="25">
        <v>93</v>
      </c>
      <c r="B108" s="26">
        <v>45484</v>
      </c>
      <c r="C108" s="27" t="s">
        <v>314</v>
      </c>
      <c r="AN108" s="27">
        <v>0.1</v>
      </c>
      <c r="AO108" s="27">
        <v>0.1</v>
      </c>
      <c r="AP108" s="36">
        <v>0.1</v>
      </c>
      <c r="AS108" s="25" t="s">
        <v>486</v>
      </c>
      <c r="AT108" s="27" t="s">
        <v>87</v>
      </c>
      <c r="AU108" s="27"/>
      <c r="AW108" s="25" t="s">
        <v>90</v>
      </c>
      <c r="AX108" s="27" t="s">
        <v>95</v>
      </c>
      <c r="BA108" s="41">
        <v>0</v>
      </c>
    </row>
    <row r="109" spans="1:54" x14ac:dyDescent="0.2">
      <c r="A109" s="25">
        <v>94</v>
      </c>
      <c r="B109" s="26">
        <v>45485</v>
      </c>
      <c r="C109" s="27" t="s">
        <v>200</v>
      </c>
      <c r="AN109" s="27">
        <v>0.1</v>
      </c>
      <c r="AO109" s="27">
        <v>0.1</v>
      </c>
      <c r="AP109" s="36">
        <v>0.1</v>
      </c>
      <c r="AS109" s="25" t="s">
        <v>486</v>
      </c>
      <c r="AT109" s="27" t="s">
        <v>87</v>
      </c>
      <c r="AU109" s="27"/>
      <c r="AW109" s="25" t="s">
        <v>90</v>
      </c>
      <c r="AX109" s="27" t="s">
        <v>95</v>
      </c>
      <c r="BA109" s="41">
        <v>0</v>
      </c>
    </row>
    <row r="110" spans="1:54" x14ac:dyDescent="0.2">
      <c r="A110" s="25">
        <v>95</v>
      </c>
      <c r="B110" s="26">
        <v>45486</v>
      </c>
      <c r="C110" s="27" t="s">
        <v>200</v>
      </c>
      <c r="L110" t="s">
        <v>544</v>
      </c>
      <c r="M110" t="s">
        <v>545</v>
      </c>
      <c r="AS110" s="25" t="s">
        <v>96</v>
      </c>
      <c r="AT110" s="27" t="s">
        <v>87</v>
      </c>
      <c r="AU110" s="27"/>
      <c r="AW110" s="25" t="s">
        <v>90</v>
      </c>
      <c r="AX110" s="27" t="s">
        <v>95</v>
      </c>
    </row>
    <row r="111" spans="1:54" x14ac:dyDescent="0.2">
      <c r="A111" s="25">
        <v>96</v>
      </c>
      <c r="B111" s="26">
        <v>45487</v>
      </c>
      <c r="C111" s="27"/>
      <c r="AS111" s="25" t="s">
        <v>96</v>
      </c>
      <c r="AT111" s="27" t="s">
        <v>87</v>
      </c>
      <c r="AU111" s="27"/>
      <c r="AW111" s="25" t="s">
        <v>90</v>
      </c>
      <c r="AX111" s="27" t="s">
        <v>95</v>
      </c>
      <c r="BA111">
        <v>0</v>
      </c>
    </row>
    <row r="112" spans="1:54" x14ac:dyDescent="0.2">
      <c r="A112" s="25">
        <v>97</v>
      </c>
      <c r="B112" s="26">
        <v>45488</v>
      </c>
      <c r="C112" s="27"/>
      <c r="AS112" s="25" t="s">
        <v>96</v>
      </c>
      <c r="AT112" s="27" t="s">
        <v>87</v>
      </c>
      <c r="AU112" s="27"/>
      <c r="AW112" s="25" t="s">
        <v>90</v>
      </c>
      <c r="AX112" s="27" t="s">
        <v>95</v>
      </c>
    </row>
    <row r="113" spans="1:53" x14ac:dyDescent="0.2">
      <c r="A113" s="25">
        <v>98</v>
      </c>
      <c r="B113" s="26">
        <v>45489</v>
      </c>
      <c r="C113" s="27"/>
      <c r="K113" s="172"/>
      <c r="AS113" s="25" t="s">
        <v>96</v>
      </c>
      <c r="AT113" s="27" t="s">
        <v>87</v>
      </c>
      <c r="AU113" s="27"/>
      <c r="AW113" s="25" t="s">
        <v>90</v>
      </c>
      <c r="AX113" s="27" t="s">
        <v>95</v>
      </c>
      <c r="BA113">
        <v>0</v>
      </c>
    </row>
    <row r="114" spans="1:53" x14ac:dyDescent="0.2">
      <c r="A114" s="25">
        <v>99</v>
      </c>
      <c r="B114" s="26">
        <v>45490</v>
      </c>
      <c r="AS114" s="25" t="s">
        <v>96</v>
      </c>
      <c r="AT114" s="27" t="s">
        <v>87</v>
      </c>
      <c r="AU114" s="27"/>
      <c r="AW114" s="25" t="s">
        <v>90</v>
      </c>
      <c r="AX114" s="27" t="s">
        <v>95</v>
      </c>
    </row>
    <row r="115" spans="1:53" x14ac:dyDescent="0.2">
      <c r="A115" s="25">
        <v>100</v>
      </c>
      <c r="B115" s="26">
        <v>45491</v>
      </c>
      <c r="C115" s="27"/>
      <c r="AS115" s="25" t="s">
        <v>96</v>
      </c>
      <c r="AT115" s="27" t="s">
        <v>87</v>
      </c>
      <c r="AU115" s="27"/>
      <c r="AW115" s="25" t="s">
        <v>90</v>
      </c>
      <c r="AX115" s="27" t="s">
        <v>95</v>
      </c>
    </row>
    <row r="116" spans="1:53" x14ac:dyDescent="0.2">
      <c r="A116" s="25">
        <v>101</v>
      </c>
      <c r="B116" s="26">
        <v>45492</v>
      </c>
      <c r="C116" s="27"/>
      <c r="AS116" s="25" t="s">
        <v>96</v>
      </c>
      <c r="AT116" s="27" t="s">
        <v>87</v>
      </c>
      <c r="AU116" s="27"/>
      <c r="AW116" s="25" t="s">
        <v>90</v>
      </c>
      <c r="AX116" s="27" t="s">
        <v>95</v>
      </c>
    </row>
    <row r="117" spans="1:53" x14ac:dyDescent="0.2">
      <c r="A117" s="25">
        <v>102</v>
      </c>
      <c r="B117" s="26">
        <v>45493</v>
      </c>
      <c r="C117" s="27"/>
      <c r="AS117" s="25" t="s">
        <v>96</v>
      </c>
      <c r="AT117" s="27" t="s">
        <v>87</v>
      </c>
      <c r="AU117" s="27"/>
      <c r="AW117" s="25" t="s">
        <v>90</v>
      </c>
      <c r="AX117" s="27" t="s">
        <v>95</v>
      </c>
    </row>
    <row r="118" spans="1:53" x14ac:dyDescent="0.2">
      <c r="A118" s="25">
        <v>103</v>
      </c>
      <c r="B118" s="26">
        <v>45494</v>
      </c>
      <c r="C118" s="27"/>
      <c r="AS118" s="25" t="s">
        <v>96</v>
      </c>
      <c r="AT118" s="27" t="s">
        <v>87</v>
      </c>
      <c r="AU118" s="27"/>
      <c r="AW118" s="25" t="s">
        <v>90</v>
      </c>
      <c r="AX118" s="27" t="s">
        <v>95</v>
      </c>
    </row>
    <row r="119" spans="1:53" x14ac:dyDescent="0.2">
      <c r="A119" s="25">
        <v>104</v>
      </c>
      <c r="B119" s="26">
        <v>45495</v>
      </c>
      <c r="C119" s="27"/>
      <c r="AS119" s="25" t="s">
        <v>96</v>
      </c>
      <c r="AT119" s="27" t="s">
        <v>87</v>
      </c>
      <c r="AU119" s="27"/>
      <c r="AW119" s="25" t="s">
        <v>90</v>
      </c>
      <c r="AX119" s="27" t="s">
        <v>95</v>
      </c>
    </row>
    <row r="120" spans="1:53" x14ac:dyDescent="0.2">
      <c r="A120" s="25">
        <v>105</v>
      </c>
      <c r="B120" s="26">
        <v>45496</v>
      </c>
      <c r="C120" s="27"/>
      <c r="AS120" s="25" t="s">
        <v>96</v>
      </c>
      <c r="AT120" s="27" t="s">
        <v>87</v>
      </c>
      <c r="AU120" s="27"/>
      <c r="AW120" s="25" t="s">
        <v>90</v>
      </c>
      <c r="AX120" s="27" t="s">
        <v>95</v>
      </c>
    </row>
    <row r="121" spans="1:53" x14ac:dyDescent="0.2">
      <c r="A121" s="25">
        <v>106</v>
      </c>
      <c r="B121" s="26">
        <v>45497</v>
      </c>
    </row>
    <row r="122" spans="1:53" x14ac:dyDescent="0.2">
      <c r="A122" s="25">
        <v>107</v>
      </c>
      <c r="B122" s="26">
        <v>45498</v>
      </c>
      <c r="C122" s="27"/>
    </row>
    <row r="123" spans="1:53" x14ac:dyDescent="0.2">
      <c r="A123" s="25">
        <v>108</v>
      </c>
      <c r="B123" s="26"/>
      <c r="C123" s="27"/>
    </row>
    <row r="124" spans="1:53" x14ac:dyDescent="0.2">
      <c r="A124" s="25">
        <v>109</v>
      </c>
      <c r="B124" s="26"/>
      <c r="C124" s="27"/>
    </row>
    <row r="125" spans="1:53" x14ac:dyDescent="0.2">
      <c r="A125" s="25">
        <v>110</v>
      </c>
      <c r="B125" s="26"/>
      <c r="C125" s="27"/>
    </row>
    <row r="126" spans="1:53" x14ac:dyDescent="0.2">
      <c r="A126" s="25">
        <v>111</v>
      </c>
      <c r="B126" s="26"/>
      <c r="C126" s="27"/>
    </row>
    <row r="127" spans="1:53" s="173" customFormat="1" x14ac:dyDescent="0.2">
      <c r="A127" s="173">
        <v>112</v>
      </c>
      <c r="B127" s="26"/>
    </row>
    <row r="128" spans="1:53" x14ac:dyDescent="0.2">
      <c r="A128" s="25">
        <v>113</v>
      </c>
      <c r="B128" s="26"/>
      <c r="C128" s="27"/>
    </row>
    <row r="129" spans="1:3" x14ac:dyDescent="0.2">
      <c r="A129" s="25">
        <v>114</v>
      </c>
      <c r="B129" s="26"/>
      <c r="C129" s="27"/>
    </row>
    <row r="130" spans="1:3" x14ac:dyDescent="0.2">
      <c r="A130" s="25">
        <v>115</v>
      </c>
      <c r="B130" s="26"/>
      <c r="C130" s="27"/>
    </row>
  </sheetData>
  <mergeCells count="52">
    <mergeCell ref="A9:C11"/>
    <mergeCell ref="D9:M11"/>
    <mergeCell ref="N9:P11"/>
    <mergeCell ref="Q9:Y11"/>
    <mergeCell ref="Z9:AF11"/>
    <mergeCell ref="A12:A14"/>
    <mergeCell ref="B12:B14"/>
    <mergeCell ref="C12:C14"/>
    <mergeCell ref="D12:E13"/>
    <mergeCell ref="F12:G13"/>
    <mergeCell ref="N12:N14"/>
    <mergeCell ref="AS9:AV11"/>
    <mergeCell ref="AW9:AZ11"/>
    <mergeCell ref="BA9:BA11"/>
    <mergeCell ref="AG11:AK11"/>
    <mergeCell ref="AM11:AP11"/>
    <mergeCell ref="AG9:AP10"/>
    <mergeCell ref="O12:O14"/>
    <mergeCell ref="P12:P14"/>
    <mergeCell ref="Q12:Q14"/>
    <mergeCell ref="R12:T13"/>
    <mergeCell ref="U12:W13"/>
    <mergeCell ref="AX12:AX14"/>
    <mergeCell ref="AY12:AY14"/>
    <mergeCell ref="AZ12:AZ14"/>
    <mergeCell ref="BA12:BA14"/>
    <mergeCell ref="H12:I13"/>
    <mergeCell ref="J12:J14"/>
    <mergeCell ref="K12:K14"/>
    <mergeCell ref="L12:L14"/>
    <mergeCell ref="M12:M14"/>
    <mergeCell ref="O35:O55"/>
    <mergeCell ref="AR12:AR14"/>
    <mergeCell ref="AS12:AS14"/>
    <mergeCell ref="AT12:AT14"/>
    <mergeCell ref="AU12:AU14"/>
    <mergeCell ref="AH12:AH14"/>
    <mergeCell ref="AI12:AK13"/>
    <mergeCell ref="AL12:AL14"/>
    <mergeCell ref="AM12:AM13"/>
    <mergeCell ref="AN12:AP13"/>
    <mergeCell ref="AQ12:AQ14"/>
    <mergeCell ref="Y12:Y14"/>
    <mergeCell ref="Z12:AB13"/>
    <mergeCell ref="AC12:AD13"/>
    <mergeCell ref="AE12:AE14"/>
    <mergeCell ref="AF12:AF14"/>
    <mergeCell ref="X19:X26"/>
    <mergeCell ref="AV12:AV14"/>
    <mergeCell ref="AW12:AW14"/>
    <mergeCell ref="AG12:AG13"/>
    <mergeCell ref="X12:X1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8F0C-00B7-4C85-857E-AC87CC83219D}">
  <dimension ref="A1:BB131"/>
  <sheetViews>
    <sheetView zoomScale="85" zoomScaleNormal="85" workbookViewId="0">
      <pane xSplit="1" topLeftCell="B1" activePane="topRight" state="frozen"/>
      <selection pane="topRight" activeCell="B6" sqref="B6"/>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hidden="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0.33203125"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22.33203125"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13.83203125" customWidth="1"/>
    <col min="50" max="50" width="26.5" bestFit="1" customWidth="1"/>
    <col min="51" max="51" width="24.1640625" bestFit="1" customWidth="1"/>
    <col min="52" max="52" width="41.1640625" bestFit="1" customWidth="1"/>
    <col min="53" max="53" width="18.83203125" bestFit="1" customWidth="1"/>
  </cols>
  <sheetData>
    <row r="1" spans="1:53" x14ac:dyDescent="0.2">
      <c r="A1" s="94" t="s">
        <v>99</v>
      </c>
      <c r="B1" t="s">
        <v>415</v>
      </c>
    </row>
    <row r="2" spans="1:53" x14ac:dyDescent="0.2">
      <c r="A2" s="94" t="s">
        <v>100</v>
      </c>
    </row>
    <row r="3" spans="1:53" x14ac:dyDescent="0.2">
      <c r="A3" s="94" t="s">
        <v>101</v>
      </c>
      <c r="B3">
        <v>20800</v>
      </c>
      <c r="C3" t="s">
        <v>450</v>
      </c>
    </row>
    <row r="4" spans="1:53" x14ac:dyDescent="0.2">
      <c r="A4" s="94" t="s">
        <v>102</v>
      </c>
      <c r="B4">
        <v>88</v>
      </c>
    </row>
    <row r="5" spans="1:53" x14ac:dyDescent="0.2">
      <c r="A5" s="94" t="s">
        <v>103</v>
      </c>
      <c r="B5">
        <f>B4/B3*100</f>
        <v>0.42307692307692307</v>
      </c>
    </row>
    <row r="6" spans="1:53" x14ac:dyDescent="0.2">
      <c r="A6" s="94" t="s">
        <v>104</v>
      </c>
      <c r="B6" t="s">
        <v>418</v>
      </c>
    </row>
    <row r="7" spans="1:53" x14ac:dyDescent="0.2">
      <c r="A7" s="94" t="s">
        <v>106</v>
      </c>
    </row>
    <row r="8" spans="1:53" x14ac:dyDescent="0.2">
      <c r="A8" s="94" t="s">
        <v>416</v>
      </c>
      <c r="B8">
        <v>5</v>
      </c>
    </row>
    <row r="9" spans="1:53" ht="16" thickBot="1" x14ac:dyDescent="0.25">
      <c r="A9" s="94" t="s">
        <v>417</v>
      </c>
      <c r="B9">
        <v>1000</v>
      </c>
    </row>
    <row r="10" spans="1:53" ht="23" x14ac:dyDescent="0.2">
      <c r="A10" s="209" t="s">
        <v>0</v>
      </c>
      <c r="B10" s="210"/>
      <c r="C10" s="210"/>
      <c r="D10" s="215" t="s">
        <v>1</v>
      </c>
      <c r="E10" s="215"/>
      <c r="F10" s="215"/>
      <c r="G10" s="215"/>
      <c r="H10" s="215"/>
      <c r="I10" s="215"/>
      <c r="J10" s="215"/>
      <c r="K10" s="215"/>
      <c r="L10" s="215"/>
      <c r="M10" s="215"/>
      <c r="N10" s="218" t="s">
        <v>2</v>
      </c>
      <c r="O10" s="218"/>
      <c r="P10" s="219"/>
      <c r="Q10" s="224" t="s">
        <v>3</v>
      </c>
      <c r="R10" s="225"/>
      <c r="S10" s="225"/>
      <c r="T10" s="225"/>
      <c r="U10" s="225"/>
      <c r="V10" s="225"/>
      <c r="W10" s="225"/>
      <c r="X10" s="225"/>
      <c r="Y10" s="226"/>
      <c r="Z10" s="230" t="s">
        <v>4</v>
      </c>
      <c r="AA10" s="231"/>
      <c r="AB10" s="231"/>
      <c r="AC10" s="231"/>
      <c r="AD10" s="231"/>
      <c r="AE10" s="231"/>
      <c r="AF10" s="232"/>
      <c r="AG10" s="271" t="s">
        <v>5</v>
      </c>
      <c r="AH10" s="271"/>
      <c r="AI10" s="271"/>
      <c r="AJ10" s="271"/>
      <c r="AK10" s="271"/>
      <c r="AL10" s="271"/>
      <c r="AM10" s="271"/>
      <c r="AN10" s="271"/>
      <c r="AO10" s="271"/>
      <c r="AP10" s="271"/>
      <c r="AQ10" s="1"/>
      <c r="AR10" s="2"/>
      <c r="AS10" s="251" t="s">
        <v>6</v>
      </c>
      <c r="AT10" s="252"/>
      <c r="AU10" s="252"/>
      <c r="AV10" s="252"/>
      <c r="AW10" s="257" t="s">
        <v>7</v>
      </c>
      <c r="AX10" s="258"/>
      <c r="AY10" s="258"/>
      <c r="AZ10" s="259"/>
      <c r="BA10" s="266" t="s">
        <v>8</v>
      </c>
    </row>
    <row r="11" spans="1:53" ht="23" x14ac:dyDescent="0.2">
      <c r="A11" s="211"/>
      <c r="B11" s="212"/>
      <c r="C11" s="212"/>
      <c r="D11" s="216"/>
      <c r="E11" s="216"/>
      <c r="F11" s="216"/>
      <c r="G11" s="216"/>
      <c r="H11" s="216"/>
      <c r="I11" s="216"/>
      <c r="J11" s="216"/>
      <c r="K11" s="216"/>
      <c r="L11" s="216"/>
      <c r="M11" s="216"/>
      <c r="N11" s="220"/>
      <c r="O11" s="220"/>
      <c r="P11" s="221"/>
      <c r="Q11" s="227"/>
      <c r="R11" s="228"/>
      <c r="S11" s="228"/>
      <c r="T11" s="228"/>
      <c r="U11" s="228"/>
      <c r="V11" s="228"/>
      <c r="W11" s="228"/>
      <c r="X11" s="228"/>
      <c r="Y11" s="229"/>
      <c r="Z11" s="233"/>
      <c r="AA11" s="234"/>
      <c r="AB11" s="234"/>
      <c r="AC11" s="234"/>
      <c r="AD11" s="234"/>
      <c r="AE11" s="234"/>
      <c r="AF11" s="235"/>
      <c r="AG11" s="272"/>
      <c r="AH11" s="272"/>
      <c r="AI11" s="272"/>
      <c r="AJ11" s="272"/>
      <c r="AK11" s="272"/>
      <c r="AL11" s="272"/>
      <c r="AM11" s="272"/>
      <c r="AN11" s="272"/>
      <c r="AO11" s="272"/>
      <c r="AP11" s="272"/>
      <c r="AQ11" s="3"/>
      <c r="AR11" s="4"/>
      <c r="AS11" s="253"/>
      <c r="AT11" s="254"/>
      <c r="AU11" s="254"/>
      <c r="AV11" s="254"/>
      <c r="AW11" s="260"/>
      <c r="AX11" s="261"/>
      <c r="AY11" s="261"/>
      <c r="AZ11" s="262"/>
      <c r="BA11" s="267"/>
    </row>
    <row r="12" spans="1:53" ht="21" thickBot="1" x14ac:dyDescent="0.25">
      <c r="A12" s="213"/>
      <c r="B12" s="214"/>
      <c r="C12" s="214"/>
      <c r="D12" s="217"/>
      <c r="E12" s="217"/>
      <c r="F12" s="217"/>
      <c r="G12" s="217"/>
      <c r="H12" s="217"/>
      <c r="I12" s="217"/>
      <c r="J12" s="217"/>
      <c r="K12" s="217"/>
      <c r="L12" s="217"/>
      <c r="M12" s="217"/>
      <c r="N12" s="222"/>
      <c r="O12" s="222"/>
      <c r="P12" s="223"/>
      <c r="Q12" s="227"/>
      <c r="R12" s="228"/>
      <c r="S12" s="228"/>
      <c r="T12" s="228"/>
      <c r="U12" s="228"/>
      <c r="V12" s="228"/>
      <c r="W12" s="228"/>
      <c r="X12" s="228"/>
      <c r="Y12" s="229"/>
      <c r="Z12" s="233"/>
      <c r="AA12" s="234"/>
      <c r="AB12" s="234"/>
      <c r="AC12" s="234"/>
      <c r="AD12" s="234"/>
      <c r="AE12" s="234"/>
      <c r="AF12" s="235"/>
      <c r="AG12" s="269" t="s">
        <v>9</v>
      </c>
      <c r="AH12" s="269"/>
      <c r="AI12" s="269"/>
      <c r="AJ12" s="269"/>
      <c r="AK12" s="270"/>
      <c r="AL12" s="5"/>
      <c r="AM12" s="269" t="s">
        <v>10</v>
      </c>
      <c r="AN12" s="269"/>
      <c r="AO12" s="269"/>
      <c r="AP12" s="270"/>
      <c r="AQ12" s="6"/>
      <c r="AR12" s="7"/>
      <c r="AS12" s="255"/>
      <c r="AT12" s="256"/>
      <c r="AU12" s="256"/>
      <c r="AV12" s="256"/>
      <c r="AW12" s="263"/>
      <c r="AX12" s="264"/>
      <c r="AY12" s="264"/>
      <c r="AZ12" s="265"/>
      <c r="BA12" s="268"/>
    </row>
    <row r="13" spans="1:53" x14ac:dyDescent="0.2">
      <c r="A13" s="236" t="s">
        <v>11</v>
      </c>
      <c r="B13" s="239" t="s">
        <v>12</v>
      </c>
      <c r="C13" s="239" t="s">
        <v>13</v>
      </c>
      <c r="D13" s="242" t="s">
        <v>14</v>
      </c>
      <c r="E13" s="243"/>
      <c r="F13" s="246" t="s">
        <v>15</v>
      </c>
      <c r="G13" s="243"/>
      <c r="H13" s="292" t="s">
        <v>16</v>
      </c>
      <c r="I13" s="293"/>
      <c r="J13" s="296" t="s">
        <v>17</v>
      </c>
      <c r="K13" s="299" t="s">
        <v>18</v>
      </c>
      <c r="L13" s="292" t="s">
        <v>19</v>
      </c>
      <c r="M13" s="303" t="s">
        <v>20</v>
      </c>
      <c r="N13" s="248" t="s">
        <v>21</v>
      </c>
      <c r="O13" s="248" t="s">
        <v>19</v>
      </c>
      <c r="P13" s="248" t="s">
        <v>20</v>
      </c>
      <c r="Q13" s="273" t="s">
        <v>22</v>
      </c>
      <c r="R13" s="276" t="s">
        <v>23</v>
      </c>
      <c r="S13" s="276"/>
      <c r="T13" s="277"/>
      <c r="U13" s="280" t="s">
        <v>24</v>
      </c>
      <c r="V13" s="280"/>
      <c r="W13" s="281"/>
      <c r="X13" s="353" t="s">
        <v>19</v>
      </c>
      <c r="Y13" s="330" t="s">
        <v>20</v>
      </c>
      <c r="Z13" s="333" t="s">
        <v>23</v>
      </c>
      <c r="AA13" s="334"/>
      <c r="AB13" s="335"/>
      <c r="AC13" s="339" t="s">
        <v>24</v>
      </c>
      <c r="AD13" s="339"/>
      <c r="AE13" s="339" t="s">
        <v>19</v>
      </c>
      <c r="AF13" s="342" t="s">
        <v>20</v>
      </c>
      <c r="AG13" s="351" t="s">
        <v>25</v>
      </c>
      <c r="AH13" s="318" t="s">
        <v>26</v>
      </c>
      <c r="AI13" s="321" t="s">
        <v>24</v>
      </c>
      <c r="AJ13" s="321"/>
      <c r="AK13" s="321"/>
      <c r="AL13" s="323" t="s">
        <v>27</v>
      </c>
      <c r="AM13" s="325" t="s">
        <v>25</v>
      </c>
      <c r="AN13" s="321" t="s">
        <v>24</v>
      </c>
      <c r="AO13" s="321"/>
      <c r="AP13" s="309"/>
      <c r="AQ13" s="327" t="s">
        <v>19</v>
      </c>
      <c r="AR13" s="309" t="s">
        <v>20</v>
      </c>
      <c r="AS13" s="312" t="s">
        <v>28</v>
      </c>
      <c r="AT13" s="315" t="s">
        <v>29</v>
      </c>
      <c r="AU13" s="315" t="s">
        <v>19</v>
      </c>
      <c r="AV13" s="315" t="s">
        <v>20</v>
      </c>
      <c r="AW13" s="348" t="s">
        <v>30</v>
      </c>
      <c r="AX13" s="284" t="s">
        <v>29</v>
      </c>
      <c r="AY13" s="284" t="s">
        <v>19</v>
      </c>
      <c r="AZ13" s="287" t="s">
        <v>20</v>
      </c>
      <c r="BA13" s="290" t="s">
        <v>31</v>
      </c>
    </row>
    <row r="14" spans="1:53" x14ac:dyDescent="0.2">
      <c r="A14" s="237"/>
      <c r="B14" s="240"/>
      <c r="C14" s="240"/>
      <c r="D14" s="244"/>
      <c r="E14" s="245"/>
      <c r="F14" s="247"/>
      <c r="G14" s="245"/>
      <c r="H14" s="294"/>
      <c r="I14" s="295"/>
      <c r="J14" s="297"/>
      <c r="K14" s="300"/>
      <c r="L14" s="294"/>
      <c r="M14" s="304"/>
      <c r="N14" s="249"/>
      <c r="O14" s="249"/>
      <c r="P14" s="249"/>
      <c r="Q14" s="274"/>
      <c r="R14" s="278"/>
      <c r="S14" s="278"/>
      <c r="T14" s="279"/>
      <c r="U14" s="282"/>
      <c r="V14" s="282"/>
      <c r="W14" s="283"/>
      <c r="X14" s="354"/>
      <c r="Y14" s="331"/>
      <c r="Z14" s="336"/>
      <c r="AA14" s="337"/>
      <c r="AB14" s="338"/>
      <c r="AC14" s="340"/>
      <c r="AD14" s="340"/>
      <c r="AE14" s="340"/>
      <c r="AF14" s="343"/>
      <c r="AG14" s="352"/>
      <c r="AH14" s="319"/>
      <c r="AI14" s="322"/>
      <c r="AJ14" s="322"/>
      <c r="AK14" s="322"/>
      <c r="AL14" s="324"/>
      <c r="AM14" s="326"/>
      <c r="AN14" s="322"/>
      <c r="AO14" s="322"/>
      <c r="AP14" s="310"/>
      <c r="AQ14" s="328"/>
      <c r="AR14" s="310"/>
      <c r="AS14" s="313"/>
      <c r="AT14" s="316"/>
      <c r="AU14" s="316"/>
      <c r="AV14" s="316"/>
      <c r="AW14" s="349"/>
      <c r="AX14" s="285"/>
      <c r="AY14" s="285"/>
      <c r="AZ14" s="288"/>
      <c r="BA14" s="290"/>
    </row>
    <row r="15" spans="1:53" ht="57" thickBot="1" x14ac:dyDescent="0.25">
      <c r="A15" s="238"/>
      <c r="B15" s="241"/>
      <c r="C15" s="241"/>
      <c r="D15" s="8" t="s">
        <v>32</v>
      </c>
      <c r="E15" s="9" t="s">
        <v>33</v>
      </c>
      <c r="F15" s="10" t="s">
        <v>32</v>
      </c>
      <c r="G15" s="9" t="s">
        <v>33</v>
      </c>
      <c r="H15" s="11" t="s">
        <v>32</v>
      </c>
      <c r="I15" s="12" t="s">
        <v>33</v>
      </c>
      <c r="J15" s="298"/>
      <c r="K15" s="301"/>
      <c r="L15" s="302"/>
      <c r="M15" s="305"/>
      <c r="N15" s="250"/>
      <c r="O15" s="250"/>
      <c r="P15" s="250"/>
      <c r="Q15" s="275"/>
      <c r="R15" s="13" t="s">
        <v>32</v>
      </c>
      <c r="S15" s="13" t="s">
        <v>34</v>
      </c>
      <c r="T15" s="14" t="s">
        <v>33</v>
      </c>
      <c r="U15" s="15" t="s">
        <v>32</v>
      </c>
      <c r="V15" s="15" t="s">
        <v>34</v>
      </c>
      <c r="W15" s="16" t="s">
        <v>33</v>
      </c>
      <c r="X15" s="355"/>
      <c r="Y15" s="332"/>
      <c r="Z15" s="17" t="s">
        <v>32</v>
      </c>
      <c r="AA15" s="18" t="s">
        <v>34</v>
      </c>
      <c r="AB15" s="19" t="s">
        <v>33</v>
      </c>
      <c r="AC15" s="20" t="s">
        <v>32</v>
      </c>
      <c r="AD15" s="20" t="s">
        <v>34</v>
      </c>
      <c r="AE15" s="341"/>
      <c r="AF15" s="344"/>
      <c r="AG15" s="21" t="s">
        <v>34</v>
      </c>
      <c r="AH15" s="320"/>
      <c r="AI15" s="22" t="s">
        <v>32</v>
      </c>
      <c r="AJ15" s="22" t="s">
        <v>34</v>
      </c>
      <c r="AK15" s="22" t="s">
        <v>33</v>
      </c>
      <c r="AL15" s="324"/>
      <c r="AM15" s="23" t="s">
        <v>33</v>
      </c>
      <c r="AN15" s="22" t="s">
        <v>32</v>
      </c>
      <c r="AO15" s="22" t="s">
        <v>34</v>
      </c>
      <c r="AP15" s="24" t="s">
        <v>33</v>
      </c>
      <c r="AQ15" s="329"/>
      <c r="AR15" s="311"/>
      <c r="AS15" s="314"/>
      <c r="AT15" s="317"/>
      <c r="AU15" s="317"/>
      <c r="AV15" s="317"/>
      <c r="AW15" s="350"/>
      <c r="AX15" s="286"/>
      <c r="AY15" s="286"/>
      <c r="AZ15" s="289"/>
      <c r="BA15" s="291"/>
    </row>
    <row r="16" spans="1:53" ht="16" thickBot="1" x14ac:dyDescent="0.25">
      <c r="A16" s="25">
        <v>0</v>
      </c>
      <c r="B16" s="26">
        <v>45425</v>
      </c>
      <c r="C16" s="27" t="s">
        <v>232</v>
      </c>
      <c r="D16" s="25"/>
      <c r="E16" s="28"/>
      <c r="F16" s="27"/>
      <c r="G16" s="28"/>
      <c r="H16" s="27"/>
      <c r="I16" s="28"/>
      <c r="J16" s="27">
        <v>4</v>
      </c>
      <c r="K16" s="29" t="s">
        <v>35</v>
      </c>
      <c r="L16" s="30" t="s">
        <v>160</v>
      </c>
      <c r="M16" s="31" t="s">
        <v>440</v>
      </c>
      <c r="N16" s="27"/>
      <c r="P16" s="32"/>
      <c r="Q16" s="25"/>
      <c r="R16" s="27"/>
      <c r="S16" s="27"/>
      <c r="T16" s="28"/>
      <c r="U16" s="27"/>
      <c r="V16" s="27"/>
      <c r="W16" s="28"/>
      <c r="X16" s="33"/>
      <c r="Y16" s="32"/>
      <c r="Z16" s="25"/>
      <c r="AA16" s="27"/>
      <c r="AB16" s="28"/>
      <c r="AC16" s="27"/>
      <c r="AD16" s="27"/>
      <c r="AE16" s="33"/>
      <c r="AG16" s="25"/>
      <c r="AH16" s="34"/>
      <c r="AI16" s="27"/>
      <c r="AJ16" s="27"/>
      <c r="AK16" s="27"/>
      <c r="AL16" s="25"/>
      <c r="AM16" s="35"/>
      <c r="AN16" s="27"/>
      <c r="AO16" s="27"/>
      <c r="AP16" s="36"/>
      <c r="AQ16" s="37"/>
      <c r="AR16" s="32"/>
      <c r="AS16" s="25"/>
      <c r="AT16" s="27"/>
      <c r="AU16" s="27"/>
      <c r="AW16" s="25"/>
      <c r="AX16" s="27"/>
      <c r="AY16" s="27"/>
      <c r="AZ16" s="32"/>
      <c r="BA16" s="38"/>
    </row>
    <row r="17" spans="1:54" ht="16" thickBot="1" x14ac:dyDescent="0.25">
      <c r="A17" s="25">
        <v>1</v>
      </c>
      <c r="B17" s="26">
        <v>45426</v>
      </c>
      <c r="C17" s="27" t="s">
        <v>232</v>
      </c>
      <c r="D17" s="25"/>
      <c r="E17" s="28"/>
      <c r="F17" s="27"/>
      <c r="G17" s="28"/>
      <c r="H17" s="27"/>
      <c r="I17" s="28"/>
      <c r="J17" s="27">
        <v>4</v>
      </c>
      <c r="K17" s="29" t="s">
        <v>35</v>
      </c>
      <c r="L17" s="39"/>
      <c r="M17" s="31" t="s">
        <v>442</v>
      </c>
      <c r="N17" s="27"/>
      <c r="P17" s="32"/>
      <c r="Q17" s="40"/>
      <c r="R17" s="27"/>
      <c r="S17" s="27"/>
      <c r="T17" s="28"/>
      <c r="U17" s="27"/>
      <c r="V17" s="27"/>
      <c r="W17" s="28"/>
      <c r="X17" s="33"/>
      <c r="Y17" s="32"/>
      <c r="Z17" s="25"/>
      <c r="AA17" s="27"/>
      <c r="AB17" s="28"/>
      <c r="AC17" s="27"/>
      <c r="AD17" s="27"/>
      <c r="AE17" s="33"/>
      <c r="AG17" s="25"/>
      <c r="AH17" s="34"/>
      <c r="AI17" s="27"/>
      <c r="AJ17" s="27"/>
      <c r="AK17" s="27"/>
      <c r="AL17" s="25"/>
      <c r="AM17" s="34"/>
      <c r="AN17" s="27"/>
      <c r="AO17" s="27"/>
      <c r="AP17" s="36"/>
      <c r="AQ17" s="37"/>
      <c r="AR17" s="32"/>
      <c r="AS17" s="25"/>
      <c r="AT17" s="27"/>
      <c r="AU17" s="27"/>
      <c r="AW17" s="25"/>
      <c r="AX17" s="27"/>
      <c r="AY17" s="27"/>
      <c r="AZ17" s="32"/>
      <c r="BA17" s="41"/>
    </row>
    <row r="18" spans="1:54" ht="16" thickBot="1" x14ac:dyDescent="0.25">
      <c r="A18" s="25">
        <v>2</v>
      </c>
      <c r="B18" s="26">
        <v>45427</v>
      </c>
      <c r="C18" s="27" t="s">
        <v>227</v>
      </c>
      <c r="D18" s="25"/>
      <c r="E18" s="28"/>
      <c r="F18" s="27"/>
      <c r="G18" s="28"/>
      <c r="H18" s="27"/>
      <c r="I18" s="28"/>
      <c r="J18" s="27">
        <v>4</v>
      </c>
      <c r="K18" s="29" t="s">
        <v>35</v>
      </c>
      <c r="L18" s="39"/>
      <c r="M18" s="31" t="s">
        <v>443</v>
      </c>
      <c r="N18" s="27"/>
      <c r="O18" s="42"/>
      <c r="Q18" s="43" t="s">
        <v>37</v>
      </c>
      <c r="R18" s="27"/>
      <c r="S18" s="27"/>
      <c r="T18" s="28"/>
      <c r="U18" s="27"/>
      <c r="V18" s="27"/>
      <c r="W18" s="28"/>
      <c r="X18" s="33"/>
      <c r="Y18" s="32"/>
      <c r="Z18" s="25"/>
      <c r="AA18" s="27"/>
      <c r="AB18" s="28"/>
      <c r="AC18" s="27"/>
      <c r="AD18" s="27"/>
      <c r="AE18" s="33"/>
      <c r="AG18" s="25"/>
      <c r="AH18" s="34"/>
      <c r="AI18" s="27"/>
      <c r="AJ18" s="27"/>
      <c r="AK18" s="27"/>
      <c r="AL18" s="25"/>
      <c r="AM18" s="34"/>
      <c r="AN18" s="27"/>
      <c r="AO18" s="27"/>
      <c r="AP18" s="36"/>
      <c r="AQ18" s="37"/>
      <c r="AR18" s="32"/>
      <c r="AS18" s="25"/>
      <c r="AT18" s="27"/>
      <c r="AU18" s="27"/>
      <c r="AW18" s="25"/>
      <c r="AX18" s="27"/>
      <c r="AY18" s="27"/>
      <c r="AZ18" s="32"/>
      <c r="BA18" s="41"/>
    </row>
    <row r="19" spans="1:54" ht="16" thickBot="1" x14ac:dyDescent="0.25">
      <c r="A19" s="25">
        <v>3</v>
      </c>
      <c r="B19" s="26">
        <v>45428</v>
      </c>
      <c r="C19" s="27" t="s">
        <v>200</v>
      </c>
      <c r="D19" s="25"/>
      <c r="E19" s="28"/>
      <c r="F19" s="27"/>
      <c r="G19" s="28"/>
      <c r="H19" s="27"/>
      <c r="I19" s="28"/>
      <c r="J19" s="27">
        <v>6</v>
      </c>
      <c r="K19" s="29" t="s">
        <v>35</v>
      </c>
      <c r="L19" s="44" t="s">
        <v>287</v>
      </c>
      <c r="M19" s="31" t="s">
        <v>449</v>
      </c>
      <c r="N19" s="27" t="s">
        <v>240</v>
      </c>
      <c r="O19" s="45" t="s">
        <v>41</v>
      </c>
      <c r="P19" s="46"/>
      <c r="Q19" s="25"/>
      <c r="R19" s="27"/>
      <c r="S19" s="27"/>
      <c r="T19" s="28"/>
      <c r="U19" s="27">
        <v>5</v>
      </c>
      <c r="V19" s="27"/>
      <c r="W19" s="28">
        <v>5</v>
      </c>
      <c r="X19" s="47" t="s">
        <v>43</v>
      </c>
      <c r="Y19" s="32"/>
      <c r="Z19" s="25"/>
      <c r="AA19" s="27"/>
      <c r="AB19" s="28"/>
      <c r="AC19" s="27">
        <v>3</v>
      </c>
      <c r="AD19" s="27">
        <v>2</v>
      </c>
      <c r="AE19" s="48" t="s">
        <v>342</v>
      </c>
      <c r="AG19" s="25"/>
      <c r="AH19" s="34"/>
      <c r="AI19" s="27"/>
      <c r="AJ19" s="27"/>
      <c r="AK19" s="27"/>
      <c r="AL19" s="25"/>
      <c r="AM19" s="34"/>
      <c r="AN19" s="27"/>
      <c r="AO19" s="27"/>
      <c r="AP19" s="36"/>
      <c r="AQ19" s="37"/>
      <c r="AR19" s="32"/>
      <c r="AS19" s="25"/>
      <c r="AT19" s="27"/>
      <c r="AU19" s="27"/>
      <c r="AW19" s="25"/>
      <c r="AX19" s="27"/>
      <c r="AY19" s="27"/>
      <c r="AZ19" s="32"/>
      <c r="BA19" s="41"/>
    </row>
    <row r="20" spans="1:54" x14ac:dyDescent="0.2">
      <c r="A20" s="25">
        <v>4</v>
      </c>
      <c r="B20" s="26">
        <v>45429</v>
      </c>
      <c r="C20" s="27" t="s">
        <v>200</v>
      </c>
      <c r="D20" s="25"/>
      <c r="E20" s="28"/>
      <c r="F20" s="27"/>
      <c r="G20" s="28"/>
      <c r="H20" s="27"/>
      <c r="I20" s="28"/>
      <c r="J20" s="27">
        <v>6</v>
      </c>
      <c r="K20" s="29" t="s">
        <v>35</v>
      </c>
      <c r="L20" s="39"/>
      <c r="M20" s="31"/>
      <c r="N20" s="27" t="s">
        <v>240</v>
      </c>
      <c r="O20" t="s">
        <v>46</v>
      </c>
      <c r="P20" s="32"/>
      <c r="Q20" s="25"/>
      <c r="R20" s="27"/>
      <c r="S20" s="27"/>
      <c r="T20" s="28"/>
      <c r="U20" s="27">
        <v>5</v>
      </c>
      <c r="V20" s="27"/>
      <c r="W20" s="28">
        <v>5</v>
      </c>
      <c r="X20" s="345" t="s">
        <v>47</v>
      </c>
      <c r="Y20" s="32"/>
      <c r="Z20" s="25"/>
      <c r="AA20" s="27"/>
      <c r="AB20" s="28"/>
      <c r="AC20" s="27">
        <v>3</v>
      </c>
      <c r="AD20" s="27">
        <v>2</v>
      </c>
      <c r="AE20" s="33"/>
      <c r="AG20" s="25"/>
      <c r="AH20" s="34"/>
      <c r="AI20" s="27"/>
      <c r="AJ20" s="27"/>
      <c r="AK20" s="27"/>
      <c r="AL20" s="25"/>
      <c r="AM20" s="34"/>
      <c r="AN20" s="27"/>
      <c r="AO20" s="27"/>
      <c r="AP20" s="36"/>
      <c r="AQ20" s="37"/>
      <c r="AR20" s="32"/>
      <c r="AS20" s="25"/>
      <c r="AT20" s="27"/>
      <c r="AU20" s="27"/>
      <c r="AW20" s="25"/>
      <c r="AX20" s="27"/>
      <c r="AY20" s="27"/>
      <c r="AZ20" s="32"/>
      <c r="BA20" s="41"/>
    </row>
    <row r="21" spans="1:54" x14ac:dyDescent="0.2">
      <c r="A21" s="25">
        <v>5</v>
      </c>
      <c r="B21" s="26">
        <v>45430</v>
      </c>
      <c r="C21" s="27" t="s">
        <v>200</v>
      </c>
      <c r="D21" s="25"/>
      <c r="E21" s="28"/>
      <c r="F21" s="27"/>
      <c r="G21" s="28"/>
      <c r="H21" s="27"/>
      <c r="I21" s="28"/>
      <c r="J21" s="27">
        <v>6</v>
      </c>
      <c r="K21" s="29" t="s">
        <v>35</v>
      </c>
      <c r="L21" s="39"/>
      <c r="M21" s="31"/>
      <c r="N21" s="27" t="s">
        <v>240</v>
      </c>
      <c r="P21" s="32"/>
      <c r="Q21" s="25"/>
      <c r="R21" s="27"/>
      <c r="S21" s="27"/>
      <c r="T21" s="28"/>
      <c r="U21" s="27">
        <v>5</v>
      </c>
      <c r="V21" s="27"/>
      <c r="W21" s="28">
        <v>5</v>
      </c>
      <c r="X21" s="346"/>
      <c r="Y21" s="32"/>
      <c r="Z21" s="25"/>
      <c r="AA21" s="27"/>
      <c r="AB21" s="28"/>
      <c r="AC21" s="27">
        <v>3</v>
      </c>
      <c r="AD21" s="27">
        <v>2</v>
      </c>
      <c r="AE21" s="33"/>
      <c r="AG21" s="25"/>
      <c r="AH21" s="34"/>
      <c r="AI21" s="27"/>
      <c r="AJ21" s="27"/>
      <c r="AK21" s="27"/>
      <c r="AL21" s="25"/>
      <c r="AM21" s="34"/>
      <c r="AN21" s="27"/>
      <c r="AO21" s="27"/>
      <c r="AP21" s="36"/>
      <c r="AQ21" s="37"/>
      <c r="AR21" s="32"/>
      <c r="AS21" s="25"/>
      <c r="AT21" s="27"/>
      <c r="AU21" s="27"/>
      <c r="AW21" s="25"/>
      <c r="AX21" s="27"/>
      <c r="AY21" s="27"/>
      <c r="AZ21" s="32"/>
      <c r="BA21" s="41"/>
    </row>
    <row r="22" spans="1:54" x14ac:dyDescent="0.2">
      <c r="A22" s="25">
        <v>6</v>
      </c>
      <c r="B22" s="26">
        <v>45431</v>
      </c>
      <c r="C22" s="27" t="s">
        <v>200</v>
      </c>
      <c r="D22" s="25"/>
      <c r="E22" s="28"/>
      <c r="F22" s="27"/>
      <c r="G22" s="28"/>
      <c r="H22" s="27"/>
      <c r="I22" s="28"/>
      <c r="J22" s="27">
        <v>6</v>
      </c>
      <c r="K22" s="29" t="s">
        <v>35</v>
      </c>
      <c r="L22" s="39"/>
      <c r="M22" s="31"/>
      <c r="N22" s="27" t="s">
        <v>240</v>
      </c>
      <c r="P22" s="32"/>
      <c r="Q22" s="25"/>
      <c r="R22" s="27"/>
      <c r="S22" s="27"/>
      <c r="T22" s="28"/>
      <c r="U22" s="27">
        <v>5</v>
      </c>
      <c r="V22" s="27"/>
      <c r="W22" s="28">
        <v>5</v>
      </c>
      <c r="X22" s="346"/>
      <c r="Y22" s="32"/>
      <c r="Z22" s="25"/>
      <c r="AA22" s="27"/>
      <c r="AB22" s="28"/>
      <c r="AC22" s="27">
        <v>3</v>
      </c>
      <c r="AD22" s="27">
        <v>2</v>
      </c>
      <c r="AE22" s="33"/>
      <c r="AG22" s="25"/>
      <c r="AH22" s="34"/>
      <c r="AI22" s="27"/>
      <c r="AJ22" s="27"/>
      <c r="AK22" s="27"/>
      <c r="AL22" s="25"/>
      <c r="AM22" s="34"/>
      <c r="AN22" s="27"/>
      <c r="AO22" s="27"/>
      <c r="AP22" s="36"/>
      <c r="AQ22" s="37"/>
      <c r="AR22" s="32"/>
      <c r="AS22" s="25"/>
      <c r="AT22" s="27"/>
      <c r="AU22" s="27"/>
      <c r="AW22" s="25"/>
      <c r="AX22" s="27"/>
      <c r="AY22" s="27"/>
      <c r="AZ22" s="32"/>
      <c r="BA22" s="41"/>
    </row>
    <row r="23" spans="1:54" x14ac:dyDescent="0.2">
      <c r="A23" s="25">
        <v>7</v>
      </c>
      <c r="B23" s="26">
        <v>45432</v>
      </c>
      <c r="C23" s="27" t="s">
        <v>200</v>
      </c>
      <c r="D23" s="25"/>
      <c r="E23" s="28"/>
      <c r="F23" s="27"/>
      <c r="G23" s="28"/>
      <c r="H23" s="27"/>
      <c r="I23" s="28"/>
      <c r="J23" s="27">
        <v>6</v>
      </c>
      <c r="K23" s="29" t="s">
        <v>35</v>
      </c>
      <c r="L23" s="39"/>
      <c r="M23" s="31"/>
      <c r="N23" s="27" t="s">
        <v>240</v>
      </c>
      <c r="P23" s="32"/>
      <c r="Q23" s="25"/>
      <c r="R23" s="27"/>
      <c r="S23" s="27"/>
      <c r="T23" s="28"/>
      <c r="U23" s="27">
        <v>5</v>
      </c>
      <c r="V23" s="27"/>
      <c r="W23" s="28">
        <v>5</v>
      </c>
      <c r="X23" s="346"/>
      <c r="Y23" s="32"/>
      <c r="Z23" s="25"/>
      <c r="AA23" s="27"/>
      <c r="AB23" s="28"/>
      <c r="AC23" s="27">
        <v>3</v>
      </c>
      <c r="AD23" s="27">
        <v>2</v>
      </c>
      <c r="AE23" s="33"/>
      <c r="AG23" s="25"/>
      <c r="AH23" s="34"/>
      <c r="AI23" s="27"/>
      <c r="AJ23" s="27"/>
      <c r="AK23" s="27"/>
      <c r="AL23" s="25"/>
      <c r="AM23" s="34"/>
      <c r="AN23" s="27"/>
      <c r="AO23" s="27"/>
      <c r="AP23" s="36"/>
      <c r="AQ23" s="37"/>
      <c r="AR23" s="32"/>
      <c r="AS23" s="25"/>
      <c r="AT23" s="27"/>
      <c r="AU23" s="27"/>
      <c r="AW23" s="25"/>
      <c r="AX23" s="27"/>
      <c r="AY23" s="27"/>
      <c r="AZ23" s="32"/>
      <c r="BA23" s="41"/>
    </row>
    <row r="24" spans="1:54" x14ac:dyDescent="0.2">
      <c r="A24" s="25">
        <v>8</v>
      </c>
      <c r="B24" s="26">
        <v>45433</v>
      </c>
      <c r="C24" s="27" t="s">
        <v>232</v>
      </c>
      <c r="D24" s="25"/>
      <c r="E24" s="28"/>
      <c r="F24" s="27"/>
      <c r="G24" s="28"/>
      <c r="H24" s="27"/>
      <c r="I24" s="28"/>
      <c r="J24" s="27">
        <v>6</v>
      </c>
      <c r="K24" s="29" t="s">
        <v>35</v>
      </c>
      <c r="L24" s="39"/>
      <c r="M24" s="31"/>
      <c r="N24" s="27" t="s">
        <v>240</v>
      </c>
      <c r="P24" s="32"/>
      <c r="Q24" s="25"/>
      <c r="R24" s="27"/>
      <c r="S24" s="27"/>
      <c r="T24" s="28"/>
      <c r="U24" s="27">
        <v>5</v>
      </c>
      <c r="V24" s="27"/>
      <c r="W24" s="28">
        <v>5</v>
      </c>
      <c r="X24" s="346"/>
      <c r="Y24" s="32"/>
      <c r="Z24" s="25"/>
      <c r="AA24" s="27"/>
      <c r="AB24" s="28"/>
      <c r="AC24" s="27">
        <v>3</v>
      </c>
      <c r="AD24" s="27">
        <v>2</v>
      </c>
      <c r="AE24" s="33"/>
      <c r="AG24" s="25"/>
      <c r="AH24" s="34"/>
      <c r="AI24" s="27"/>
      <c r="AJ24" s="27"/>
      <c r="AK24" s="27"/>
      <c r="AL24" s="25"/>
      <c r="AM24" s="34"/>
      <c r="AN24" s="27"/>
      <c r="AO24" s="27"/>
      <c r="AP24" s="36"/>
      <c r="AQ24" s="37"/>
      <c r="AR24" s="32"/>
      <c r="AS24" s="25"/>
      <c r="AT24" s="27"/>
      <c r="AU24" s="27"/>
      <c r="AW24" s="25"/>
      <c r="AX24" s="27"/>
      <c r="AY24" s="27"/>
      <c r="AZ24" s="32"/>
      <c r="BA24" s="41"/>
    </row>
    <row r="25" spans="1:54" ht="16" thickBot="1" x14ac:dyDescent="0.25">
      <c r="A25" s="25">
        <v>9</v>
      </c>
      <c r="B25" s="26">
        <v>45434</v>
      </c>
      <c r="C25" s="27" t="s">
        <v>232</v>
      </c>
      <c r="D25" s="25"/>
      <c r="E25" s="28"/>
      <c r="F25" s="27"/>
      <c r="G25" s="28"/>
      <c r="H25" s="27"/>
      <c r="I25" s="28"/>
      <c r="J25" s="27">
        <v>6</v>
      </c>
      <c r="K25" s="29" t="s">
        <v>35</v>
      </c>
      <c r="L25" s="39"/>
      <c r="M25" s="31"/>
      <c r="N25" s="27" t="s">
        <v>240</v>
      </c>
      <c r="P25" s="32"/>
      <c r="Q25" s="25"/>
      <c r="R25" s="27"/>
      <c r="S25" s="27"/>
      <c r="T25" s="28"/>
      <c r="U25" s="27">
        <v>5</v>
      </c>
      <c r="V25" s="27"/>
      <c r="W25" s="28">
        <v>5</v>
      </c>
      <c r="X25" s="346"/>
      <c r="Y25" s="32"/>
      <c r="Z25" s="25"/>
      <c r="AA25" s="27"/>
      <c r="AB25" s="28"/>
      <c r="AC25" s="27">
        <v>3</v>
      </c>
      <c r="AD25" s="27">
        <v>2</v>
      </c>
      <c r="AE25" s="33"/>
      <c r="AG25" s="25"/>
      <c r="AH25" s="34"/>
      <c r="AI25" s="27"/>
      <c r="AJ25" s="27"/>
      <c r="AK25" s="27"/>
      <c r="AL25" s="25"/>
      <c r="AM25" s="34"/>
      <c r="AN25" s="27"/>
      <c r="AO25" s="27"/>
      <c r="AP25" s="36"/>
      <c r="AQ25" s="37"/>
      <c r="AR25" s="32"/>
      <c r="AS25" s="25"/>
      <c r="AT25" s="27"/>
      <c r="AU25" s="27"/>
      <c r="AW25" s="25"/>
      <c r="AX25" s="27"/>
      <c r="AY25" s="27"/>
      <c r="AZ25" s="32"/>
      <c r="BA25" s="41"/>
    </row>
    <row r="26" spans="1:54" ht="16" thickBot="1" x14ac:dyDescent="0.25">
      <c r="A26" s="25">
        <v>10</v>
      </c>
      <c r="B26" s="26">
        <v>45435</v>
      </c>
      <c r="C26" s="27" t="s">
        <v>232</v>
      </c>
      <c r="D26" s="25"/>
      <c r="E26" s="28"/>
      <c r="F26" s="27"/>
      <c r="G26" s="28"/>
      <c r="H26" s="27"/>
      <c r="I26" s="28"/>
      <c r="J26" s="27">
        <v>6</v>
      </c>
      <c r="K26" s="29" t="s">
        <v>35</v>
      </c>
      <c r="L26" s="39"/>
      <c r="M26" s="31" t="s">
        <v>453</v>
      </c>
      <c r="N26" s="27" t="s">
        <v>240</v>
      </c>
      <c r="O26" s="49"/>
      <c r="P26" s="32"/>
      <c r="Q26" s="25"/>
      <c r="R26" s="27"/>
      <c r="S26" s="27"/>
      <c r="T26" s="28"/>
      <c r="U26" s="27">
        <v>5</v>
      </c>
      <c r="V26" s="27"/>
      <c r="W26" s="28">
        <v>5</v>
      </c>
      <c r="X26" s="346"/>
      <c r="Y26" s="32"/>
      <c r="Z26" s="25"/>
      <c r="AA26" s="27"/>
      <c r="AB26" s="28"/>
      <c r="AC26" s="27">
        <v>5</v>
      </c>
      <c r="AD26" s="27">
        <v>5</v>
      </c>
      <c r="AE26" s="50" t="s">
        <v>343</v>
      </c>
      <c r="AG26" s="25"/>
      <c r="AH26" s="34"/>
      <c r="AI26" s="27"/>
      <c r="AJ26" s="27"/>
      <c r="AK26" s="27"/>
      <c r="AL26" s="25"/>
      <c r="AM26" s="34"/>
      <c r="AN26" s="27"/>
      <c r="AO26" s="27"/>
      <c r="AP26" s="36"/>
      <c r="AQ26" s="37"/>
      <c r="AR26" s="32"/>
      <c r="AS26" s="25"/>
      <c r="AT26" s="27"/>
      <c r="AU26" s="27"/>
      <c r="AW26" s="25"/>
      <c r="AX26" s="27"/>
      <c r="AY26" s="27"/>
      <c r="AZ26" s="32"/>
      <c r="BA26" s="41" t="s">
        <v>454</v>
      </c>
      <c r="BB26" t="s">
        <v>455</v>
      </c>
    </row>
    <row r="27" spans="1:54" ht="16" thickBot="1" x14ac:dyDescent="0.25">
      <c r="A27" s="25">
        <v>11</v>
      </c>
      <c r="B27" s="26">
        <v>45436</v>
      </c>
      <c r="C27" s="27" t="s">
        <v>200</v>
      </c>
      <c r="D27" s="25"/>
      <c r="E27" s="28"/>
      <c r="F27" s="27"/>
      <c r="G27" s="28"/>
      <c r="H27" s="27"/>
      <c r="I27" s="28"/>
      <c r="J27" s="27">
        <v>6</v>
      </c>
      <c r="K27" s="29" t="s">
        <v>35</v>
      </c>
      <c r="L27" s="52" t="s">
        <v>460</v>
      </c>
      <c r="M27" s="31" t="s">
        <v>458</v>
      </c>
      <c r="N27" s="27" t="s">
        <v>240</v>
      </c>
      <c r="P27" s="32"/>
      <c r="Q27" s="25"/>
      <c r="R27" s="27"/>
      <c r="S27" s="27"/>
      <c r="T27" s="28"/>
      <c r="U27" s="27">
        <v>5</v>
      </c>
      <c r="V27" s="27"/>
      <c r="W27" s="28">
        <v>5</v>
      </c>
      <c r="X27" s="347"/>
      <c r="Y27" s="32"/>
      <c r="Z27" s="25"/>
      <c r="AA27" s="27"/>
      <c r="AB27" s="28"/>
      <c r="AC27" s="27">
        <v>5</v>
      </c>
      <c r="AD27" s="27">
        <v>5</v>
      </c>
      <c r="AE27" s="33"/>
      <c r="AF27" s="32"/>
      <c r="AG27" s="25"/>
      <c r="AH27" s="34"/>
      <c r="AI27" s="27"/>
      <c r="AJ27" s="27"/>
      <c r="AK27" s="27"/>
      <c r="AL27" s="25"/>
      <c r="AM27" s="34"/>
      <c r="AN27" s="27"/>
      <c r="AO27" s="27"/>
      <c r="AP27" s="36"/>
      <c r="AQ27" s="37"/>
      <c r="AR27" s="32"/>
      <c r="AS27" s="25"/>
      <c r="AT27" s="27"/>
      <c r="AU27" s="27"/>
      <c r="AW27" s="25"/>
      <c r="AX27" s="27"/>
      <c r="AY27" s="27"/>
      <c r="AZ27" s="32"/>
      <c r="BA27" s="41">
        <v>70</v>
      </c>
      <c r="BB27" t="s">
        <v>459</v>
      </c>
    </row>
    <row r="28" spans="1:54" ht="16" thickBot="1" x14ac:dyDescent="0.25">
      <c r="A28" s="25">
        <v>12</v>
      </c>
      <c r="B28" s="26">
        <v>45437</v>
      </c>
      <c r="C28" s="27" t="s">
        <v>200</v>
      </c>
      <c r="D28" s="25"/>
      <c r="E28" s="28"/>
      <c r="F28" s="27"/>
      <c r="G28" s="28"/>
      <c r="H28" s="27"/>
      <c r="I28" s="28"/>
      <c r="J28" s="27">
        <v>6</v>
      </c>
      <c r="K28" s="29" t="s">
        <v>35</v>
      </c>
      <c r="L28" s="53"/>
      <c r="M28" s="31"/>
      <c r="N28" s="27" t="s">
        <v>240</v>
      </c>
      <c r="P28" s="32"/>
      <c r="Q28" s="25"/>
      <c r="R28" s="27"/>
      <c r="S28" s="27"/>
      <c r="T28" s="28"/>
      <c r="U28" s="27">
        <v>1</v>
      </c>
      <c r="V28" s="27"/>
      <c r="W28" s="28">
        <v>1</v>
      </c>
      <c r="X28" s="54" t="s">
        <v>49</v>
      </c>
      <c r="Y28" s="32"/>
      <c r="Z28" s="25"/>
      <c r="AA28" s="27"/>
      <c r="AB28" s="28"/>
      <c r="AC28" s="27">
        <v>10</v>
      </c>
      <c r="AD28" s="27">
        <v>5</v>
      </c>
      <c r="AE28" s="50" t="s">
        <v>344</v>
      </c>
      <c r="AG28" s="25"/>
      <c r="AH28" s="34"/>
      <c r="AI28" s="27"/>
      <c r="AJ28" s="27"/>
      <c r="AK28" s="27"/>
      <c r="AL28" s="25"/>
      <c r="AM28" s="34"/>
      <c r="AN28" s="27"/>
      <c r="AO28" s="27"/>
      <c r="AP28" s="36"/>
      <c r="AQ28" s="37"/>
      <c r="AR28" s="32"/>
      <c r="AS28" s="25"/>
      <c r="AT28" s="27"/>
      <c r="AU28" s="27"/>
      <c r="AW28" s="25"/>
      <c r="AX28" s="27"/>
      <c r="AY28" s="27"/>
      <c r="AZ28" s="32"/>
      <c r="BA28" s="41">
        <v>70</v>
      </c>
      <c r="BB28" t="s">
        <v>462</v>
      </c>
    </row>
    <row r="29" spans="1:54" ht="16" thickBot="1" x14ac:dyDescent="0.25">
      <c r="A29" s="25">
        <v>13</v>
      </c>
      <c r="B29" s="26">
        <v>45438</v>
      </c>
      <c r="C29" s="27" t="s">
        <v>232</v>
      </c>
      <c r="D29" s="25"/>
      <c r="E29" s="28"/>
      <c r="F29" s="27"/>
      <c r="G29" s="28"/>
      <c r="H29" s="27"/>
      <c r="I29" s="28"/>
      <c r="J29" s="27">
        <v>6</v>
      </c>
      <c r="K29" s="29" t="s">
        <v>35</v>
      </c>
      <c r="L29" s="39"/>
      <c r="M29" s="31" t="s">
        <v>463</v>
      </c>
      <c r="N29" s="27" t="s">
        <v>240</v>
      </c>
      <c r="P29" s="32"/>
      <c r="Q29" s="25"/>
      <c r="R29" s="27"/>
      <c r="S29" s="27"/>
      <c r="T29" s="28"/>
      <c r="U29" s="27">
        <v>1</v>
      </c>
      <c r="V29" s="27"/>
      <c r="W29" s="28">
        <v>1</v>
      </c>
      <c r="X29" s="33"/>
      <c r="Y29" s="32"/>
      <c r="Z29" s="55"/>
      <c r="AA29" s="56"/>
      <c r="AB29" s="57"/>
      <c r="AC29" s="27">
        <v>10</v>
      </c>
      <c r="AD29" s="27">
        <v>5</v>
      </c>
      <c r="AE29" s="33"/>
      <c r="AG29" s="25"/>
      <c r="AH29" s="34"/>
      <c r="AI29" s="27"/>
      <c r="AJ29" s="27"/>
      <c r="AK29" s="27"/>
      <c r="AL29" s="25"/>
      <c r="AM29" s="34"/>
      <c r="AN29" s="27"/>
      <c r="AO29" s="27"/>
      <c r="AP29" s="36"/>
      <c r="AQ29" s="37"/>
      <c r="AR29" s="32"/>
      <c r="AS29" s="25"/>
      <c r="AT29" s="27"/>
      <c r="AU29" s="201"/>
      <c r="AW29" s="25"/>
      <c r="AX29" s="27"/>
      <c r="AY29" s="27"/>
      <c r="AZ29" s="32"/>
      <c r="BA29" s="41">
        <v>54</v>
      </c>
    </row>
    <row r="30" spans="1:54" ht="16" thickBot="1" x14ac:dyDescent="0.25">
      <c r="A30" s="25">
        <v>14</v>
      </c>
      <c r="B30" s="26">
        <v>45439</v>
      </c>
      <c r="C30" s="27" t="s">
        <v>232</v>
      </c>
      <c r="D30" s="25"/>
      <c r="E30" s="28"/>
      <c r="F30" s="27"/>
      <c r="G30" s="28"/>
      <c r="H30" s="27"/>
      <c r="I30" s="28"/>
      <c r="J30" s="27">
        <v>6</v>
      </c>
      <c r="K30" s="29" t="s">
        <v>35</v>
      </c>
      <c r="L30" s="39"/>
      <c r="M30" s="31"/>
      <c r="N30" s="27" t="s">
        <v>240</v>
      </c>
      <c r="P30" s="32"/>
      <c r="Q30" s="25"/>
      <c r="R30" s="27"/>
      <c r="S30" s="27"/>
      <c r="T30" s="28"/>
      <c r="U30" s="27">
        <v>1</v>
      </c>
      <c r="V30" s="27"/>
      <c r="W30" s="28">
        <v>1</v>
      </c>
      <c r="X30" s="33"/>
      <c r="Y30" s="32"/>
      <c r="Z30" s="59"/>
      <c r="AA30" s="60"/>
      <c r="AB30" s="61"/>
      <c r="AC30" s="27">
        <v>10</v>
      </c>
      <c r="AD30" s="27">
        <v>5</v>
      </c>
      <c r="AE30" s="33"/>
      <c r="AG30" s="25"/>
      <c r="AH30" s="34"/>
      <c r="AI30" s="27"/>
      <c r="AJ30" s="27"/>
      <c r="AK30" s="27"/>
      <c r="AL30" s="25"/>
      <c r="AM30" s="34"/>
      <c r="AN30" s="27"/>
      <c r="AO30" s="27"/>
      <c r="AP30" s="36"/>
      <c r="AQ30" s="37"/>
      <c r="AR30" s="32"/>
      <c r="AS30" s="25"/>
      <c r="AT30" s="27"/>
      <c r="AW30" s="25"/>
      <c r="AX30" s="27"/>
      <c r="AY30" s="27"/>
      <c r="AZ30" s="32"/>
      <c r="BA30" s="62"/>
    </row>
    <row r="31" spans="1:54" ht="16" thickBot="1" x14ac:dyDescent="0.25">
      <c r="A31" s="25">
        <v>15</v>
      </c>
      <c r="B31" s="26">
        <v>45440</v>
      </c>
      <c r="C31" s="27" t="s">
        <v>232</v>
      </c>
      <c r="D31" s="25"/>
      <c r="E31" s="28"/>
      <c r="F31" s="27"/>
      <c r="G31" s="28"/>
      <c r="H31" s="27"/>
      <c r="I31" s="28"/>
      <c r="J31" s="27">
        <v>6</v>
      </c>
      <c r="K31" s="29" t="s">
        <v>35</v>
      </c>
      <c r="L31" s="39"/>
      <c r="M31" s="31"/>
      <c r="N31" s="27" t="s">
        <v>240</v>
      </c>
      <c r="P31" s="32"/>
      <c r="Q31" s="25"/>
      <c r="R31" s="27"/>
      <c r="S31" s="27"/>
      <c r="T31" s="28"/>
      <c r="U31" s="27">
        <v>1</v>
      </c>
      <c r="V31" s="27"/>
      <c r="W31" s="28">
        <v>1</v>
      </c>
      <c r="X31" s="33"/>
      <c r="Y31" s="32"/>
      <c r="Z31" s="25"/>
      <c r="AA31" s="27"/>
      <c r="AB31" s="28"/>
      <c r="AC31" s="27">
        <v>10</v>
      </c>
      <c r="AD31" s="27">
        <v>5</v>
      </c>
      <c r="AE31" s="33"/>
      <c r="AG31" s="25"/>
      <c r="AH31" s="34"/>
      <c r="AI31" s="27"/>
      <c r="AJ31" s="27"/>
      <c r="AK31" s="27"/>
      <c r="AL31" s="25"/>
      <c r="AM31" s="34"/>
      <c r="AN31" s="27"/>
      <c r="AO31" s="27"/>
      <c r="AP31" s="36"/>
      <c r="AQ31" s="37"/>
      <c r="AR31" s="32"/>
      <c r="AS31" s="25"/>
      <c r="AT31" s="27"/>
      <c r="AU31" s="201"/>
      <c r="AW31" s="25"/>
      <c r="AX31" s="27"/>
      <c r="AY31" s="27"/>
      <c r="AZ31" s="32"/>
      <c r="BA31" s="41"/>
    </row>
    <row r="32" spans="1:54" ht="16" thickBot="1" x14ac:dyDescent="0.25">
      <c r="A32" s="25">
        <v>16</v>
      </c>
      <c r="B32" s="26">
        <v>45441</v>
      </c>
      <c r="C32" s="27" t="s">
        <v>232</v>
      </c>
      <c r="D32" s="25"/>
      <c r="E32" s="28"/>
      <c r="F32" s="27"/>
      <c r="G32" s="28"/>
      <c r="H32" s="27"/>
      <c r="I32" s="28"/>
      <c r="J32" s="27">
        <v>6</v>
      </c>
      <c r="K32" s="29" t="s">
        <v>35</v>
      </c>
      <c r="L32" s="44" t="s">
        <v>288</v>
      </c>
      <c r="M32" s="31"/>
      <c r="N32" s="27" t="s">
        <v>240</v>
      </c>
      <c r="P32" s="32"/>
      <c r="Q32" s="25"/>
      <c r="R32" s="27"/>
      <c r="S32" s="27"/>
      <c r="T32" s="28"/>
      <c r="U32" s="27">
        <v>1</v>
      </c>
      <c r="V32" s="27"/>
      <c r="W32" s="28">
        <v>1</v>
      </c>
      <c r="X32" s="63" t="s">
        <v>60</v>
      </c>
      <c r="Y32" s="46" t="s">
        <v>61</v>
      </c>
      <c r="AB32" s="28"/>
      <c r="AC32" s="27">
        <v>10</v>
      </c>
      <c r="AD32" s="27">
        <v>5</v>
      </c>
      <c r="AE32" s="33"/>
      <c r="AG32" s="25"/>
      <c r="AH32" s="34"/>
      <c r="AI32" s="27"/>
      <c r="AJ32" s="27"/>
      <c r="AK32" s="27"/>
      <c r="AL32" s="25"/>
      <c r="AM32" s="34"/>
      <c r="AN32" s="27"/>
      <c r="AO32" s="27"/>
      <c r="AP32" s="36"/>
      <c r="AQ32" s="64"/>
      <c r="AR32" s="65"/>
      <c r="AS32" s="25"/>
      <c r="AT32" s="27"/>
      <c r="AU32" s="27"/>
      <c r="AW32" s="25"/>
      <c r="AX32" s="27"/>
      <c r="AY32" s="27"/>
      <c r="AZ32" s="32"/>
      <c r="BA32" s="41"/>
    </row>
    <row r="33" spans="1:54" x14ac:dyDescent="0.2">
      <c r="A33" s="25">
        <v>17</v>
      </c>
      <c r="B33" s="26">
        <v>45442</v>
      </c>
      <c r="C33" s="27" t="s">
        <v>232</v>
      </c>
      <c r="D33" s="25"/>
      <c r="E33" s="28"/>
      <c r="F33" s="27"/>
      <c r="G33" s="28"/>
      <c r="H33" s="27"/>
      <c r="I33" s="28"/>
      <c r="J33" s="27">
        <v>6</v>
      </c>
      <c r="K33" s="29" t="s">
        <v>35</v>
      </c>
      <c r="L33" s="39"/>
      <c r="M33" s="31"/>
      <c r="N33" s="27" t="s">
        <v>240</v>
      </c>
      <c r="P33" s="32"/>
      <c r="Q33" s="25"/>
      <c r="R33" s="27"/>
      <c r="S33" s="27"/>
      <c r="T33" s="28"/>
      <c r="U33" s="27"/>
      <c r="V33" s="27" t="s">
        <v>154</v>
      </c>
      <c r="W33" s="28"/>
      <c r="X33" s="33" t="s">
        <v>155</v>
      </c>
      <c r="Y33" s="32"/>
      <c r="Z33" s="25"/>
      <c r="AA33" s="27"/>
      <c r="AB33" s="28"/>
      <c r="AC33" s="27">
        <v>10</v>
      </c>
      <c r="AD33" s="27">
        <v>5</v>
      </c>
      <c r="AE33" s="33"/>
      <c r="AG33" s="25"/>
      <c r="AH33" s="34"/>
      <c r="AI33" s="27"/>
      <c r="AJ33" s="27"/>
      <c r="AK33" s="27"/>
      <c r="AL33" s="25"/>
      <c r="AM33" s="34"/>
      <c r="AN33" s="27"/>
      <c r="AO33" s="27"/>
      <c r="AP33" s="36"/>
      <c r="AQ33" s="37"/>
      <c r="AR33" s="32"/>
      <c r="AS33" s="25"/>
      <c r="AT33" s="27"/>
      <c r="AU33" s="27"/>
      <c r="AW33" s="25"/>
      <c r="AX33" s="27"/>
      <c r="AY33" s="27"/>
      <c r="AZ33" s="32"/>
      <c r="BA33" s="41"/>
    </row>
    <row r="34" spans="1:54" ht="16" thickBot="1" x14ac:dyDescent="0.25">
      <c r="A34" s="25">
        <v>18</v>
      </c>
      <c r="B34" s="26">
        <v>45443</v>
      </c>
      <c r="C34" s="27" t="s">
        <v>200</v>
      </c>
      <c r="D34" s="25"/>
      <c r="E34" s="28"/>
      <c r="F34" s="27"/>
      <c r="G34" s="28"/>
      <c r="H34" s="27"/>
      <c r="I34" s="28"/>
      <c r="J34" s="27">
        <v>6</v>
      </c>
      <c r="K34" s="29" t="s">
        <v>35</v>
      </c>
      <c r="L34" s="39" t="s">
        <v>468</v>
      </c>
      <c r="M34" s="31"/>
      <c r="N34" s="27" t="s">
        <v>240</v>
      </c>
      <c r="P34" s="66"/>
      <c r="Q34" s="25"/>
      <c r="R34" s="27"/>
      <c r="S34" s="27"/>
      <c r="T34" s="28"/>
      <c r="U34" s="27"/>
      <c r="V34" s="27" t="s">
        <v>154</v>
      </c>
      <c r="W34" s="28"/>
      <c r="X34" s="33"/>
      <c r="Y34" s="32"/>
      <c r="Z34" s="25"/>
      <c r="AA34" s="27"/>
      <c r="AB34" s="28"/>
      <c r="AC34" s="27">
        <v>10</v>
      </c>
      <c r="AD34" s="27">
        <v>5</v>
      </c>
      <c r="AE34" s="33"/>
      <c r="AG34" s="25"/>
      <c r="AH34" s="34"/>
      <c r="AI34" s="27">
        <v>2.5000000000000001E-2</v>
      </c>
      <c r="AJ34" s="27">
        <v>2.5000000000000001E-2</v>
      </c>
      <c r="AK34" s="27">
        <v>2.5000000000000001E-2</v>
      </c>
      <c r="AL34" s="25"/>
      <c r="AM34" s="34"/>
      <c r="AN34" s="27"/>
      <c r="AO34" s="27"/>
      <c r="AP34" s="36"/>
      <c r="AQ34" s="67" t="s">
        <v>65</v>
      </c>
      <c r="AR34" s="46" t="s">
        <v>350</v>
      </c>
      <c r="AS34" s="25"/>
      <c r="AT34" s="27"/>
      <c r="AW34" s="25"/>
      <c r="AX34" s="27"/>
      <c r="AY34" s="27"/>
      <c r="AZ34" s="32"/>
      <c r="BA34" s="41"/>
    </row>
    <row r="35" spans="1:54" ht="16" thickBot="1" x14ac:dyDescent="0.25">
      <c r="A35" s="25">
        <v>19</v>
      </c>
      <c r="B35" s="26">
        <v>45444</v>
      </c>
      <c r="C35" s="27" t="s">
        <v>200</v>
      </c>
      <c r="D35" s="25"/>
      <c r="E35" s="28"/>
      <c r="F35" s="27"/>
      <c r="G35" s="28"/>
      <c r="H35" s="27"/>
      <c r="I35" s="28"/>
      <c r="J35" s="27">
        <v>6</v>
      </c>
      <c r="K35" s="29" t="s">
        <v>35</v>
      </c>
      <c r="L35" s="39"/>
      <c r="M35" s="31"/>
      <c r="N35" s="27" t="s">
        <v>240</v>
      </c>
      <c r="P35" s="32"/>
      <c r="Q35" s="25"/>
      <c r="R35" s="27"/>
      <c r="S35" s="27"/>
      <c r="T35" s="28"/>
      <c r="U35" s="27"/>
      <c r="V35" s="27" t="s">
        <v>154</v>
      </c>
      <c r="W35" s="28"/>
      <c r="X35" s="33"/>
      <c r="Y35" s="32"/>
      <c r="Z35" s="25"/>
      <c r="AA35" s="27"/>
      <c r="AB35" s="28"/>
      <c r="AC35" s="27">
        <v>10</v>
      </c>
      <c r="AD35" s="27">
        <v>5</v>
      </c>
      <c r="AE35" s="33"/>
      <c r="AG35" s="25"/>
      <c r="AH35" s="34"/>
      <c r="AI35" s="27">
        <v>2.5000000000000001E-2</v>
      </c>
      <c r="AJ35" s="27"/>
      <c r="AK35" s="27">
        <v>2.5000000000000001E-2</v>
      </c>
      <c r="AL35" s="25"/>
      <c r="AM35" s="34"/>
      <c r="AN35" s="27"/>
      <c r="AO35" s="27"/>
      <c r="AP35" s="36"/>
      <c r="AQ35" s="203"/>
      <c r="AR35" s="32" t="s">
        <v>64</v>
      </c>
      <c r="AS35" s="25"/>
      <c r="AT35" s="27"/>
      <c r="AU35" s="27"/>
      <c r="AW35" s="25"/>
      <c r="AX35" s="27"/>
      <c r="AY35" s="27"/>
      <c r="AZ35" s="32"/>
      <c r="BA35" s="62"/>
    </row>
    <row r="36" spans="1:54" x14ac:dyDescent="0.2">
      <c r="A36" s="25">
        <v>20</v>
      </c>
      <c r="B36" s="26">
        <v>45445</v>
      </c>
      <c r="C36" s="27" t="s">
        <v>232</v>
      </c>
      <c r="D36" s="25"/>
      <c r="E36" s="28"/>
      <c r="F36" s="27"/>
      <c r="G36" s="28"/>
      <c r="H36" s="27"/>
      <c r="I36" s="28"/>
      <c r="J36" s="27">
        <v>6</v>
      </c>
      <c r="K36" s="29" t="s">
        <v>35</v>
      </c>
      <c r="L36" s="39"/>
      <c r="M36" s="197"/>
      <c r="N36" s="27" t="s">
        <v>240</v>
      </c>
      <c r="O36" s="306" t="s">
        <v>66</v>
      </c>
      <c r="P36" s="32"/>
      <c r="Q36" s="25"/>
      <c r="R36" s="27"/>
      <c r="S36" s="27"/>
      <c r="T36" s="28"/>
      <c r="U36" s="27"/>
      <c r="V36" s="27" t="s">
        <v>154</v>
      </c>
      <c r="W36" s="28"/>
      <c r="X36" s="33"/>
      <c r="Y36" s="32"/>
      <c r="Z36" s="25"/>
      <c r="AA36" s="27"/>
      <c r="AB36" s="28"/>
      <c r="AC36" s="27">
        <v>10</v>
      </c>
      <c r="AD36" s="27">
        <v>5</v>
      </c>
      <c r="AE36" s="33"/>
      <c r="AG36" s="25"/>
      <c r="AH36" s="34"/>
      <c r="AI36" s="27">
        <v>0.25</v>
      </c>
      <c r="AJ36" s="27"/>
      <c r="AK36" s="27">
        <v>0.25</v>
      </c>
      <c r="AL36" s="25"/>
      <c r="AM36" s="34"/>
      <c r="AN36" s="27"/>
      <c r="AO36" s="27"/>
      <c r="AP36" s="36"/>
      <c r="AQ36" s="37"/>
      <c r="AR36" s="32" t="s">
        <v>471</v>
      </c>
      <c r="AS36" s="25"/>
      <c r="AT36" s="27"/>
      <c r="AU36" s="27"/>
      <c r="AW36" s="25"/>
      <c r="AX36" s="27"/>
      <c r="AY36" s="27"/>
      <c r="AZ36" s="32"/>
      <c r="BA36" s="41"/>
    </row>
    <row r="37" spans="1:54" ht="16" thickBot="1" x14ac:dyDescent="0.25">
      <c r="A37" s="70">
        <v>21</v>
      </c>
      <c r="B37" s="26">
        <v>45446</v>
      </c>
      <c r="C37" s="71" t="s">
        <v>232</v>
      </c>
      <c r="D37" s="70"/>
      <c r="E37" s="72"/>
      <c r="F37" s="71"/>
      <c r="G37" s="72"/>
      <c r="H37" s="71"/>
      <c r="I37" s="72"/>
      <c r="J37" s="27">
        <v>6</v>
      </c>
      <c r="K37" s="29" t="s">
        <v>35</v>
      </c>
      <c r="L37" s="39"/>
      <c r="M37" s="198"/>
      <c r="N37" s="27" t="s">
        <v>240</v>
      </c>
      <c r="O37" s="307"/>
      <c r="P37" s="74"/>
      <c r="Q37" s="70"/>
      <c r="R37" s="71"/>
      <c r="S37" s="71"/>
      <c r="T37" s="72"/>
      <c r="U37" s="71"/>
      <c r="V37" s="71" t="s">
        <v>154</v>
      </c>
      <c r="W37" s="72"/>
      <c r="X37" s="33"/>
      <c r="Y37" s="75"/>
      <c r="Z37" s="70"/>
      <c r="AA37" s="71"/>
      <c r="AB37" s="72"/>
      <c r="AC37" s="27">
        <v>10</v>
      </c>
      <c r="AD37" s="71">
        <v>5</v>
      </c>
      <c r="AE37" s="33"/>
      <c r="AF37" s="76"/>
      <c r="AG37" s="70"/>
      <c r="AH37" s="77"/>
      <c r="AI37" s="27">
        <v>2.5000000000000001E-2</v>
      </c>
      <c r="AJ37" s="27"/>
      <c r="AK37" s="27">
        <v>2.5000000000000001E-2</v>
      </c>
      <c r="AL37" s="70"/>
      <c r="AM37" s="77"/>
      <c r="AN37" s="27"/>
      <c r="AO37" s="71"/>
      <c r="AP37" s="78"/>
      <c r="AQ37" s="37"/>
      <c r="AR37" s="32" t="s">
        <v>64</v>
      </c>
      <c r="AS37" s="70"/>
      <c r="AT37" s="27"/>
      <c r="AU37" s="71"/>
      <c r="AV37" s="76"/>
      <c r="AW37" s="70"/>
      <c r="AX37" s="71"/>
      <c r="AY37" s="71"/>
      <c r="AZ37" s="75"/>
      <c r="BA37" s="79"/>
    </row>
    <row r="38" spans="1:54" ht="16" thickBot="1" x14ac:dyDescent="0.25">
      <c r="A38" s="25">
        <v>22</v>
      </c>
      <c r="B38" s="26">
        <v>45447</v>
      </c>
      <c r="C38" s="27" t="s">
        <v>227</v>
      </c>
      <c r="D38" s="25"/>
      <c r="E38" s="28"/>
      <c r="F38" s="27"/>
      <c r="G38" s="28"/>
      <c r="H38" s="27"/>
      <c r="I38" s="28"/>
      <c r="J38" s="27">
        <v>6</v>
      </c>
      <c r="K38" s="29" t="s">
        <v>35</v>
      </c>
      <c r="L38" s="39" t="s">
        <v>475</v>
      </c>
      <c r="M38" s="197"/>
      <c r="N38" s="27" t="s">
        <v>240</v>
      </c>
      <c r="O38" s="307"/>
      <c r="P38" s="46"/>
      <c r="Q38" s="43"/>
      <c r="R38" s="27"/>
      <c r="S38" s="27"/>
      <c r="T38" s="28"/>
      <c r="U38" s="27"/>
      <c r="V38" s="27" t="s">
        <v>154</v>
      </c>
      <c r="W38" s="28"/>
      <c r="X38" s="33"/>
      <c r="Y38" s="32"/>
      <c r="Z38" s="60"/>
      <c r="AA38" s="60"/>
      <c r="AB38" s="61"/>
      <c r="AC38" s="27">
        <v>10</v>
      </c>
      <c r="AD38" s="27">
        <v>5</v>
      </c>
      <c r="AE38" s="33"/>
      <c r="AG38" s="25"/>
      <c r="AH38" s="34"/>
      <c r="AI38" s="27">
        <v>2.5000000000000001E-2</v>
      </c>
      <c r="AJ38" s="27"/>
      <c r="AK38" s="27">
        <v>2.5000000000000001E-2</v>
      </c>
      <c r="AL38" s="25"/>
      <c r="AM38" s="34"/>
      <c r="AN38" s="27"/>
      <c r="AO38" s="27"/>
      <c r="AP38" s="36"/>
      <c r="AQ38" s="37"/>
      <c r="AR38" s="32" t="s">
        <v>64</v>
      </c>
      <c r="AS38" s="25"/>
      <c r="AT38" s="27"/>
      <c r="AU38" s="27"/>
      <c r="AW38" s="25"/>
      <c r="AX38" s="27"/>
      <c r="AY38" s="27"/>
      <c r="AZ38" s="32"/>
      <c r="BA38" s="80">
        <v>20</v>
      </c>
      <c r="BB38" t="s">
        <v>476</v>
      </c>
    </row>
    <row r="39" spans="1:54" ht="16" thickBot="1" x14ac:dyDescent="0.25">
      <c r="A39" s="25">
        <v>23</v>
      </c>
      <c r="B39" s="26">
        <v>45448</v>
      </c>
      <c r="C39" s="27" t="s">
        <v>227</v>
      </c>
      <c r="D39" s="25"/>
      <c r="E39" s="28"/>
      <c r="F39" s="27"/>
      <c r="G39" s="28"/>
      <c r="H39" s="27"/>
      <c r="I39" s="28"/>
      <c r="J39" s="27">
        <v>6</v>
      </c>
      <c r="K39" s="29" t="s">
        <v>35</v>
      </c>
      <c r="L39" s="39" t="s">
        <v>478</v>
      </c>
      <c r="M39" s="31" t="s">
        <v>479</v>
      </c>
      <c r="N39" s="27" t="s">
        <v>272</v>
      </c>
      <c r="O39" s="307"/>
      <c r="P39" s="32" t="s">
        <v>480</v>
      </c>
      <c r="Q39" s="25"/>
      <c r="R39" s="27"/>
      <c r="S39" s="27"/>
      <c r="T39" s="28"/>
      <c r="U39" s="27"/>
      <c r="V39" s="27" t="s">
        <v>154</v>
      </c>
      <c r="W39" s="28"/>
      <c r="X39" s="33"/>
      <c r="Y39" s="32"/>
      <c r="Z39" s="25"/>
      <c r="AA39" s="27"/>
      <c r="AB39" s="28"/>
      <c r="AC39" s="27">
        <v>10</v>
      </c>
      <c r="AD39" s="27">
        <v>5</v>
      </c>
      <c r="AE39" s="33"/>
      <c r="AG39" s="25"/>
      <c r="AH39" s="34"/>
      <c r="AI39" s="27">
        <v>2.5000000000000001E-2</v>
      </c>
      <c r="AJ39" s="27"/>
      <c r="AK39" s="27">
        <v>2.5000000000000001E-2</v>
      </c>
      <c r="AL39" s="25"/>
      <c r="AM39" s="34"/>
      <c r="AN39" s="27"/>
      <c r="AO39" s="27"/>
      <c r="AP39" s="36"/>
      <c r="AQ39" s="37"/>
      <c r="AR39" s="32" t="s">
        <v>64</v>
      </c>
      <c r="AS39" s="25"/>
      <c r="AT39" s="27"/>
      <c r="AU39" s="201"/>
      <c r="AW39" s="25"/>
      <c r="AX39" s="27"/>
      <c r="AY39" s="27"/>
      <c r="AZ39" s="32"/>
      <c r="BA39" s="41">
        <v>6</v>
      </c>
    </row>
    <row r="40" spans="1:54" ht="16" thickBot="1" x14ac:dyDescent="0.25">
      <c r="A40" s="25">
        <v>24</v>
      </c>
      <c r="B40" s="26">
        <v>45449</v>
      </c>
      <c r="C40" s="27" t="s">
        <v>227</v>
      </c>
      <c r="D40" s="25"/>
      <c r="E40" s="28"/>
      <c r="F40" s="27"/>
      <c r="G40" s="28"/>
      <c r="H40" s="27"/>
      <c r="I40" s="28"/>
      <c r="J40" s="27">
        <v>6</v>
      </c>
      <c r="K40" s="29" t="s">
        <v>35</v>
      </c>
      <c r="L40" s="44" t="s">
        <v>289</v>
      </c>
      <c r="M40" s="31"/>
      <c r="N40" s="27" t="s">
        <v>240</v>
      </c>
      <c r="O40" s="307"/>
      <c r="P40" s="32"/>
      <c r="Q40" s="25"/>
      <c r="R40" s="27"/>
      <c r="S40" s="27"/>
      <c r="T40" s="28"/>
      <c r="U40" s="27"/>
      <c r="V40" s="27" t="s">
        <v>481</v>
      </c>
      <c r="W40" s="28"/>
      <c r="X40" s="33"/>
      <c r="Y40" s="32" t="s">
        <v>482</v>
      </c>
      <c r="Z40" s="25"/>
      <c r="AA40" s="27"/>
      <c r="AB40" s="28"/>
      <c r="AC40" s="27">
        <v>10</v>
      </c>
      <c r="AD40" s="27">
        <v>5</v>
      </c>
      <c r="AF40" s="46" t="s">
        <v>290</v>
      </c>
      <c r="AG40" s="25"/>
      <c r="AH40" s="34"/>
      <c r="AI40" s="27">
        <v>0.05</v>
      </c>
      <c r="AJ40" s="27">
        <v>0.05</v>
      </c>
      <c r="AK40" s="27">
        <v>0.05</v>
      </c>
      <c r="AL40" s="25"/>
      <c r="AM40" s="34"/>
      <c r="AN40" s="27"/>
      <c r="AO40" s="27"/>
      <c r="AP40" s="36"/>
      <c r="AQ40" s="37"/>
      <c r="AR40" s="46" t="s">
        <v>351</v>
      </c>
      <c r="AS40" s="25" t="s">
        <v>72</v>
      </c>
      <c r="AT40" s="27" t="s">
        <v>52</v>
      </c>
      <c r="AU40" s="58" t="s">
        <v>295</v>
      </c>
      <c r="AW40" s="25"/>
      <c r="AX40" s="27"/>
      <c r="AY40" s="27"/>
      <c r="AZ40" s="32"/>
      <c r="BA40" s="41">
        <v>3</v>
      </c>
    </row>
    <row r="41" spans="1:54" ht="16" thickBot="1" x14ac:dyDescent="0.25">
      <c r="A41" s="25">
        <v>25</v>
      </c>
      <c r="B41" s="26">
        <v>45450</v>
      </c>
      <c r="C41" s="27" t="s">
        <v>200</v>
      </c>
      <c r="D41" s="25"/>
      <c r="E41" s="28"/>
      <c r="F41" s="27"/>
      <c r="G41" s="28"/>
      <c r="H41" s="27"/>
      <c r="I41" s="28"/>
      <c r="J41" s="27">
        <v>6</v>
      </c>
      <c r="K41" s="29" t="s">
        <v>35</v>
      </c>
      <c r="L41" s="39"/>
      <c r="M41" s="31"/>
      <c r="N41" s="27" t="s">
        <v>240</v>
      </c>
      <c r="O41" s="307"/>
      <c r="P41" s="81"/>
      <c r="Q41" s="43"/>
      <c r="R41" s="27"/>
      <c r="S41" s="27"/>
      <c r="T41" s="28"/>
      <c r="U41" s="27"/>
      <c r="V41" s="27" t="s">
        <v>154</v>
      </c>
      <c r="W41" s="28"/>
      <c r="X41" s="33"/>
      <c r="Y41" s="32"/>
      <c r="Z41" s="27"/>
      <c r="AA41" s="27"/>
      <c r="AB41" s="28"/>
      <c r="AC41" s="27"/>
      <c r="AD41" s="27"/>
      <c r="AE41" s="27"/>
      <c r="AG41" s="25"/>
      <c r="AH41" s="34"/>
      <c r="AI41" s="27">
        <v>0.05</v>
      </c>
      <c r="AJ41" s="27">
        <v>0.05</v>
      </c>
      <c r="AK41" s="27">
        <v>0.05</v>
      </c>
      <c r="AL41" s="25"/>
      <c r="AM41" s="34"/>
      <c r="AN41" s="27"/>
      <c r="AO41" s="27"/>
      <c r="AP41" s="36"/>
      <c r="AQ41" s="37"/>
      <c r="AR41" s="32" t="s">
        <v>75</v>
      </c>
      <c r="AS41" s="25" t="s">
        <v>72</v>
      </c>
      <c r="AT41" s="27" t="s">
        <v>52</v>
      </c>
      <c r="AW41" s="25"/>
      <c r="AX41" s="27"/>
      <c r="AY41" s="27"/>
      <c r="AZ41" s="32"/>
      <c r="BA41" s="41">
        <v>11</v>
      </c>
    </row>
    <row r="42" spans="1:54" ht="16" thickBot="1" x14ac:dyDescent="0.25">
      <c r="A42" s="25">
        <v>26</v>
      </c>
      <c r="B42" s="26">
        <v>45451</v>
      </c>
      <c r="C42" s="27" t="s">
        <v>200</v>
      </c>
      <c r="D42" s="25"/>
      <c r="E42" s="28"/>
      <c r="F42" s="27"/>
      <c r="G42" s="28"/>
      <c r="H42" s="27"/>
      <c r="I42" s="28"/>
      <c r="J42" s="27">
        <v>6</v>
      </c>
      <c r="K42" s="29" t="s">
        <v>35</v>
      </c>
      <c r="L42" s="39" t="s">
        <v>485</v>
      </c>
      <c r="M42" s="31"/>
      <c r="N42" s="27" t="s">
        <v>240</v>
      </c>
      <c r="O42" s="307"/>
      <c r="P42" s="32"/>
      <c r="Q42" s="25"/>
      <c r="R42" s="27"/>
      <c r="S42" s="27"/>
      <c r="T42" s="28"/>
      <c r="U42" s="27"/>
      <c r="V42" s="27" t="s">
        <v>154</v>
      </c>
      <c r="W42" s="28"/>
      <c r="X42" s="33"/>
      <c r="Y42" s="32"/>
      <c r="Z42" s="25"/>
      <c r="AA42" s="27"/>
      <c r="AB42" s="28"/>
      <c r="AC42" s="27"/>
      <c r="AD42" s="27"/>
      <c r="AE42" s="33"/>
      <c r="AG42" s="25"/>
      <c r="AH42" s="34"/>
      <c r="AI42" s="27">
        <v>0.05</v>
      </c>
      <c r="AJ42" s="27">
        <v>0.05</v>
      </c>
      <c r="AK42" s="27">
        <v>0.05</v>
      </c>
      <c r="AL42" s="25"/>
      <c r="AM42" s="34"/>
      <c r="AN42" s="27"/>
      <c r="AO42" s="27"/>
      <c r="AP42" s="36"/>
      <c r="AQ42" s="37"/>
      <c r="AR42" s="32" t="s">
        <v>75</v>
      </c>
      <c r="AS42" s="25" t="s">
        <v>72</v>
      </c>
      <c r="AT42" s="27" t="s">
        <v>52</v>
      </c>
      <c r="AW42" s="25"/>
      <c r="AX42" s="27"/>
      <c r="AY42" s="27"/>
      <c r="AZ42" s="32"/>
      <c r="BA42" s="41">
        <v>3</v>
      </c>
    </row>
    <row r="43" spans="1:54" ht="16" thickBot="1" x14ac:dyDescent="0.25">
      <c r="A43" s="25">
        <v>27</v>
      </c>
      <c r="B43" s="26">
        <v>45452</v>
      </c>
      <c r="C43" s="27" t="s">
        <v>232</v>
      </c>
      <c r="D43" s="25"/>
      <c r="E43" s="28"/>
      <c r="F43" s="27"/>
      <c r="G43" s="28"/>
      <c r="H43" s="27"/>
      <c r="I43" s="28"/>
      <c r="J43" s="27">
        <v>6</v>
      </c>
      <c r="K43" s="29" t="s">
        <v>35</v>
      </c>
      <c r="L43" s="39"/>
      <c r="M43" s="31"/>
      <c r="N43" s="27" t="s">
        <v>240</v>
      </c>
      <c r="O43" s="307"/>
      <c r="P43" s="32"/>
      <c r="Q43" s="25"/>
      <c r="R43" s="27"/>
      <c r="S43" s="27"/>
      <c r="T43" s="28"/>
      <c r="U43" s="27"/>
      <c r="V43" s="27" t="s">
        <v>154</v>
      </c>
      <c r="W43" s="28"/>
      <c r="X43" s="33"/>
      <c r="Y43" s="32"/>
      <c r="Z43" s="25"/>
      <c r="AA43" s="27"/>
      <c r="AB43" s="28"/>
      <c r="AC43" s="27"/>
      <c r="AD43" s="27"/>
      <c r="AE43" s="33"/>
      <c r="AG43" s="25"/>
      <c r="AH43" s="34"/>
      <c r="AI43" s="27">
        <v>0.05</v>
      </c>
      <c r="AJ43" s="27">
        <v>0.05</v>
      </c>
      <c r="AK43" s="27">
        <v>0.05</v>
      </c>
      <c r="AL43" s="25"/>
      <c r="AM43" s="34"/>
      <c r="AN43" s="27"/>
      <c r="AO43" s="27"/>
      <c r="AP43" s="36"/>
      <c r="AQ43" s="82" t="s">
        <v>292</v>
      </c>
      <c r="AR43" s="32" t="s">
        <v>352</v>
      </c>
      <c r="AS43" s="25" t="s">
        <v>72</v>
      </c>
      <c r="AT43" s="27" t="s">
        <v>52</v>
      </c>
      <c r="AU43" s="27"/>
      <c r="AW43" s="25"/>
      <c r="AX43" s="27"/>
      <c r="AY43" s="27"/>
      <c r="AZ43" s="32"/>
      <c r="BA43" s="41">
        <v>3</v>
      </c>
    </row>
    <row r="44" spans="1:54" x14ac:dyDescent="0.2">
      <c r="A44" s="25">
        <v>28</v>
      </c>
      <c r="B44" s="26">
        <v>45453</v>
      </c>
      <c r="C44" s="27" t="s">
        <v>232</v>
      </c>
      <c r="D44" s="25"/>
      <c r="E44" s="28"/>
      <c r="F44" s="27"/>
      <c r="G44" s="28"/>
      <c r="H44" s="27"/>
      <c r="I44" s="28"/>
      <c r="J44" s="27">
        <v>6</v>
      </c>
      <c r="K44" s="29" t="s">
        <v>35</v>
      </c>
      <c r="L44" s="39"/>
      <c r="M44" s="31"/>
      <c r="N44" s="27" t="s">
        <v>240</v>
      </c>
      <c r="O44" s="307"/>
      <c r="P44" s="32"/>
      <c r="Q44" s="25"/>
      <c r="R44" s="27"/>
      <c r="S44" s="27"/>
      <c r="T44" s="28"/>
      <c r="U44" s="27"/>
      <c r="V44" s="27" t="s">
        <v>154</v>
      </c>
      <c r="W44" s="28"/>
      <c r="Y44" s="32"/>
      <c r="Z44" s="25"/>
      <c r="AA44" s="27"/>
      <c r="AB44" s="28"/>
      <c r="AC44" s="27"/>
      <c r="AD44" s="27"/>
      <c r="AE44" s="33"/>
      <c r="AG44" s="25"/>
      <c r="AH44" s="34"/>
      <c r="AI44" s="27">
        <v>0.05</v>
      </c>
      <c r="AJ44" s="27">
        <v>0.05</v>
      </c>
      <c r="AK44" s="27">
        <v>0.05</v>
      </c>
      <c r="AL44" s="25"/>
      <c r="AM44" s="34"/>
      <c r="AN44" s="27">
        <v>2.5000000000000001E-2</v>
      </c>
      <c r="AO44" s="27"/>
      <c r="AP44" s="36">
        <v>2.5000000000000001E-2</v>
      </c>
      <c r="AR44" s="32" t="s">
        <v>293</v>
      </c>
      <c r="AS44" s="25" t="s">
        <v>72</v>
      </c>
      <c r="AT44" s="27" t="s">
        <v>52</v>
      </c>
      <c r="AU44" s="27"/>
      <c r="AW44" s="25"/>
      <c r="AX44" s="27"/>
      <c r="AY44" s="27"/>
      <c r="AZ44" s="32"/>
      <c r="BA44" s="41">
        <v>1</v>
      </c>
    </row>
    <row r="45" spans="1:54" ht="17.25" customHeight="1" thickBot="1" x14ac:dyDescent="0.25">
      <c r="A45" s="25">
        <v>29</v>
      </c>
      <c r="B45" s="26">
        <v>45454</v>
      </c>
      <c r="C45" s="27" t="s">
        <v>227</v>
      </c>
      <c r="D45" s="25"/>
      <c r="E45" s="28"/>
      <c r="F45" s="27"/>
      <c r="G45" s="28"/>
      <c r="H45" s="27"/>
      <c r="I45" s="28"/>
      <c r="J45" s="27">
        <v>6</v>
      </c>
      <c r="K45" s="29" t="s">
        <v>345</v>
      </c>
      <c r="L45" s="39" t="s">
        <v>494</v>
      </c>
      <c r="M45" s="31" t="s">
        <v>493</v>
      </c>
      <c r="N45" s="27" t="s">
        <v>240</v>
      </c>
      <c r="O45" s="307"/>
      <c r="P45" s="32"/>
      <c r="Q45" s="25"/>
      <c r="R45" s="27"/>
      <c r="S45" s="27"/>
      <c r="T45" s="28"/>
      <c r="U45" s="27"/>
      <c r="V45" s="27" t="s">
        <v>481</v>
      </c>
      <c r="W45" s="28"/>
      <c r="X45" s="33"/>
      <c r="Y45" s="32" t="s">
        <v>491</v>
      </c>
      <c r="Z45" s="25"/>
      <c r="AA45" s="27"/>
      <c r="AB45" s="28"/>
      <c r="AC45" s="27"/>
      <c r="AD45" s="27"/>
      <c r="AE45" s="33"/>
      <c r="AG45" s="25"/>
      <c r="AH45" s="34"/>
      <c r="AI45" s="27">
        <v>0.05</v>
      </c>
      <c r="AJ45" s="27">
        <v>0.05</v>
      </c>
      <c r="AK45" s="27">
        <v>0.05</v>
      </c>
      <c r="AL45" s="25"/>
      <c r="AM45" s="34"/>
      <c r="AN45" s="27">
        <v>2.5000000000000001E-2</v>
      </c>
      <c r="AO45" s="27"/>
      <c r="AP45" s="36">
        <v>2.5000000000000001E-2</v>
      </c>
      <c r="AQ45" s="37"/>
      <c r="AR45" s="32" t="s">
        <v>293</v>
      </c>
      <c r="AS45" s="25" t="s">
        <v>72</v>
      </c>
      <c r="AT45" s="27" t="s">
        <v>52</v>
      </c>
      <c r="AU45" s="27"/>
      <c r="AW45" s="25"/>
      <c r="AX45" s="27"/>
      <c r="AY45" s="27"/>
      <c r="AZ45" s="32"/>
      <c r="BA45" s="41">
        <v>4</v>
      </c>
    </row>
    <row r="46" spans="1:54" s="87" customFormat="1" ht="16" thickBot="1" x14ac:dyDescent="0.25">
      <c r="A46" s="25">
        <v>30</v>
      </c>
      <c r="B46" s="26">
        <v>45455</v>
      </c>
      <c r="C46" s="27"/>
      <c r="D46" s="25"/>
      <c r="E46" s="28"/>
      <c r="F46" s="27"/>
      <c r="G46" s="28"/>
      <c r="H46" s="27"/>
      <c r="I46" s="28"/>
      <c r="J46" s="27">
        <v>6</v>
      </c>
      <c r="K46" s="29" t="s">
        <v>346</v>
      </c>
      <c r="L46" s="39"/>
      <c r="M46" s="31"/>
      <c r="N46" s="27" t="s">
        <v>240</v>
      </c>
      <c r="O46" s="307"/>
      <c r="Q46" s="83"/>
      <c r="R46" s="83"/>
      <c r="S46" s="83"/>
      <c r="T46" s="83"/>
      <c r="U46" s="83"/>
      <c r="V46" s="83" t="s">
        <v>154</v>
      </c>
      <c r="W46" s="83"/>
      <c r="X46" s="83"/>
      <c r="Z46" s="83"/>
      <c r="AA46" s="83"/>
      <c r="AB46" s="83"/>
      <c r="AC46" s="83"/>
      <c r="AD46" s="83"/>
      <c r="AE46" s="83"/>
      <c r="AG46" s="83"/>
      <c r="AH46" s="83"/>
      <c r="AI46" s="83"/>
      <c r="AJ46" s="83"/>
      <c r="AK46" s="83"/>
      <c r="AL46" s="83"/>
      <c r="AM46" s="83"/>
      <c r="AN46" s="83"/>
      <c r="AO46" s="83"/>
      <c r="AP46" s="83"/>
      <c r="AR46" s="190" t="s">
        <v>294</v>
      </c>
      <c r="AS46" s="83" t="s">
        <v>72</v>
      </c>
      <c r="AT46" s="83" t="s">
        <v>52</v>
      </c>
      <c r="AU46" s="83"/>
      <c r="AW46" s="83"/>
      <c r="AX46" s="83"/>
      <c r="AY46" s="83"/>
      <c r="BA46" s="83"/>
    </row>
    <row r="47" spans="1:54" x14ac:dyDescent="0.2">
      <c r="A47" s="25">
        <v>31</v>
      </c>
      <c r="B47" s="26">
        <v>45456</v>
      </c>
      <c r="C47" s="27"/>
      <c r="D47" s="25"/>
      <c r="E47" s="28"/>
      <c r="F47" s="27"/>
      <c r="G47" s="28"/>
      <c r="H47" s="27"/>
      <c r="I47" s="28"/>
      <c r="J47" s="202">
        <v>45357</v>
      </c>
      <c r="K47" s="29" t="s">
        <v>347</v>
      </c>
      <c r="L47" s="39"/>
      <c r="M47" s="31"/>
      <c r="N47" s="27" t="s">
        <v>272</v>
      </c>
      <c r="O47" s="307"/>
      <c r="P47" s="32"/>
      <c r="Q47" s="25"/>
      <c r="R47" s="27"/>
      <c r="S47" s="27"/>
      <c r="T47" s="28"/>
      <c r="U47" s="27"/>
      <c r="V47" s="27" t="s">
        <v>154</v>
      </c>
      <c r="W47" s="28"/>
      <c r="X47" s="33"/>
      <c r="Y47" s="32"/>
      <c r="Z47" s="25"/>
      <c r="AA47" s="27"/>
      <c r="AB47" s="28"/>
      <c r="AC47" s="27"/>
      <c r="AD47" s="27"/>
      <c r="AE47" s="33"/>
      <c r="AG47" s="25"/>
      <c r="AH47" s="34"/>
      <c r="AI47" s="27"/>
      <c r="AJ47" s="27"/>
      <c r="AK47" s="27"/>
      <c r="AL47" s="25"/>
      <c r="AM47" s="34"/>
      <c r="AN47" s="27"/>
      <c r="AO47" s="27"/>
      <c r="AP47" s="36"/>
      <c r="AQ47" s="37"/>
      <c r="AR47" s="66"/>
      <c r="AS47" s="25" t="s">
        <v>72</v>
      </c>
      <c r="AT47" s="27" t="s">
        <v>52</v>
      </c>
      <c r="AU47" s="27"/>
      <c r="AW47" s="25"/>
      <c r="AX47" s="27"/>
      <c r="AY47" s="27"/>
      <c r="AZ47" s="32"/>
      <c r="BA47" s="41"/>
    </row>
    <row r="48" spans="1:54" x14ac:dyDescent="0.2">
      <c r="A48" s="25">
        <v>32</v>
      </c>
      <c r="B48" s="26">
        <v>45457</v>
      </c>
      <c r="C48" s="27"/>
      <c r="D48" s="25"/>
      <c r="E48" s="28"/>
      <c r="F48" s="27"/>
      <c r="G48" s="28"/>
      <c r="H48" s="27"/>
      <c r="I48" s="28"/>
      <c r="J48" s="202">
        <v>45357</v>
      </c>
      <c r="K48" s="29" t="s">
        <v>35</v>
      </c>
      <c r="L48" s="39"/>
      <c r="M48" s="31"/>
      <c r="N48" s="27" t="s">
        <v>272</v>
      </c>
      <c r="O48" s="307"/>
      <c r="P48" s="32"/>
      <c r="Q48" s="25"/>
      <c r="R48" s="27"/>
      <c r="S48" s="27"/>
      <c r="T48" s="28"/>
      <c r="U48" s="27"/>
      <c r="V48" s="27" t="s">
        <v>154</v>
      </c>
      <c r="W48" s="28"/>
      <c r="X48" s="33"/>
      <c r="Y48" s="32"/>
      <c r="Z48" s="25"/>
      <c r="AA48" s="27"/>
      <c r="AB48" s="28"/>
      <c r="AC48" s="27"/>
      <c r="AD48" s="27"/>
      <c r="AE48" s="33"/>
      <c r="AG48" s="25"/>
      <c r="AH48" s="34"/>
      <c r="AI48" s="27"/>
      <c r="AJ48" s="27"/>
      <c r="AK48" s="27"/>
      <c r="AL48" s="25"/>
      <c r="AM48" s="34"/>
      <c r="AN48" s="27"/>
      <c r="AO48" s="27"/>
      <c r="AP48" s="36"/>
      <c r="AQ48" s="37"/>
      <c r="AR48" s="32"/>
      <c r="AS48" s="25" t="s">
        <v>72</v>
      </c>
      <c r="AT48" s="27" t="s">
        <v>52</v>
      </c>
      <c r="AU48" s="27"/>
      <c r="AW48" s="25"/>
      <c r="AX48" s="27"/>
      <c r="AY48" s="27"/>
      <c r="AZ48" s="32"/>
      <c r="BA48" s="41"/>
    </row>
    <row r="49" spans="1:53" x14ac:dyDescent="0.2">
      <c r="A49" s="25">
        <v>33</v>
      </c>
      <c r="B49" s="26">
        <v>45458</v>
      </c>
      <c r="C49" s="27"/>
      <c r="D49" s="25"/>
      <c r="E49" s="28"/>
      <c r="F49" s="27"/>
      <c r="G49" s="28"/>
      <c r="H49" s="27"/>
      <c r="I49" s="28"/>
      <c r="J49" s="202">
        <v>45357</v>
      </c>
      <c r="K49" s="29" t="s">
        <v>35</v>
      </c>
      <c r="L49" s="39"/>
      <c r="M49" s="31"/>
      <c r="N49" s="27" t="s">
        <v>272</v>
      </c>
      <c r="O49" s="307"/>
      <c r="P49" s="32"/>
      <c r="Q49" s="25"/>
      <c r="R49" s="27"/>
      <c r="S49" s="27"/>
      <c r="T49" s="28"/>
      <c r="U49" s="27"/>
      <c r="V49" s="27" t="s">
        <v>154</v>
      </c>
      <c r="W49" s="28"/>
      <c r="X49" s="33"/>
      <c r="Y49" s="32"/>
      <c r="Z49" s="25"/>
      <c r="AA49" s="27"/>
      <c r="AB49" s="28"/>
      <c r="AC49" s="27"/>
      <c r="AD49" s="27"/>
      <c r="AE49" s="33"/>
      <c r="AG49" s="25"/>
      <c r="AH49" s="34"/>
      <c r="AI49" s="27"/>
      <c r="AJ49" s="27"/>
      <c r="AK49" s="27"/>
      <c r="AL49" s="25"/>
      <c r="AM49" s="34"/>
      <c r="AN49" s="27"/>
      <c r="AO49" s="27"/>
      <c r="AP49" s="36"/>
      <c r="AQ49" s="37"/>
      <c r="AR49" s="32"/>
      <c r="AS49" s="25" t="s">
        <v>72</v>
      </c>
      <c r="AT49" s="27" t="s">
        <v>52</v>
      </c>
      <c r="AW49" s="25"/>
      <c r="AX49" s="27"/>
      <c r="AY49" s="27"/>
      <c r="AZ49" s="32"/>
      <c r="BA49" s="41"/>
    </row>
    <row r="50" spans="1:53" ht="16" thickBot="1" x14ac:dyDescent="0.25">
      <c r="A50" s="25">
        <v>34</v>
      </c>
      <c r="B50" s="26">
        <v>45459</v>
      </c>
      <c r="C50" s="27"/>
      <c r="D50" s="25"/>
      <c r="E50" s="28"/>
      <c r="F50" s="27"/>
      <c r="G50" s="28"/>
      <c r="H50" s="27"/>
      <c r="I50" s="28"/>
      <c r="J50" s="202">
        <v>45357</v>
      </c>
      <c r="K50" s="29" t="s">
        <v>35</v>
      </c>
      <c r="L50" s="39"/>
      <c r="M50" s="31"/>
      <c r="N50" s="27" t="s">
        <v>272</v>
      </c>
      <c r="O50" s="307"/>
      <c r="P50" s="32"/>
      <c r="Q50" s="25"/>
      <c r="R50" s="27"/>
      <c r="S50" s="27"/>
      <c r="T50" s="28"/>
      <c r="U50" s="27"/>
      <c r="V50" s="27" t="s">
        <v>154</v>
      </c>
      <c r="W50" s="28"/>
      <c r="X50" s="33"/>
      <c r="Y50" s="32"/>
      <c r="Z50" s="25"/>
      <c r="AA50" s="27"/>
      <c r="AB50" s="28"/>
      <c r="AC50" s="27"/>
      <c r="AD50" s="27"/>
      <c r="AE50" s="33"/>
      <c r="AG50" s="25"/>
      <c r="AH50" s="34"/>
      <c r="AI50" s="27"/>
      <c r="AJ50" s="27"/>
      <c r="AK50" s="27"/>
      <c r="AL50" s="25"/>
      <c r="AM50" s="34"/>
      <c r="AN50" s="27"/>
      <c r="AO50" s="27"/>
      <c r="AP50" s="36"/>
      <c r="AQ50" s="37"/>
      <c r="AR50" s="32"/>
      <c r="AS50" s="25" t="s">
        <v>72</v>
      </c>
      <c r="AT50" s="27" t="s">
        <v>52</v>
      </c>
      <c r="AU50" s="27"/>
      <c r="AW50" s="25"/>
      <c r="AX50" s="27"/>
      <c r="AY50" s="27"/>
      <c r="AZ50" s="32"/>
      <c r="BA50" s="41"/>
    </row>
    <row r="51" spans="1:53" ht="16" thickBot="1" x14ac:dyDescent="0.25">
      <c r="A51" s="25">
        <v>35</v>
      </c>
      <c r="B51" s="26">
        <v>45460</v>
      </c>
      <c r="C51" s="27"/>
      <c r="D51" s="25"/>
      <c r="E51" s="28"/>
      <c r="F51" s="27"/>
      <c r="G51" s="28"/>
      <c r="H51" s="27"/>
      <c r="I51" s="28"/>
      <c r="J51" s="202">
        <v>45357</v>
      </c>
      <c r="K51" s="29" t="s">
        <v>35</v>
      </c>
      <c r="L51" s="39"/>
      <c r="M51" s="31"/>
      <c r="N51" s="27" t="s">
        <v>272</v>
      </c>
      <c r="O51" s="307"/>
      <c r="P51" s="32"/>
      <c r="Q51" s="25"/>
      <c r="R51" s="27"/>
      <c r="S51" s="27"/>
      <c r="T51" s="28"/>
      <c r="U51" s="27"/>
      <c r="V51" s="27" t="s">
        <v>154</v>
      </c>
      <c r="W51" s="28"/>
      <c r="X51" s="33"/>
      <c r="Y51" s="32"/>
      <c r="Z51" s="25"/>
      <c r="AA51" s="27"/>
      <c r="AB51" s="28"/>
      <c r="AC51" s="27"/>
      <c r="AD51" s="27"/>
      <c r="AE51" s="33"/>
      <c r="AG51" s="25"/>
      <c r="AH51" s="34"/>
      <c r="AI51" s="27"/>
      <c r="AJ51" s="27"/>
      <c r="AK51" s="27"/>
      <c r="AL51" s="25"/>
      <c r="AM51" s="34"/>
      <c r="AN51" s="27"/>
      <c r="AO51" s="27"/>
      <c r="AP51" s="36"/>
      <c r="AQ51" s="37"/>
      <c r="AR51" s="32"/>
      <c r="AS51" s="25" t="s">
        <v>72</v>
      </c>
      <c r="AT51" s="27" t="s">
        <v>52</v>
      </c>
      <c r="AU51" s="58" t="s">
        <v>77</v>
      </c>
      <c r="AW51" s="27" t="s">
        <v>325</v>
      </c>
      <c r="AX51" s="27" t="s">
        <v>91</v>
      </c>
      <c r="AY51" s="27"/>
      <c r="AZ51" s="32"/>
      <c r="BA51" s="41"/>
    </row>
    <row r="52" spans="1:53" ht="16" thickBot="1" x14ac:dyDescent="0.25">
      <c r="A52" s="25">
        <v>36</v>
      </c>
      <c r="B52" s="26">
        <v>45461</v>
      </c>
      <c r="C52" s="27"/>
      <c r="D52" s="25"/>
      <c r="E52" s="28"/>
      <c r="F52" s="27"/>
      <c r="G52" s="28"/>
      <c r="H52" s="27"/>
      <c r="I52" s="28"/>
      <c r="J52" s="202">
        <v>45357</v>
      </c>
      <c r="K52" s="29" t="s">
        <v>35</v>
      </c>
      <c r="L52" s="53"/>
      <c r="M52" s="31"/>
      <c r="N52" s="27" t="s">
        <v>272</v>
      </c>
      <c r="O52" s="307"/>
      <c r="P52" s="32"/>
      <c r="Q52" s="25"/>
      <c r="R52" s="27"/>
      <c r="S52" s="27"/>
      <c r="T52" s="28"/>
      <c r="U52" s="27"/>
      <c r="V52" s="27" t="s">
        <v>154</v>
      </c>
      <c r="W52" s="28"/>
      <c r="X52" s="33"/>
      <c r="Y52" s="32"/>
      <c r="Z52" s="25"/>
      <c r="AA52" s="27"/>
      <c r="AB52" s="28"/>
      <c r="AC52" s="27"/>
      <c r="AD52" s="27"/>
      <c r="AE52" s="33"/>
      <c r="AG52" s="25"/>
      <c r="AH52" s="34"/>
      <c r="AI52" s="27"/>
      <c r="AJ52" s="27"/>
      <c r="AK52" s="27"/>
      <c r="AL52" s="25"/>
      <c r="AM52" s="34"/>
      <c r="AN52" s="27"/>
      <c r="AO52" s="27"/>
      <c r="AP52" s="36"/>
      <c r="AQ52" s="37"/>
      <c r="AR52" s="32"/>
      <c r="AS52" s="25" t="s">
        <v>78</v>
      </c>
      <c r="AT52" s="27" t="s">
        <v>52</v>
      </c>
      <c r="AW52" s="27" t="s">
        <v>325</v>
      </c>
      <c r="AX52" s="27" t="s">
        <v>91</v>
      </c>
      <c r="AY52" s="27"/>
      <c r="AZ52" s="32"/>
      <c r="BA52" s="41"/>
    </row>
    <row r="53" spans="1:53" ht="16" thickBot="1" x14ac:dyDescent="0.25">
      <c r="A53" s="25">
        <v>37</v>
      </c>
      <c r="B53" s="26">
        <v>45462</v>
      </c>
      <c r="C53" s="27"/>
      <c r="D53" s="25"/>
      <c r="E53" s="28"/>
      <c r="F53" s="27"/>
      <c r="G53" s="28"/>
      <c r="H53" s="27"/>
      <c r="I53" s="28"/>
      <c r="J53" s="202">
        <v>45357</v>
      </c>
      <c r="K53" s="29" t="s">
        <v>35</v>
      </c>
      <c r="L53" s="53"/>
      <c r="M53" s="31"/>
      <c r="N53" s="27" t="s">
        <v>272</v>
      </c>
      <c r="O53" s="307"/>
      <c r="P53" s="32"/>
      <c r="Q53" s="25"/>
      <c r="R53" s="27"/>
      <c r="S53" s="27"/>
      <c r="T53" s="28"/>
      <c r="U53" s="27"/>
      <c r="V53" s="27" t="s">
        <v>154</v>
      </c>
      <c r="W53" s="28"/>
      <c r="X53" s="33"/>
      <c r="Y53" s="32"/>
      <c r="Z53" s="59"/>
      <c r="AA53" s="60"/>
      <c r="AB53" s="61"/>
      <c r="AC53" s="27"/>
      <c r="AD53" s="27"/>
      <c r="AE53" s="33"/>
      <c r="AG53" s="25"/>
      <c r="AH53" s="34"/>
      <c r="AI53" s="27"/>
      <c r="AJ53" s="27"/>
      <c r="AK53" s="27"/>
      <c r="AL53" s="25"/>
      <c r="AM53" s="34"/>
      <c r="AN53" s="27"/>
      <c r="AO53" s="27"/>
      <c r="AP53" s="36"/>
      <c r="AQ53" s="37"/>
      <c r="AR53" s="32"/>
      <c r="AS53" s="25" t="s">
        <v>78</v>
      </c>
      <c r="AT53" s="27" t="s">
        <v>52</v>
      </c>
      <c r="AU53" s="27"/>
      <c r="AW53" s="27" t="s">
        <v>325</v>
      </c>
      <c r="AX53" s="27" t="s">
        <v>91</v>
      </c>
      <c r="AY53" s="27"/>
      <c r="AZ53" s="32"/>
      <c r="BA53" s="41"/>
    </row>
    <row r="54" spans="1:53" x14ac:dyDescent="0.2">
      <c r="A54" s="25">
        <v>38</v>
      </c>
      <c r="B54" s="26">
        <v>45463</v>
      </c>
      <c r="C54" s="27"/>
      <c r="D54" s="25"/>
      <c r="E54" s="28"/>
      <c r="F54" s="27"/>
      <c r="G54" s="28"/>
      <c r="H54" s="27"/>
      <c r="I54" s="28"/>
      <c r="J54" s="202">
        <v>45357</v>
      </c>
      <c r="K54" s="29" t="s">
        <v>35</v>
      </c>
      <c r="L54" s="39"/>
      <c r="M54" s="31"/>
      <c r="N54" s="27" t="s">
        <v>272</v>
      </c>
      <c r="O54" s="307"/>
      <c r="P54" s="32"/>
      <c r="Q54" s="25"/>
      <c r="R54" s="27"/>
      <c r="S54" s="27"/>
      <c r="T54" s="28"/>
      <c r="U54" s="27"/>
      <c r="V54" s="27" t="s">
        <v>154</v>
      </c>
      <c r="W54" s="28"/>
      <c r="X54" s="33"/>
      <c r="Y54" s="32"/>
      <c r="Z54" s="25"/>
      <c r="AA54" s="27"/>
      <c r="AB54" s="28"/>
      <c r="AC54" s="27"/>
      <c r="AD54" s="27"/>
      <c r="AE54" s="33"/>
      <c r="AG54" s="25"/>
      <c r="AH54" s="34"/>
      <c r="AI54" s="27"/>
      <c r="AJ54" s="27"/>
      <c r="AK54" s="27"/>
      <c r="AL54" s="25"/>
      <c r="AM54" s="34"/>
      <c r="AN54" s="27"/>
      <c r="AO54" s="27"/>
      <c r="AP54" s="36"/>
      <c r="AQ54" s="37"/>
      <c r="AR54" s="32"/>
      <c r="AS54" s="25" t="s">
        <v>78</v>
      </c>
      <c r="AT54" s="27" t="s">
        <v>52</v>
      </c>
      <c r="AU54" s="27"/>
      <c r="AW54" s="27" t="s">
        <v>325</v>
      </c>
      <c r="AX54" s="27" t="s">
        <v>91</v>
      </c>
      <c r="AY54" s="27"/>
      <c r="AZ54" s="32"/>
      <c r="BA54" s="41"/>
    </row>
    <row r="55" spans="1:53" ht="16" thickBot="1" x14ac:dyDescent="0.25">
      <c r="A55" s="25">
        <v>39</v>
      </c>
      <c r="B55" s="26">
        <v>45464</v>
      </c>
      <c r="C55" s="27"/>
      <c r="D55" s="25"/>
      <c r="E55" s="28"/>
      <c r="F55" s="27"/>
      <c r="G55" s="28"/>
      <c r="H55" s="27"/>
      <c r="I55" s="28"/>
      <c r="J55" s="202">
        <v>45357</v>
      </c>
      <c r="K55" s="29" t="s">
        <v>35</v>
      </c>
      <c r="M55" s="31"/>
      <c r="N55" s="27" t="s">
        <v>272</v>
      </c>
      <c r="O55" s="307"/>
      <c r="P55" s="32"/>
      <c r="Q55" s="25"/>
      <c r="R55" s="27"/>
      <c r="S55" s="27"/>
      <c r="T55" s="28"/>
      <c r="U55" s="27"/>
      <c r="V55" s="27" t="s">
        <v>154</v>
      </c>
      <c r="W55" s="28"/>
      <c r="X55" s="33"/>
      <c r="Y55" s="32"/>
      <c r="Z55" s="25"/>
      <c r="AA55" s="27"/>
      <c r="AB55" s="28"/>
      <c r="AC55" s="27"/>
      <c r="AD55" s="27"/>
      <c r="AE55" s="33"/>
      <c r="AG55" s="25"/>
      <c r="AH55" s="34"/>
      <c r="AI55" s="27"/>
      <c r="AJ55" s="27"/>
      <c r="AK55" s="27"/>
      <c r="AL55" s="25"/>
      <c r="AM55" s="34"/>
      <c r="AN55" s="27"/>
      <c r="AO55" s="27"/>
      <c r="AP55" s="36"/>
      <c r="AQ55" s="37"/>
      <c r="AR55" s="32"/>
      <c r="AS55" s="25" t="s">
        <v>78</v>
      </c>
      <c r="AT55" s="27" t="s">
        <v>52</v>
      </c>
      <c r="AU55" s="27"/>
      <c r="AW55" s="27" t="s">
        <v>325</v>
      </c>
      <c r="AX55" s="27" t="s">
        <v>91</v>
      </c>
      <c r="AY55" s="27"/>
      <c r="AZ55" s="32"/>
      <c r="BA55" s="41"/>
    </row>
    <row r="56" spans="1:53" ht="16" thickBot="1" x14ac:dyDescent="0.25">
      <c r="A56" s="25">
        <v>40</v>
      </c>
      <c r="B56" s="26">
        <v>45465</v>
      </c>
      <c r="C56" s="27"/>
      <c r="D56" s="25"/>
      <c r="E56" s="28"/>
      <c r="F56" s="27"/>
      <c r="G56" s="28"/>
      <c r="H56" s="27"/>
      <c r="I56" s="28"/>
      <c r="J56" s="202">
        <v>45357</v>
      </c>
      <c r="K56" s="29" t="s">
        <v>35</v>
      </c>
      <c r="L56" s="53"/>
      <c r="M56" s="31"/>
      <c r="N56" s="27" t="s">
        <v>272</v>
      </c>
      <c r="O56" s="308"/>
      <c r="Q56" s="25"/>
      <c r="R56" s="27"/>
      <c r="S56" s="27"/>
      <c r="T56" s="28"/>
      <c r="U56" s="27"/>
      <c r="V56" s="27" t="s">
        <v>154</v>
      </c>
      <c r="W56" s="28"/>
      <c r="X56" s="33"/>
      <c r="Y56" s="32"/>
      <c r="Z56" s="59"/>
      <c r="AA56" s="60"/>
      <c r="AB56" s="61"/>
      <c r="AC56" s="27"/>
      <c r="AD56" s="27"/>
      <c r="AE56" s="33"/>
      <c r="AG56" s="25"/>
      <c r="AH56" s="34"/>
      <c r="AI56" s="27"/>
      <c r="AJ56" s="27"/>
      <c r="AK56" s="27"/>
      <c r="AL56" s="25"/>
      <c r="AM56" s="34"/>
      <c r="AN56" s="27"/>
      <c r="AO56" s="27"/>
      <c r="AP56" s="36"/>
      <c r="AQ56" s="37"/>
      <c r="AR56" s="32"/>
      <c r="AS56" s="25" t="s">
        <v>79</v>
      </c>
      <c r="AT56" s="27" t="s">
        <v>52</v>
      </c>
      <c r="AU56" s="58" t="s">
        <v>80</v>
      </c>
      <c r="AW56" s="27" t="s">
        <v>325</v>
      </c>
      <c r="AX56" s="27" t="s">
        <v>91</v>
      </c>
      <c r="AY56" s="27"/>
      <c r="AZ56" s="32"/>
      <c r="BA56" s="41"/>
    </row>
    <row r="57" spans="1:53" x14ac:dyDescent="0.2">
      <c r="A57" s="25">
        <v>41</v>
      </c>
      <c r="B57" s="26">
        <v>45466</v>
      </c>
      <c r="C57" s="27"/>
      <c r="D57" s="25"/>
      <c r="E57" s="28"/>
      <c r="F57" s="27"/>
      <c r="G57" s="28"/>
      <c r="H57" s="27"/>
      <c r="I57" s="28"/>
      <c r="J57" s="202">
        <v>45357</v>
      </c>
      <c r="K57" s="29" t="s">
        <v>35</v>
      </c>
      <c r="M57" s="31"/>
      <c r="N57" s="27" t="s">
        <v>272</v>
      </c>
      <c r="P57" s="32"/>
      <c r="Q57" s="25"/>
      <c r="R57" s="27"/>
      <c r="S57" s="27"/>
      <c r="T57" s="28"/>
      <c r="U57" s="27"/>
      <c r="V57" s="27" t="s">
        <v>154</v>
      </c>
      <c r="W57" s="28"/>
      <c r="X57" s="33"/>
      <c r="Y57" s="32"/>
      <c r="Z57" s="25"/>
      <c r="AA57" s="27"/>
      <c r="AB57" s="28"/>
      <c r="AC57" s="27"/>
      <c r="AD57" s="27"/>
      <c r="AE57" s="33"/>
      <c r="AG57" s="25"/>
      <c r="AH57" s="34"/>
      <c r="AI57" s="27"/>
      <c r="AJ57" s="27"/>
      <c r="AK57" s="27"/>
      <c r="AL57" s="25"/>
      <c r="AM57" s="34"/>
      <c r="AN57" s="27"/>
      <c r="AO57" s="27"/>
      <c r="AP57" s="36"/>
      <c r="AQ57" s="37"/>
      <c r="AR57" s="32"/>
      <c r="AS57" s="25" t="s">
        <v>79</v>
      </c>
      <c r="AT57" s="27" t="s">
        <v>52</v>
      </c>
      <c r="AU57" s="27"/>
      <c r="AW57" s="27" t="s">
        <v>325</v>
      </c>
      <c r="AX57" s="27" t="s">
        <v>91</v>
      </c>
      <c r="AY57" s="27"/>
      <c r="AZ57" s="32"/>
      <c r="BA57" s="41"/>
    </row>
    <row r="58" spans="1:53" x14ac:dyDescent="0.2">
      <c r="A58" s="25">
        <v>42</v>
      </c>
      <c r="B58" s="26">
        <v>45467</v>
      </c>
      <c r="C58" s="27"/>
      <c r="D58" s="25"/>
      <c r="E58" s="28"/>
      <c r="F58" s="27"/>
      <c r="G58" s="28"/>
      <c r="H58" s="27"/>
      <c r="I58" s="28"/>
      <c r="J58" s="202">
        <v>45357</v>
      </c>
      <c r="K58" s="29" t="s">
        <v>35</v>
      </c>
      <c r="L58" s="39"/>
      <c r="M58" s="31"/>
      <c r="N58" s="27" t="s">
        <v>272</v>
      </c>
      <c r="P58" s="32"/>
      <c r="Q58" s="25"/>
      <c r="R58" s="27"/>
      <c r="S58" s="27"/>
      <c r="T58" s="28"/>
      <c r="U58" s="27"/>
      <c r="V58" s="27" t="s">
        <v>154</v>
      </c>
      <c r="W58" s="28"/>
      <c r="X58" s="33"/>
      <c r="Y58" s="32"/>
      <c r="Z58" s="25"/>
      <c r="AA58" s="27"/>
      <c r="AB58" s="28"/>
      <c r="AC58" s="27"/>
      <c r="AD58" s="27"/>
      <c r="AE58" s="33"/>
      <c r="AG58" s="25"/>
      <c r="AH58" s="34"/>
      <c r="AI58" s="27"/>
      <c r="AJ58" s="27"/>
      <c r="AK58" s="27"/>
      <c r="AL58" s="25"/>
      <c r="AM58" s="34"/>
      <c r="AN58" s="27"/>
      <c r="AO58" s="27"/>
      <c r="AP58" s="36"/>
      <c r="AQ58" s="37"/>
      <c r="AR58" s="32"/>
      <c r="AS58" s="25" t="s">
        <v>79</v>
      </c>
      <c r="AT58" s="27" t="s">
        <v>52</v>
      </c>
      <c r="AU58" s="27"/>
      <c r="AW58" s="27" t="s">
        <v>325</v>
      </c>
      <c r="AX58" s="27" t="s">
        <v>91</v>
      </c>
      <c r="AY58" s="27"/>
      <c r="AZ58" s="32"/>
      <c r="BA58" s="41"/>
    </row>
    <row r="59" spans="1:53" ht="16" thickBot="1" x14ac:dyDescent="0.25">
      <c r="A59" s="25">
        <v>43</v>
      </c>
      <c r="B59" s="26">
        <v>45468</v>
      </c>
      <c r="C59" s="27"/>
      <c r="D59" s="25"/>
      <c r="E59" s="28"/>
      <c r="F59" s="27"/>
      <c r="G59" s="28"/>
      <c r="H59" s="27"/>
      <c r="I59" s="28"/>
      <c r="J59" s="202">
        <v>45357</v>
      </c>
      <c r="K59" s="29" t="s">
        <v>35</v>
      </c>
      <c r="L59" s="39"/>
      <c r="M59" s="31"/>
      <c r="N59" s="27" t="s">
        <v>272</v>
      </c>
      <c r="P59" s="32"/>
      <c r="Q59" s="25"/>
      <c r="R59" s="27"/>
      <c r="S59" s="27"/>
      <c r="T59" s="28"/>
      <c r="U59" s="27"/>
      <c r="V59" s="27" t="s">
        <v>154</v>
      </c>
      <c r="W59" s="28"/>
      <c r="X59" s="33"/>
      <c r="Y59" s="32"/>
      <c r="Z59" s="25"/>
      <c r="AA59" s="27"/>
      <c r="AB59" s="28"/>
      <c r="AC59" s="27"/>
      <c r="AD59" s="27"/>
      <c r="AE59" s="33"/>
      <c r="AG59" s="25"/>
      <c r="AH59" s="34"/>
      <c r="AI59" s="27"/>
      <c r="AJ59" s="27"/>
      <c r="AK59" s="27"/>
      <c r="AL59" s="25"/>
      <c r="AM59" s="34"/>
      <c r="AN59" s="27"/>
      <c r="AO59" s="27"/>
      <c r="AP59" s="36"/>
      <c r="AQ59" s="37"/>
      <c r="AR59" s="32"/>
      <c r="AS59" s="25" t="s">
        <v>79</v>
      </c>
      <c r="AT59" s="27" t="s">
        <v>52</v>
      </c>
      <c r="AU59" s="27"/>
      <c r="AW59" s="27" t="s">
        <v>325</v>
      </c>
      <c r="AX59" s="27" t="s">
        <v>91</v>
      </c>
      <c r="AY59" s="27"/>
      <c r="AZ59" s="32"/>
      <c r="BA59" s="41"/>
    </row>
    <row r="60" spans="1:53" ht="16" thickBot="1" x14ac:dyDescent="0.25">
      <c r="A60" s="25">
        <v>44</v>
      </c>
      <c r="B60" s="26">
        <v>45469</v>
      </c>
      <c r="C60" s="27"/>
      <c r="D60" s="25"/>
      <c r="E60" s="28"/>
      <c r="F60" s="27"/>
      <c r="G60" s="28"/>
      <c r="H60" s="27"/>
      <c r="I60" s="28"/>
      <c r="J60" s="202">
        <v>45357</v>
      </c>
      <c r="K60" s="29" t="s">
        <v>35</v>
      </c>
      <c r="L60" s="39"/>
      <c r="M60" s="31"/>
      <c r="N60" s="27" t="s">
        <v>272</v>
      </c>
      <c r="P60" s="32"/>
      <c r="Q60" s="27"/>
      <c r="R60" s="27"/>
      <c r="S60" s="27"/>
      <c r="T60" s="28"/>
      <c r="U60" s="27"/>
      <c r="V60" s="27" t="s">
        <v>154</v>
      </c>
      <c r="W60" s="28"/>
      <c r="X60" s="33"/>
      <c r="Y60" s="32"/>
      <c r="Z60" s="59"/>
      <c r="AA60" s="60"/>
      <c r="AB60" s="61"/>
      <c r="AC60" s="27"/>
      <c r="AD60" s="27"/>
      <c r="AE60" s="33"/>
      <c r="AG60" s="25"/>
      <c r="AH60" s="34"/>
      <c r="AI60" s="27"/>
      <c r="AJ60" s="27"/>
      <c r="AK60" s="27"/>
      <c r="AL60" s="25"/>
      <c r="AM60" s="34"/>
      <c r="AN60" s="27"/>
      <c r="AO60" s="27"/>
      <c r="AP60" s="36"/>
      <c r="AQ60" s="37"/>
      <c r="AR60" s="32"/>
      <c r="AS60" s="25" t="s">
        <v>79</v>
      </c>
      <c r="AT60" s="27" t="s">
        <v>52</v>
      </c>
      <c r="AU60" s="58" t="s">
        <v>81</v>
      </c>
      <c r="AW60" s="27" t="s">
        <v>325</v>
      </c>
      <c r="AX60" s="27" t="s">
        <v>303</v>
      </c>
      <c r="AY60" s="27"/>
      <c r="AZ60" s="32"/>
      <c r="BA60" s="41"/>
    </row>
    <row r="61" spans="1:53" x14ac:dyDescent="0.2">
      <c r="A61" s="25">
        <v>45</v>
      </c>
      <c r="B61" s="26">
        <v>45470</v>
      </c>
      <c r="C61" s="27"/>
      <c r="D61" s="25"/>
      <c r="E61" s="28"/>
      <c r="F61" s="27"/>
      <c r="G61" s="28"/>
      <c r="H61" s="27"/>
      <c r="I61" s="28"/>
      <c r="J61" s="202">
        <v>45357</v>
      </c>
      <c r="K61" s="29" t="s">
        <v>35</v>
      </c>
      <c r="L61" s="39"/>
      <c r="M61" s="31"/>
      <c r="N61" s="27" t="s">
        <v>272</v>
      </c>
      <c r="P61" s="32"/>
      <c r="Q61" s="25"/>
      <c r="R61" s="27"/>
      <c r="S61" s="27"/>
      <c r="T61" s="28"/>
      <c r="U61" s="27"/>
      <c r="V61" s="27" t="s">
        <v>154</v>
      </c>
      <c r="W61" s="28"/>
      <c r="X61" s="33"/>
      <c r="Y61" s="32"/>
      <c r="Z61" s="25"/>
      <c r="AA61" s="27"/>
      <c r="AB61" s="28"/>
      <c r="AC61" s="27"/>
      <c r="AD61" s="27"/>
      <c r="AE61" s="33"/>
      <c r="AG61" s="25"/>
      <c r="AH61" s="34"/>
      <c r="AI61" s="27"/>
      <c r="AJ61" s="27"/>
      <c r="AK61" s="27"/>
      <c r="AL61" s="25"/>
      <c r="AM61" s="34"/>
      <c r="AN61" s="27"/>
      <c r="AO61" s="27"/>
      <c r="AP61" s="36"/>
      <c r="AQ61" s="37"/>
      <c r="AR61" s="32"/>
      <c r="AS61" s="25" t="s">
        <v>82</v>
      </c>
      <c r="AT61" s="27" t="s">
        <v>52</v>
      </c>
      <c r="AW61" s="27" t="s">
        <v>325</v>
      </c>
      <c r="AX61" s="27" t="s">
        <v>303</v>
      </c>
      <c r="AY61" s="27"/>
      <c r="AZ61" s="32"/>
      <c r="BA61" s="41"/>
    </row>
    <row r="62" spans="1:53" x14ac:dyDescent="0.2">
      <c r="A62" s="25">
        <v>46</v>
      </c>
      <c r="B62" s="26">
        <v>45471</v>
      </c>
      <c r="C62" s="27"/>
      <c r="D62" s="25"/>
      <c r="E62" s="28"/>
      <c r="F62" s="27"/>
      <c r="G62" s="28"/>
      <c r="H62" s="27"/>
      <c r="I62" s="28"/>
      <c r="J62" s="202">
        <v>45357</v>
      </c>
      <c r="K62" s="29" t="s">
        <v>35</v>
      </c>
      <c r="L62" s="39"/>
      <c r="M62" s="31"/>
      <c r="N62" s="27" t="s">
        <v>272</v>
      </c>
      <c r="P62" s="32"/>
      <c r="Q62" s="25"/>
      <c r="R62" s="27"/>
      <c r="S62" s="27"/>
      <c r="T62" s="28"/>
      <c r="U62" s="27"/>
      <c r="V62" s="27" t="s">
        <v>154</v>
      </c>
      <c r="W62" s="28"/>
      <c r="X62" s="33"/>
      <c r="Y62" s="32"/>
      <c r="Z62" s="25"/>
      <c r="AA62" s="27"/>
      <c r="AB62" s="28"/>
      <c r="AC62" s="27"/>
      <c r="AD62" s="27"/>
      <c r="AE62" s="33"/>
      <c r="AG62" s="25"/>
      <c r="AH62" s="34"/>
      <c r="AI62" s="27"/>
      <c r="AJ62" s="27"/>
      <c r="AK62" s="27"/>
      <c r="AL62" s="25"/>
      <c r="AM62" s="34"/>
      <c r="AN62" s="27"/>
      <c r="AO62" s="27"/>
      <c r="AP62" s="36"/>
      <c r="AQ62" s="37"/>
      <c r="AR62" s="32"/>
      <c r="AS62" s="25" t="s">
        <v>82</v>
      </c>
      <c r="AT62" s="27" t="s">
        <v>52</v>
      </c>
      <c r="AU62" s="27"/>
      <c r="AW62" s="27" t="s">
        <v>325</v>
      </c>
      <c r="AX62" s="27" t="s">
        <v>303</v>
      </c>
      <c r="AY62" s="27"/>
      <c r="AZ62" s="32"/>
      <c r="BA62" s="41"/>
    </row>
    <row r="63" spans="1:53" x14ac:dyDescent="0.2">
      <c r="A63" s="25">
        <v>47</v>
      </c>
      <c r="B63" s="26">
        <v>45472</v>
      </c>
      <c r="C63" s="27"/>
      <c r="D63" s="25"/>
      <c r="E63" s="28"/>
      <c r="F63" s="27"/>
      <c r="G63" s="28"/>
      <c r="H63" s="27"/>
      <c r="I63" s="28"/>
      <c r="J63" s="202">
        <v>45357</v>
      </c>
      <c r="K63" s="29" t="s">
        <v>35</v>
      </c>
      <c r="L63" s="39"/>
      <c r="M63" s="31"/>
      <c r="N63" s="27" t="s">
        <v>272</v>
      </c>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c r="AO63" s="27"/>
      <c r="AP63" s="36"/>
      <c r="AQ63" s="37"/>
      <c r="AR63" s="32"/>
      <c r="AS63" s="25" t="s">
        <v>82</v>
      </c>
      <c r="AT63" s="27" t="s">
        <v>52</v>
      </c>
      <c r="AU63" s="27"/>
      <c r="AW63" s="27" t="s">
        <v>325</v>
      </c>
      <c r="AX63" s="27" t="s">
        <v>303</v>
      </c>
      <c r="AY63" s="27"/>
      <c r="AZ63" s="32"/>
      <c r="BA63" s="41"/>
    </row>
    <row r="64" spans="1:53" x14ac:dyDescent="0.2">
      <c r="A64" s="25">
        <v>48</v>
      </c>
      <c r="B64" s="26">
        <v>45473</v>
      </c>
      <c r="C64" s="27"/>
      <c r="D64" s="25"/>
      <c r="E64" s="28"/>
      <c r="F64" s="27"/>
      <c r="G64" s="28"/>
      <c r="H64" s="27"/>
      <c r="I64" s="28"/>
      <c r="J64" s="202">
        <v>45357</v>
      </c>
      <c r="K64" s="29" t="s">
        <v>35</v>
      </c>
      <c r="M64" s="31"/>
      <c r="N64" s="27" t="s">
        <v>272</v>
      </c>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c r="AO64" s="27"/>
      <c r="AP64" s="36"/>
      <c r="AQ64" s="37"/>
      <c r="AR64" s="32"/>
      <c r="AS64" s="25" t="s">
        <v>82</v>
      </c>
      <c r="AT64" s="27" t="s">
        <v>52</v>
      </c>
      <c r="AU64" s="27"/>
      <c r="AW64" s="27" t="s">
        <v>325</v>
      </c>
      <c r="AX64" s="27" t="s">
        <v>303</v>
      </c>
      <c r="AY64" s="27"/>
      <c r="AZ64" s="32"/>
      <c r="BA64" s="41"/>
    </row>
    <row r="65" spans="1:53" ht="16" thickBot="1" x14ac:dyDescent="0.25">
      <c r="A65" s="25">
        <v>49</v>
      </c>
      <c r="B65" s="26">
        <v>45474</v>
      </c>
      <c r="C65" s="27"/>
      <c r="D65" s="25"/>
      <c r="E65" s="28"/>
      <c r="F65" s="27"/>
      <c r="G65" s="28"/>
      <c r="H65" s="27"/>
      <c r="I65" s="28"/>
      <c r="J65" s="202">
        <v>45357</v>
      </c>
      <c r="K65" s="29" t="s">
        <v>35</v>
      </c>
      <c r="L65" s="39"/>
      <c r="M65" s="31"/>
      <c r="N65" s="27" t="s">
        <v>272</v>
      </c>
      <c r="P65" s="32"/>
      <c r="Q65" s="25"/>
      <c r="R65" s="27"/>
      <c r="S65" s="27"/>
      <c r="T65" s="28"/>
      <c r="U65" s="27"/>
      <c r="V65" s="27" t="s">
        <v>154</v>
      </c>
      <c r="W65" s="28"/>
      <c r="X65" s="33"/>
      <c r="Y65" s="32"/>
      <c r="Z65" s="25"/>
      <c r="AA65" s="27"/>
      <c r="AB65" s="28"/>
      <c r="AC65" s="27"/>
      <c r="AD65" s="27"/>
      <c r="AE65" s="33"/>
      <c r="AG65" s="25"/>
      <c r="AH65" s="34"/>
      <c r="AI65" s="27"/>
      <c r="AJ65" s="27"/>
      <c r="AK65" s="27"/>
      <c r="AL65" s="25"/>
      <c r="AM65" s="34"/>
      <c r="AN65" s="27"/>
      <c r="AO65" s="27"/>
      <c r="AP65" s="36"/>
      <c r="AQ65" s="37"/>
      <c r="AR65" s="32"/>
      <c r="AS65" s="25" t="s">
        <v>82</v>
      </c>
      <c r="AT65" s="27" t="s">
        <v>52</v>
      </c>
      <c r="AU65" s="27"/>
      <c r="AW65" s="27" t="s">
        <v>325</v>
      </c>
      <c r="AX65" s="27" t="s">
        <v>303</v>
      </c>
      <c r="AY65" s="27"/>
      <c r="AZ65" s="32"/>
      <c r="BA65" s="41"/>
    </row>
    <row r="66" spans="1:53" ht="16" thickBot="1" x14ac:dyDescent="0.25">
      <c r="A66" s="25">
        <v>50</v>
      </c>
      <c r="B66" s="26">
        <v>45475</v>
      </c>
      <c r="C66" s="27"/>
      <c r="D66" s="25"/>
      <c r="E66" s="28"/>
      <c r="F66" s="27"/>
      <c r="G66" s="28"/>
      <c r="H66" s="27"/>
      <c r="I66" s="28"/>
      <c r="J66" s="202">
        <v>45357</v>
      </c>
      <c r="K66" s="29" t="s">
        <v>35</v>
      </c>
      <c r="L66" s="44" t="s">
        <v>83</v>
      </c>
      <c r="M66" s="31"/>
      <c r="N66" s="27" t="s">
        <v>272</v>
      </c>
      <c r="O66" s="45" t="s">
        <v>349</v>
      </c>
      <c r="P66" s="46" t="s">
        <v>61</v>
      </c>
      <c r="Q66" s="25"/>
      <c r="R66" s="27"/>
      <c r="S66" s="27"/>
      <c r="T66" s="28"/>
      <c r="U66" s="27"/>
      <c r="V66" s="27" t="s">
        <v>154</v>
      </c>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58" t="s">
        <v>88</v>
      </c>
      <c r="AW66" s="27" t="s">
        <v>325</v>
      </c>
      <c r="AX66" s="27" t="s">
        <v>303</v>
      </c>
      <c r="AY66" s="27"/>
      <c r="AZ66" s="32"/>
      <c r="BA66" s="41"/>
    </row>
    <row r="67" spans="1:53" ht="16" thickBot="1" x14ac:dyDescent="0.25">
      <c r="A67" s="25">
        <v>51</v>
      </c>
      <c r="B67" s="26">
        <v>45476</v>
      </c>
      <c r="C67" s="27"/>
      <c r="D67" s="25"/>
      <c r="E67" s="28"/>
      <c r="F67" s="27"/>
      <c r="G67" s="28"/>
      <c r="H67" s="27"/>
      <c r="I67" s="28"/>
      <c r="J67" s="27">
        <v>8</v>
      </c>
      <c r="K67" s="29" t="s">
        <v>35</v>
      </c>
      <c r="L67" s="88" t="s">
        <v>348</v>
      </c>
      <c r="M67" s="31"/>
      <c r="N67" s="27"/>
      <c r="P67" s="46"/>
      <c r="Q67" s="27"/>
      <c r="R67" s="27"/>
      <c r="S67" s="27"/>
      <c r="T67" s="28"/>
      <c r="U67" s="27"/>
      <c r="V67" s="27" t="s">
        <v>154</v>
      </c>
      <c r="W67" s="28"/>
      <c r="X67" s="33"/>
      <c r="Y67" s="32"/>
      <c r="Z67" s="25"/>
      <c r="AA67" s="27"/>
      <c r="AB67" s="28"/>
      <c r="AC67" s="27"/>
      <c r="AD67" s="27"/>
      <c r="AE67" s="33"/>
      <c r="AG67" s="25"/>
      <c r="AH67" s="34"/>
      <c r="AI67" s="27"/>
      <c r="AJ67" s="27"/>
      <c r="AK67" s="27"/>
      <c r="AL67" s="25"/>
      <c r="AM67" s="34"/>
      <c r="AN67" s="27"/>
      <c r="AO67" s="27"/>
      <c r="AP67" s="36"/>
      <c r="AQ67" s="37"/>
      <c r="AR67" s="32"/>
      <c r="AS67" s="25" t="s">
        <v>86</v>
      </c>
      <c r="AT67" s="27" t="s">
        <v>87</v>
      </c>
      <c r="AU67" s="27"/>
      <c r="AW67" s="27" t="s">
        <v>325</v>
      </c>
      <c r="AX67" s="27" t="s">
        <v>303</v>
      </c>
      <c r="AY67" s="27"/>
      <c r="AZ67" s="32"/>
      <c r="BA67" s="41"/>
    </row>
    <row r="68" spans="1:53" ht="16" thickBot="1" x14ac:dyDescent="0.25">
      <c r="A68" s="25">
        <v>52</v>
      </c>
      <c r="B68" s="26">
        <v>45477</v>
      </c>
      <c r="C68" s="27"/>
      <c r="D68" s="25"/>
      <c r="E68" s="28"/>
      <c r="F68" s="27"/>
      <c r="G68" s="28"/>
      <c r="H68" s="27"/>
      <c r="I68" s="28"/>
      <c r="J68" s="27">
        <v>8</v>
      </c>
      <c r="K68" s="29" t="s">
        <v>35</v>
      </c>
      <c r="L68" s="39"/>
      <c r="M68" s="31"/>
      <c r="N68" s="27"/>
      <c r="P68" s="32"/>
      <c r="Q68" s="25"/>
      <c r="R68" s="27"/>
      <c r="S68" s="27"/>
      <c r="T68" s="28"/>
      <c r="U68" s="27"/>
      <c r="V68" s="27" t="s">
        <v>154</v>
      </c>
      <c r="W68" s="28"/>
      <c r="X68" s="33"/>
      <c r="Y68" s="32"/>
      <c r="Z68" s="25"/>
      <c r="AA68" s="27"/>
      <c r="AB68" s="28"/>
      <c r="AC68" s="27"/>
      <c r="AD68" s="27"/>
      <c r="AE68" s="33"/>
      <c r="AG68" s="25"/>
      <c r="AH68" s="34"/>
      <c r="AI68" s="27"/>
      <c r="AJ68" s="27"/>
      <c r="AK68" s="27"/>
      <c r="AL68" s="25"/>
      <c r="AM68" s="34"/>
      <c r="AN68" s="27"/>
      <c r="AO68" s="27"/>
      <c r="AP68" s="36"/>
      <c r="AQ68" s="37"/>
      <c r="AR68" s="32"/>
      <c r="AS68" s="25" t="s">
        <v>86</v>
      </c>
      <c r="AT68" s="27" t="s">
        <v>87</v>
      </c>
      <c r="AW68" s="27" t="s">
        <v>325</v>
      </c>
      <c r="AX68" s="27" t="s">
        <v>303</v>
      </c>
      <c r="AY68" s="27"/>
      <c r="AZ68" s="32"/>
      <c r="BA68" s="41"/>
    </row>
    <row r="69" spans="1:53" ht="16" thickBot="1" x14ac:dyDescent="0.25">
      <c r="A69" s="25">
        <v>53</v>
      </c>
      <c r="B69" s="26">
        <v>45478</v>
      </c>
      <c r="C69" s="27"/>
      <c r="D69" s="25"/>
      <c r="E69" s="28"/>
      <c r="F69" s="27"/>
      <c r="G69" s="28"/>
      <c r="H69" s="27"/>
      <c r="I69" s="28"/>
      <c r="J69" s="27">
        <v>8</v>
      </c>
      <c r="K69" s="29" t="s">
        <v>35</v>
      </c>
      <c r="L69" s="39"/>
      <c r="M69" s="31"/>
      <c r="N69" s="27"/>
      <c r="P69" s="32"/>
      <c r="Q69" s="25"/>
      <c r="R69" s="27"/>
      <c r="S69" s="27"/>
      <c r="T69" s="28"/>
      <c r="U69" s="27"/>
      <c r="V69" s="27" t="s">
        <v>154</v>
      </c>
      <c r="W69" s="28"/>
      <c r="X69" s="33"/>
      <c r="Y69" s="32"/>
      <c r="Z69" s="25"/>
      <c r="AA69" s="27"/>
      <c r="AB69" s="28"/>
      <c r="AC69" s="27"/>
      <c r="AD69" s="27"/>
      <c r="AE69" s="33"/>
      <c r="AG69" s="25"/>
      <c r="AH69" s="34"/>
      <c r="AI69" s="27"/>
      <c r="AJ69" s="27"/>
      <c r="AK69" s="27"/>
      <c r="AL69" s="25"/>
      <c r="AM69" s="34"/>
      <c r="AN69" s="27"/>
      <c r="AO69" s="27"/>
      <c r="AP69" s="36"/>
      <c r="AQ69" s="37"/>
      <c r="AR69" s="32"/>
      <c r="AS69" s="25" t="s">
        <v>86</v>
      </c>
      <c r="AT69" s="27" t="s">
        <v>87</v>
      </c>
      <c r="AU69" s="27"/>
      <c r="AW69" s="25" t="s">
        <v>341</v>
      </c>
      <c r="AX69" s="27" t="s">
        <v>91</v>
      </c>
      <c r="AY69" s="89" t="s">
        <v>92</v>
      </c>
      <c r="AZ69" s="32"/>
      <c r="BA69" s="41"/>
    </row>
    <row r="70" spans="1:53" ht="16" thickBot="1" x14ac:dyDescent="0.25">
      <c r="A70" s="25">
        <v>54</v>
      </c>
      <c r="B70" s="26">
        <v>45479</v>
      </c>
      <c r="C70" s="27"/>
      <c r="D70" s="25"/>
      <c r="E70" s="28"/>
      <c r="F70" s="27"/>
      <c r="G70" s="28"/>
      <c r="H70" s="27"/>
      <c r="I70" s="28"/>
      <c r="J70" s="27">
        <v>8</v>
      </c>
      <c r="K70" s="29" t="s">
        <v>35</v>
      </c>
      <c r="L70" s="39"/>
      <c r="M70" s="31"/>
      <c r="N70" s="27"/>
      <c r="P70" s="32"/>
      <c r="Q70" s="25"/>
      <c r="R70" s="27"/>
      <c r="S70" s="27"/>
      <c r="T70" s="28"/>
      <c r="U70" s="27"/>
      <c r="V70" s="27" t="s">
        <v>154</v>
      </c>
      <c r="W70" s="28"/>
      <c r="X70" s="33"/>
      <c r="Y70" s="32"/>
      <c r="Z70" s="25"/>
      <c r="AA70" s="27"/>
      <c r="AB70" s="28"/>
      <c r="AC70" s="27"/>
      <c r="AD70" s="27"/>
      <c r="AE70" s="33"/>
      <c r="AG70" s="25"/>
      <c r="AH70" s="34"/>
      <c r="AI70" s="27"/>
      <c r="AJ70" s="27"/>
      <c r="AK70" s="27"/>
      <c r="AL70" s="25"/>
      <c r="AM70" s="34"/>
      <c r="AN70" s="27"/>
      <c r="AO70" s="27"/>
      <c r="AP70" s="36"/>
      <c r="AQ70" s="37"/>
      <c r="AR70" s="32"/>
      <c r="AS70" s="25" t="s">
        <v>86</v>
      </c>
      <c r="AT70" s="27" t="s">
        <v>87</v>
      </c>
      <c r="AU70" s="27"/>
      <c r="AW70" s="25" t="s">
        <v>341</v>
      </c>
      <c r="AX70" s="27" t="s">
        <v>91</v>
      </c>
      <c r="AY70" s="27"/>
      <c r="AZ70" s="32"/>
      <c r="BA70" s="41"/>
    </row>
    <row r="71" spans="1:53" ht="16" thickBot="1" x14ac:dyDescent="0.25">
      <c r="A71" s="25">
        <v>55</v>
      </c>
      <c r="B71" s="26">
        <v>45480</v>
      </c>
      <c r="C71" s="27"/>
      <c r="D71" s="25"/>
      <c r="E71" s="28"/>
      <c r="F71" s="27"/>
      <c r="G71" s="28"/>
      <c r="H71" s="27"/>
      <c r="I71" s="28"/>
      <c r="J71" s="27">
        <v>8</v>
      </c>
      <c r="K71" s="29" t="s">
        <v>35</v>
      </c>
      <c r="L71" s="39"/>
      <c r="M71" s="31"/>
      <c r="N71" s="27"/>
      <c r="P71" s="32"/>
      <c r="Q71" s="25"/>
      <c r="R71" s="27"/>
      <c r="S71" s="27"/>
      <c r="T71" s="28"/>
      <c r="U71" s="27"/>
      <c r="V71" s="27" t="s">
        <v>154</v>
      </c>
      <c r="W71" s="28"/>
      <c r="X71" s="33"/>
      <c r="Y71" s="32"/>
      <c r="Z71" s="25"/>
      <c r="AA71" s="27"/>
      <c r="AB71" s="28"/>
      <c r="AC71" s="27"/>
      <c r="AD71" s="27"/>
      <c r="AE71" s="33"/>
      <c r="AG71" s="25"/>
      <c r="AH71" s="34"/>
      <c r="AI71" s="27"/>
      <c r="AJ71" s="27"/>
      <c r="AK71" s="27"/>
      <c r="AL71" s="25"/>
      <c r="AM71" s="34"/>
      <c r="AN71" s="27"/>
      <c r="AO71" s="27"/>
      <c r="AP71" s="36"/>
      <c r="AQ71" s="82"/>
      <c r="AR71" s="32"/>
      <c r="AS71" s="25" t="s">
        <v>86</v>
      </c>
      <c r="AT71" s="27" t="s">
        <v>87</v>
      </c>
      <c r="AW71" s="25" t="s">
        <v>341</v>
      </c>
      <c r="AX71" s="27" t="s">
        <v>91</v>
      </c>
      <c r="AY71" s="27"/>
      <c r="AZ71" s="32"/>
      <c r="BA71" s="41"/>
    </row>
    <row r="72" spans="1:53" x14ac:dyDescent="0.2">
      <c r="A72" s="25">
        <v>56</v>
      </c>
      <c r="B72" s="26">
        <v>45481</v>
      </c>
      <c r="C72" s="27"/>
      <c r="D72" s="25"/>
      <c r="E72" s="28"/>
      <c r="F72" s="27"/>
      <c r="G72" s="28"/>
      <c r="H72" s="27"/>
      <c r="I72" s="28"/>
      <c r="J72" s="27">
        <v>8</v>
      </c>
      <c r="K72" s="29" t="s">
        <v>35</v>
      </c>
      <c r="L72" s="39"/>
      <c r="M72" s="31"/>
      <c r="N72" s="27"/>
      <c r="P72" s="32"/>
      <c r="Q72" s="25"/>
      <c r="R72" s="27"/>
      <c r="S72" s="27"/>
      <c r="T72" s="28"/>
      <c r="U72" s="27"/>
      <c r="V72" s="27" t="s">
        <v>154</v>
      </c>
      <c r="W72" s="28"/>
      <c r="X72" s="33"/>
      <c r="Y72" s="32"/>
      <c r="Z72" s="25"/>
      <c r="AA72" s="27"/>
      <c r="AB72" s="28"/>
      <c r="AC72" s="27"/>
      <c r="AD72" s="27"/>
      <c r="AE72" s="33"/>
      <c r="AG72" s="25"/>
      <c r="AH72" s="34"/>
      <c r="AI72" s="27"/>
      <c r="AJ72" s="27"/>
      <c r="AK72" s="27"/>
      <c r="AL72" s="25"/>
      <c r="AM72" s="34"/>
      <c r="AN72" s="27"/>
      <c r="AO72" s="27"/>
      <c r="AP72" s="36"/>
      <c r="AQ72" s="37"/>
      <c r="AR72" s="32"/>
      <c r="AS72" s="25" t="s">
        <v>86</v>
      </c>
      <c r="AT72" s="27" t="s">
        <v>87</v>
      </c>
      <c r="AU72" s="27"/>
      <c r="AW72" s="25" t="s">
        <v>341</v>
      </c>
      <c r="AX72" s="27" t="s">
        <v>91</v>
      </c>
      <c r="AY72" s="27"/>
      <c r="AZ72" s="32"/>
      <c r="BA72" s="41"/>
    </row>
    <row r="73" spans="1:53" ht="16" thickBot="1" x14ac:dyDescent="0.25">
      <c r="A73" s="25">
        <v>57</v>
      </c>
      <c r="B73" s="26">
        <v>45482</v>
      </c>
      <c r="C73" s="27"/>
      <c r="D73" s="25"/>
      <c r="E73" s="28"/>
      <c r="F73" s="27"/>
      <c r="G73" s="28"/>
      <c r="H73" s="27"/>
      <c r="I73" s="28"/>
      <c r="J73" s="27">
        <v>8</v>
      </c>
      <c r="K73" s="29" t="s">
        <v>35</v>
      </c>
      <c r="L73" s="39"/>
      <c r="M73" s="31"/>
      <c r="N73" s="27"/>
      <c r="P73" s="32"/>
      <c r="Q73" s="25"/>
      <c r="R73" s="27"/>
      <c r="S73" s="27"/>
      <c r="T73" s="28"/>
      <c r="U73" s="27"/>
      <c r="V73" s="27" t="s">
        <v>154</v>
      </c>
      <c r="W73" s="28"/>
      <c r="X73" s="33"/>
      <c r="Y73" s="32"/>
      <c r="Z73" s="25"/>
      <c r="AA73" s="27"/>
      <c r="AB73" s="28"/>
      <c r="AC73" s="27"/>
      <c r="AD73" s="27"/>
      <c r="AE73" s="33"/>
      <c r="AG73" s="25"/>
      <c r="AH73" s="34"/>
      <c r="AI73" s="27"/>
      <c r="AJ73" s="27"/>
      <c r="AK73" s="27"/>
      <c r="AL73" s="25"/>
      <c r="AM73" s="34"/>
      <c r="AN73" s="27"/>
      <c r="AO73" s="27"/>
      <c r="AP73" s="36"/>
      <c r="AQ73" s="37"/>
      <c r="AR73" s="32"/>
      <c r="AS73" s="25" t="s">
        <v>86</v>
      </c>
      <c r="AT73" s="27" t="s">
        <v>87</v>
      </c>
      <c r="AU73" s="27"/>
      <c r="AW73" s="25" t="s">
        <v>341</v>
      </c>
      <c r="AX73" s="27" t="s">
        <v>91</v>
      </c>
      <c r="AY73" s="27"/>
      <c r="AZ73" s="32"/>
      <c r="BA73" s="41"/>
    </row>
    <row r="74" spans="1:53" ht="16" thickBot="1" x14ac:dyDescent="0.25">
      <c r="A74" s="25">
        <v>58</v>
      </c>
      <c r="B74" s="26">
        <v>45483</v>
      </c>
      <c r="C74" s="27"/>
      <c r="D74" s="25"/>
      <c r="E74" s="28"/>
      <c r="F74" s="27"/>
      <c r="G74" s="28"/>
      <c r="H74" s="27"/>
      <c r="I74" s="28"/>
      <c r="J74" s="27">
        <v>8</v>
      </c>
      <c r="K74" s="29" t="s">
        <v>35</v>
      </c>
      <c r="L74" s="39"/>
      <c r="M74" s="31"/>
      <c r="N74" s="27"/>
      <c r="P74" s="32"/>
      <c r="Q74" s="25"/>
      <c r="R74" s="27"/>
      <c r="S74" s="27"/>
      <c r="T74" s="28"/>
      <c r="U74" s="27"/>
      <c r="V74" s="27" t="s">
        <v>154</v>
      </c>
      <c r="W74" s="28"/>
      <c r="X74" s="33"/>
      <c r="Y74" s="32"/>
      <c r="Z74" s="25"/>
      <c r="AA74" s="27"/>
      <c r="AB74" s="28"/>
      <c r="AC74" s="27"/>
      <c r="AD74" s="27"/>
      <c r="AE74" s="33"/>
      <c r="AG74" s="25"/>
      <c r="AH74" s="34"/>
      <c r="AI74" s="27"/>
      <c r="AJ74" s="27"/>
      <c r="AK74" s="27"/>
      <c r="AL74" s="25"/>
      <c r="AM74" s="34"/>
      <c r="AN74" s="27"/>
      <c r="AO74" s="27"/>
      <c r="AP74" s="36"/>
      <c r="AQ74" s="37"/>
      <c r="AR74" s="32"/>
      <c r="AS74" s="25" t="s">
        <v>86</v>
      </c>
      <c r="AT74" s="27" t="s">
        <v>87</v>
      </c>
      <c r="AU74" s="27"/>
      <c r="AW74" s="25" t="s">
        <v>90</v>
      </c>
      <c r="AX74" s="27" t="s">
        <v>91</v>
      </c>
      <c r="AY74" s="89" t="s">
        <v>94</v>
      </c>
      <c r="AZ74" s="32"/>
      <c r="BA74" s="41"/>
    </row>
    <row r="75" spans="1:53" ht="16" thickBot="1" x14ac:dyDescent="0.25">
      <c r="A75" s="25">
        <v>59</v>
      </c>
      <c r="B75" s="26">
        <v>45484</v>
      </c>
      <c r="C75" s="27"/>
      <c r="D75" s="25"/>
      <c r="E75" s="28"/>
      <c r="F75" s="27"/>
      <c r="G75" s="28"/>
      <c r="H75" s="27"/>
      <c r="I75" s="28"/>
      <c r="J75" s="27">
        <v>8</v>
      </c>
      <c r="K75" s="29" t="s">
        <v>35</v>
      </c>
      <c r="L75" s="39"/>
      <c r="M75" s="31"/>
      <c r="N75" s="27"/>
      <c r="P75" s="32"/>
      <c r="Q75" s="25"/>
      <c r="R75" s="27"/>
      <c r="S75" s="27"/>
      <c r="T75" s="28"/>
      <c r="U75" s="27"/>
      <c r="V75" s="27" t="s">
        <v>154</v>
      </c>
      <c r="W75" s="28"/>
      <c r="X75" s="33"/>
      <c r="Y75" s="32"/>
      <c r="Z75" s="25"/>
      <c r="AA75" s="27"/>
      <c r="AB75" s="28"/>
      <c r="AC75" s="27"/>
      <c r="AD75" s="27"/>
      <c r="AE75" s="33"/>
      <c r="AG75" s="25"/>
      <c r="AH75" s="34"/>
      <c r="AI75" s="27"/>
      <c r="AJ75" s="27"/>
      <c r="AK75" s="27"/>
      <c r="AL75" s="25"/>
      <c r="AM75" s="34"/>
      <c r="AN75" s="27"/>
      <c r="AO75" s="27"/>
      <c r="AP75" s="36"/>
      <c r="AQ75" s="37"/>
      <c r="AR75" s="32"/>
      <c r="AS75" s="25" t="s">
        <v>86</v>
      </c>
      <c r="AT75" s="27" t="s">
        <v>87</v>
      </c>
      <c r="AU75" s="27"/>
      <c r="AW75" s="25" t="s">
        <v>90</v>
      </c>
      <c r="AX75" s="27" t="s">
        <v>95</v>
      </c>
      <c r="AY75" s="27"/>
      <c r="AZ75" s="32"/>
      <c r="BA75" s="41"/>
    </row>
    <row r="76" spans="1:53" ht="16" thickBot="1" x14ac:dyDescent="0.25">
      <c r="A76" s="25">
        <v>60</v>
      </c>
      <c r="B76" s="26">
        <v>45485</v>
      </c>
      <c r="C76" s="27"/>
      <c r="D76" s="25"/>
      <c r="E76" s="28"/>
      <c r="F76" s="27"/>
      <c r="G76" s="28"/>
      <c r="H76" s="27"/>
      <c r="I76" s="28"/>
      <c r="J76" s="27">
        <v>8</v>
      </c>
      <c r="K76" s="29" t="s">
        <v>35</v>
      </c>
      <c r="L76" s="39"/>
      <c r="M76" s="31"/>
      <c r="N76" s="27"/>
      <c r="P76" s="32"/>
      <c r="Q76" s="25"/>
      <c r="R76" s="27"/>
      <c r="S76" s="27"/>
      <c r="T76" s="28"/>
      <c r="U76" s="27"/>
      <c r="V76" s="27" t="s">
        <v>154</v>
      </c>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58" t="s">
        <v>97</v>
      </c>
      <c r="AW76" s="25" t="s">
        <v>90</v>
      </c>
      <c r="AX76" s="27" t="s">
        <v>95</v>
      </c>
      <c r="AY76" s="27"/>
      <c r="AZ76" s="32"/>
      <c r="BA76" s="41"/>
    </row>
    <row r="77" spans="1:53" x14ac:dyDescent="0.2">
      <c r="A77" s="25">
        <v>61</v>
      </c>
      <c r="B77" s="26">
        <v>45486</v>
      </c>
      <c r="C77" s="27"/>
      <c r="D77" s="25"/>
      <c r="E77" s="28"/>
      <c r="F77" s="27"/>
      <c r="G77" s="28"/>
      <c r="H77" s="27"/>
      <c r="I77" s="28"/>
      <c r="J77" s="27">
        <v>8</v>
      </c>
      <c r="K77" s="29" t="s">
        <v>35</v>
      </c>
      <c r="L77" s="39"/>
      <c r="M77" s="31"/>
      <c r="N77" s="27"/>
      <c r="P77" s="32"/>
      <c r="Q77" s="25"/>
      <c r="R77" s="27"/>
      <c r="S77" s="27"/>
      <c r="T77" s="28"/>
      <c r="U77" s="27"/>
      <c r="V77" s="27" t="s">
        <v>154</v>
      </c>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62</v>
      </c>
      <c r="B78" s="26">
        <v>45487</v>
      </c>
      <c r="C78" s="27"/>
      <c r="D78" s="25"/>
      <c r="E78" s="28"/>
      <c r="F78" s="27"/>
      <c r="G78" s="28"/>
      <c r="H78" s="27"/>
      <c r="I78" s="28"/>
      <c r="J78" s="27">
        <v>8</v>
      </c>
      <c r="K78" s="29" t="s">
        <v>35</v>
      </c>
      <c r="L78" s="39"/>
      <c r="M78" s="31"/>
      <c r="N78" s="27"/>
      <c r="P78" s="32"/>
      <c r="Q78" s="25"/>
      <c r="R78" s="27"/>
      <c r="S78" s="27"/>
      <c r="T78" s="28"/>
      <c r="U78" s="27"/>
      <c r="V78" s="27" t="s">
        <v>154</v>
      </c>
      <c r="W78" s="28"/>
      <c r="X78" s="33"/>
      <c r="Y78" s="32"/>
      <c r="Z78" s="25"/>
      <c r="AA78" s="27"/>
      <c r="AB78" s="28"/>
      <c r="AC78" s="27"/>
      <c r="AD78" s="27"/>
      <c r="AE78" s="33"/>
      <c r="AG78" s="25"/>
      <c r="AH78" s="34"/>
      <c r="AI78" s="27"/>
      <c r="AJ78" s="27"/>
      <c r="AK78" s="27"/>
      <c r="AL78" s="25"/>
      <c r="AM78" s="34"/>
      <c r="AN78" s="27"/>
      <c r="AO78" s="27"/>
      <c r="AP78" s="36"/>
      <c r="AQ78" s="37"/>
      <c r="AR78" s="32"/>
      <c r="AS78" s="25" t="s">
        <v>96</v>
      </c>
      <c r="AT78" s="27" t="s">
        <v>87</v>
      </c>
      <c r="AU78" s="27"/>
      <c r="AW78" s="25" t="s">
        <v>90</v>
      </c>
      <c r="AX78" s="27" t="s">
        <v>95</v>
      </c>
      <c r="AY78" s="27"/>
      <c r="AZ78" s="32"/>
      <c r="BA78" s="41"/>
    </row>
    <row r="79" spans="1:53" x14ac:dyDescent="0.2">
      <c r="A79" s="25">
        <v>63</v>
      </c>
      <c r="B79" s="26">
        <v>45488</v>
      </c>
      <c r="C79" s="27"/>
      <c r="D79" s="25"/>
      <c r="E79" s="28"/>
      <c r="F79" s="27"/>
      <c r="G79" s="28"/>
      <c r="H79" s="27"/>
      <c r="I79" s="28"/>
      <c r="J79" s="27">
        <v>8</v>
      </c>
      <c r="K79" s="29" t="s">
        <v>35</v>
      </c>
      <c r="L79" s="39"/>
      <c r="M79" s="31"/>
      <c r="N79" s="27"/>
      <c r="P79" s="32"/>
      <c r="Q79" s="25"/>
      <c r="R79" s="27"/>
      <c r="S79" s="27"/>
      <c r="T79" s="28"/>
      <c r="U79" s="27"/>
      <c r="V79" s="27" t="s">
        <v>154</v>
      </c>
      <c r="W79" s="28"/>
      <c r="X79" s="33"/>
      <c r="Y79" s="32"/>
      <c r="Z79" s="25"/>
      <c r="AA79" s="27"/>
      <c r="AB79" s="28"/>
      <c r="AC79" s="27"/>
      <c r="AD79" s="27"/>
      <c r="AE79" s="33"/>
      <c r="AG79" s="25"/>
      <c r="AH79" s="34"/>
      <c r="AI79" s="27"/>
      <c r="AJ79" s="27"/>
      <c r="AK79" s="27"/>
      <c r="AL79" s="25"/>
      <c r="AM79" s="34"/>
      <c r="AN79" s="27"/>
      <c r="AO79" s="27"/>
      <c r="AP79" s="36"/>
      <c r="AQ79" s="37"/>
      <c r="AR79" s="32"/>
      <c r="AS79" s="25" t="s">
        <v>96</v>
      </c>
      <c r="AT79" s="27" t="s">
        <v>87</v>
      </c>
      <c r="AU79" s="27"/>
      <c r="AW79" s="25" t="s">
        <v>90</v>
      </c>
      <c r="AX79" s="27" t="s">
        <v>95</v>
      </c>
      <c r="AY79" s="27"/>
      <c r="AZ79" s="32"/>
      <c r="BA79" s="41"/>
    </row>
    <row r="80" spans="1:53" x14ac:dyDescent="0.2">
      <c r="A80" s="25">
        <v>64</v>
      </c>
      <c r="B80" s="26">
        <v>45489</v>
      </c>
      <c r="C80" s="27"/>
      <c r="D80" s="25"/>
      <c r="E80" s="28"/>
      <c r="F80" s="27"/>
      <c r="G80" s="28"/>
      <c r="H80" s="27"/>
      <c r="I80" s="28"/>
      <c r="J80" s="27">
        <v>8</v>
      </c>
      <c r="K80" s="29" t="s">
        <v>35</v>
      </c>
      <c r="L80" s="39"/>
      <c r="M80" s="31"/>
      <c r="N80" s="27"/>
      <c r="P80" s="32"/>
      <c r="Q80" s="25"/>
      <c r="R80" s="27"/>
      <c r="S80" s="27"/>
      <c r="T80" s="28"/>
      <c r="U80" s="27"/>
      <c r="V80" s="27" t="s">
        <v>154</v>
      </c>
      <c r="W80" s="28"/>
      <c r="X80" s="33"/>
      <c r="Y80" s="32"/>
      <c r="Z80" s="25"/>
      <c r="AA80" s="27"/>
      <c r="AB80" s="28"/>
      <c r="AC80" s="27"/>
      <c r="AD80" s="27"/>
      <c r="AE80" s="33"/>
      <c r="AG80" s="25"/>
      <c r="AH80" s="34"/>
      <c r="AI80" s="27"/>
      <c r="AJ80" s="27"/>
      <c r="AK80" s="27"/>
      <c r="AL80" s="25"/>
      <c r="AM80" s="34"/>
      <c r="AN80" s="27"/>
      <c r="AO80" s="27"/>
      <c r="AP80" s="36"/>
      <c r="AQ80" s="37"/>
      <c r="AR80" s="32"/>
      <c r="AS80" s="25" t="s">
        <v>96</v>
      </c>
      <c r="AT80" s="27" t="s">
        <v>87</v>
      </c>
      <c r="AU80" s="27"/>
      <c r="AW80" s="25" t="s">
        <v>90</v>
      </c>
      <c r="AX80" s="27" t="s">
        <v>95</v>
      </c>
      <c r="AY80" s="27"/>
      <c r="AZ80" s="32"/>
      <c r="BA80" s="41"/>
    </row>
    <row r="81" spans="1:53" x14ac:dyDescent="0.2">
      <c r="A81" s="25">
        <v>65</v>
      </c>
      <c r="B81" s="26">
        <v>45490</v>
      </c>
      <c r="C81" s="27"/>
      <c r="D81" s="25"/>
      <c r="E81" s="28"/>
      <c r="F81" s="27"/>
      <c r="G81" s="28"/>
      <c r="H81" s="27"/>
      <c r="I81" s="28"/>
      <c r="J81" s="27">
        <v>8</v>
      </c>
      <c r="K81" s="29" t="s">
        <v>35</v>
      </c>
      <c r="L81" s="39"/>
      <c r="M81" s="31"/>
      <c r="N81" s="27"/>
      <c r="P81" s="32"/>
      <c r="Q81" s="25"/>
      <c r="R81" s="27"/>
      <c r="S81" s="27"/>
      <c r="T81" s="28"/>
      <c r="U81" s="27"/>
      <c r="V81" s="27" t="s">
        <v>154</v>
      </c>
      <c r="W81" s="28"/>
      <c r="X81" s="33"/>
      <c r="Y81" s="32"/>
      <c r="Z81" s="25"/>
      <c r="AA81" s="27"/>
      <c r="AB81" s="28"/>
      <c r="AC81" s="27"/>
      <c r="AD81" s="27"/>
      <c r="AE81" s="33"/>
      <c r="AG81" s="25"/>
      <c r="AH81" s="34"/>
      <c r="AI81" s="27"/>
      <c r="AJ81" s="27"/>
      <c r="AK81" s="27"/>
      <c r="AL81" s="25"/>
      <c r="AM81" s="34"/>
      <c r="AN81" s="27"/>
      <c r="AO81" s="27"/>
      <c r="AP81" s="36"/>
      <c r="AQ81" s="37"/>
      <c r="AR81" s="32"/>
      <c r="AS81" s="25" t="s">
        <v>96</v>
      </c>
      <c r="AT81" s="27" t="s">
        <v>87</v>
      </c>
      <c r="AU81" s="27"/>
      <c r="AW81" s="25" t="s">
        <v>90</v>
      </c>
      <c r="AX81" s="27" t="s">
        <v>95</v>
      </c>
      <c r="AY81" s="27"/>
      <c r="AZ81" s="32"/>
      <c r="BA81" s="41"/>
    </row>
    <row r="82" spans="1:53" x14ac:dyDescent="0.2">
      <c r="A82" s="25">
        <v>66</v>
      </c>
      <c r="B82" s="26">
        <v>45491</v>
      </c>
      <c r="C82" s="27"/>
      <c r="D82" s="25"/>
      <c r="E82" s="28"/>
      <c r="F82" s="27"/>
      <c r="G82" s="28"/>
      <c r="H82" s="27"/>
      <c r="I82" s="28"/>
      <c r="J82" s="27">
        <v>8</v>
      </c>
      <c r="K82" s="29" t="s">
        <v>35</v>
      </c>
      <c r="L82" s="39"/>
      <c r="M82" s="31"/>
      <c r="N82" s="27"/>
      <c r="P82" s="32"/>
      <c r="Q82" s="25"/>
      <c r="R82" s="27"/>
      <c r="S82" s="27"/>
      <c r="T82" s="28"/>
      <c r="U82" s="27"/>
      <c r="V82" s="27" t="s">
        <v>154</v>
      </c>
      <c r="W82" s="28"/>
      <c r="X82" s="33"/>
      <c r="Y82" s="32"/>
      <c r="Z82" s="25"/>
      <c r="AA82" s="27"/>
      <c r="AB82" s="28"/>
      <c r="AC82" s="27"/>
      <c r="AD82" s="27"/>
      <c r="AE82" s="33"/>
      <c r="AG82" s="25"/>
      <c r="AH82" s="34"/>
      <c r="AI82" s="27"/>
      <c r="AJ82" s="27"/>
      <c r="AK82" s="27"/>
      <c r="AL82" s="25"/>
      <c r="AM82" s="34"/>
      <c r="AN82" s="27"/>
      <c r="AO82" s="27"/>
      <c r="AP82" s="36"/>
      <c r="AQ82" s="37"/>
      <c r="AR82" s="32"/>
      <c r="AS82" s="25" t="s">
        <v>96</v>
      </c>
      <c r="AT82" s="27" t="s">
        <v>87</v>
      </c>
      <c r="AU82" s="27"/>
      <c r="AW82" s="25" t="s">
        <v>90</v>
      </c>
      <c r="AX82" s="27" t="s">
        <v>95</v>
      </c>
      <c r="AY82" s="27"/>
      <c r="AZ82" s="32"/>
      <c r="BA82" s="41"/>
    </row>
    <row r="83" spans="1:53" x14ac:dyDescent="0.2">
      <c r="A83" s="25">
        <v>67</v>
      </c>
      <c r="B83" s="26">
        <v>45492</v>
      </c>
      <c r="C83" s="27"/>
      <c r="D83" s="25"/>
      <c r="E83" s="28"/>
      <c r="F83" s="27"/>
      <c r="G83" s="28"/>
      <c r="H83" s="27"/>
      <c r="I83" s="28"/>
      <c r="J83" s="27">
        <v>8</v>
      </c>
      <c r="K83" s="29" t="s">
        <v>35</v>
      </c>
      <c r="L83" s="39"/>
      <c r="M83" s="31"/>
      <c r="N83" s="27"/>
      <c r="P83" s="32"/>
      <c r="Q83" s="25"/>
      <c r="R83" s="27"/>
      <c r="S83" s="27"/>
      <c r="T83" s="28"/>
      <c r="U83" s="27"/>
      <c r="V83" s="27" t="s">
        <v>154</v>
      </c>
      <c r="W83" s="28"/>
      <c r="X83" s="33"/>
      <c r="Y83" s="32"/>
      <c r="Z83" s="25"/>
      <c r="AA83" s="27"/>
      <c r="AB83" s="28"/>
      <c r="AC83" s="27"/>
      <c r="AD83" s="27"/>
      <c r="AE83" s="33"/>
      <c r="AG83" s="25"/>
      <c r="AH83" s="34"/>
      <c r="AI83" s="27"/>
      <c r="AJ83" s="27"/>
      <c r="AK83" s="27"/>
      <c r="AL83" s="25"/>
      <c r="AM83" s="34"/>
      <c r="AN83" s="27"/>
      <c r="AO83" s="27"/>
      <c r="AP83" s="36"/>
      <c r="AQ83" s="37"/>
      <c r="AR83" s="32"/>
      <c r="AS83" s="25" t="s">
        <v>96</v>
      </c>
      <c r="AT83" s="27" t="s">
        <v>87</v>
      </c>
      <c r="AU83" s="27"/>
      <c r="AW83" s="25" t="s">
        <v>90</v>
      </c>
      <c r="AX83" s="27" t="s">
        <v>95</v>
      </c>
      <c r="AY83" s="27"/>
      <c r="AZ83" s="32"/>
      <c r="BA83" s="41"/>
    </row>
    <row r="84" spans="1:53" x14ac:dyDescent="0.2">
      <c r="A84" s="25">
        <v>68</v>
      </c>
      <c r="B84" s="26">
        <v>45493</v>
      </c>
      <c r="C84" s="27"/>
      <c r="D84" s="25"/>
      <c r="E84" s="28"/>
      <c r="F84" s="27"/>
      <c r="G84" s="28"/>
      <c r="H84" s="27"/>
      <c r="I84" s="28"/>
      <c r="J84" s="27">
        <v>8</v>
      </c>
      <c r="K84" s="29" t="s">
        <v>35</v>
      </c>
      <c r="L84" s="39"/>
      <c r="M84" s="31"/>
      <c r="N84" s="27"/>
      <c r="P84" s="32"/>
      <c r="Q84" s="25"/>
      <c r="R84" s="27"/>
      <c r="S84" s="27"/>
      <c r="T84" s="28"/>
      <c r="U84" s="27"/>
      <c r="V84" s="27"/>
      <c r="W84" s="28"/>
      <c r="X84" s="33"/>
      <c r="Y84" s="32"/>
      <c r="Z84" s="25"/>
      <c r="AA84" s="27"/>
      <c r="AB84" s="28"/>
      <c r="AC84" s="27"/>
      <c r="AD84" s="27"/>
      <c r="AE84" s="33"/>
      <c r="AG84" s="25"/>
      <c r="AH84" s="34"/>
      <c r="AI84" s="27"/>
      <c r="AJ84" s="27"/>
      <c r="AK84" s="27"/>
      <c r="AL84" s="25"/>
      <c r="AM84" s="34"/>
      <c r="AN84" s="27"/>
      <c r="AO84" s="27"/>
      <c r="AP84" s="36"/>
      <c r="AQ84" s="37"/>
      <c r="AR84" s="32"/>
      <c r="AS84" s="25" t="s">
        <v>96</v>
      </c>
      <c r="AT84" s="27" t="s">
        <v>87</v>
      </c>
      <c r="AU84" s="27"/>
      <c r="AW84" s="25" t="s">
        <v>90</v>
      </c>
      <c r="AX84" s="27" t="s">
        <v>95</v>
      </c>
      <c r="AY84" s="27"/>
      <c r="AZ84" s="32"/>
      <c r="BA84" s="41"/>
    </row>
    <row r="85" spans="1:53" x14ac:dyDescent="0.2">
      <c r="A85" s="25">
        <v>69</v>
      </c>
      <c r="B85" s="26">
        <v>45494</v>
      </c>
      <c r="C85" s="27"/>
      <c r="D85" s="25"/>
      <c r="E85" s="28"/>
      <c r="F85" s="27"/>
      <c r="G85" s="28"/>
      <c r="H85" s="27"/>
      <c r="I85" s="28"/>
      <c r="J85" s="27">
        <v>8</v>
      </c>
      <c r="K85" s="29" t="s">
        <v>35</v>
      </c>
      <c r="L85" s="39"/>
      <c r="M85" s="31"/>
      <c r="N85" s="27"/>
      <c r="P85" s="32"/>
      <c r="Q85" s="25"/>
      <c r="R85" s="27"/>
      <c r="S85" s="27"/>
      <c r="T85" s="28"/>
      <c r="U85" s="27"/>
      <c r="V85" s="27"/>
      <c r="W85" s="28"/>
      <c r="X85" s="33"/>
      <c r="Y85" s="32"/>
      <c r="Z85" s="25"/>
      <c r="AA85" s="27"/>
      <c r="AB85" s="28"/>
      <c r="AC85" s="27"/>
      <c r="AD85" s="27"/>
      <c r="AE85" s="33"/>
      <c r="AG85" s="25"/>
      <c r="AH85" s="34"/>
      <c r="AI85" s="27"/>
      <c r="AJ85" s="27"/>
      <c r="AK85" s="27"/>
      <c r="AL85" s="25"/>
      <c r="AM85" s="34"/>
      <c r="AN85" s="27"/>
      <c r="AO85" s="27"/>
      <c r="AP85" s="36"/>
      <c r="AQ85" s="37"/>
      <c r="AR85" s="32"/>
      <c r="AS85" s="25" t="s">
        <v>96</v>
      </c>
      <c r="AT85" s="27" t="s">
        <v>87</v>
      </c>
      <c r="AU85" s="27"/>
      <c r="AW85" s="25" t="s">
        <v>90</v>
      </c>
      <c r="AX85" s="27" t="s">
        <v>95</v>
      </c>
      <c r="AY85" s="27"/>
      <c r="AZ85" s="32"/>
      <c r="BA85" s="41"/>
    </row>
    <row r="86" spans="1:53" x14ac:dyDescent="0.2">
      <c r="A86" s="25">
        <v>70</v>
      </c>
      <c r="B86" s="26">
        <v>45495</v>
      </c>
      <c r="C86" s="27"/>
      <c r="D86" s="25"/>
      <c r="E86" s="28"/>
      <c r="F86" s="27"/>
      <c r="G86" s="28"/>
      <c r="H86" s="27"/>
      <c r="I86" s="28"/>
      <c r="J86" s="27">
        <v>8</v>
      </c>
      <c r="K86" s="29" t="s">
        <v>35</v>
      </c>
      <c r="L86" s="39"/>
      <c r="M86" s="31"/>
      <c r="N86" s="27"/>
      <c r="P86" s="32"/>
      <c r="Q86" s="25"/>
      <c r="R86" s="27"/>
      <c r="S86" s="27"/>
      <c r="T86" s="28"/>
      <c r="U86" s="27"/>
      <c r="V86" s="27"/>
      <c r="W86" s="28"/>
      <c r="X86" s="33"/>
      <c r="Y86" s="32"/>
      <c r="Z86" s="25"/>
      <c r="AA86" s="27"/>
      <c r="AB86" s="28"/>
      <c r="AC86" s="27"/>
      <c r="AD86" s="27"/>
      <c r="AE86" s="33"/>
      <c r="AG86" s="25"/>
      <c r="AH86" s="34"/>
      <c r="AI86" s="27"/>
      <c r="AJ86" s="27"/>
      <c r="AK86" s="27"/>
      <c r="AL86" s="25"/>
      <c r="AM86" s="34"/>
      <c r="AN86" s="27"/>
      <c r="AO86" s="27"/>
      <c r="AP86" s="36"/>
      <c r="AQ86" s="37"/>
      <c r="AR86" s="32"/>
      <c r="AS86" s="25" t="s">
        <v>96</v>
      </c>
      <c r="AT86" s="27" t="s">
        <v>87</v>
      </c>
      <c r="AU86" s="27"/>
      <c r="AW86" s="25" t="s">
        <v>90</v>
      </c>
      <c r="AX86" s="27" t="s">
        <v>95</v>
      </c>
      <c r="AY86" s="27"/>
      <c r="AZ86" s="32"/>
      <c r="BA86" s="41"/>
    </row>
    <row r="87" spans="1:53" x14ac:dyDescent="0.2">
      <c r="A87" s="25">
        <v>71</v>
      </c>
      <c r="B87" s="26">
        <v>45496</v>
      </c>
      <c r="C87" s="27"/>
      <c r="D87" s="25"/>
      <c r="E87" s="28"/>
      <c r="F87" s="27"/>
      <c r="G87" s="28"/>
      <c r="H87" s="27"/>
      <c r="I87" s="28"/>
      <c r="J87" s="27">
        <v>8</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S87" s="25" t="s">
        <v>96</v>
      </c>
      <c r="AT87" s="27" t="s">
        <v>87</v>
      </c>
      <c r="AU87" s="27"/>
      <c r="AW87" s="25" t="s">
        <v>90</v>
      </c>
      <c r="AX87" s="27" t="s">
        <v>95</v>
      </c>
      <c r="AY87" s="27"/>
      <c r="AZ87" s="32"/>
      <c r="BA87" s="41"/>
    </row>
    <row r="88" spans="1:53" x14ac:dyDescent="0.2">
      <c r="A88" s="25">
        <v>72</v>
      </c>
      <c r="B88" s="26">
        <v>45497</v>
      </c>
      <c r="C88" s="27"/>
      <c r="D88" s="25"/>
      <c r="E88" s="28"/>
      <c r="F88" s="27"/>
      <c r="G88" s="28"/>
      <c r="H88" s="27"/>
      <c r="I88" s="28"/>
      <c r="J88" s="27">
        <v>8</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S88" s="25" t="s">
        <v>96</v>
      </c>
      <c r="AT88" s="27" t="s">
        <v>87</v>
      </c>
      <c r="AU88" s="27"/>
      <c r="AW88" s="25" t="s">
        <v>90</v>
      </c>
      <c r="AX88" s="27" t="s">
        <v>95</v>
      </c>
      <c r="AY88" s="27"/>
      <c r="AZ88" s="32"/>
      <c r="BA88" s="41"/>
    </row>
    <row r="89" spans="1:53" x14ac:dyDescent="0.2">
      <c r="A89" s="25">
        <v>73</v>
      </c>
      <c r="B89" s="26">
        <v>45498</v>
      </c>
      <c r="C89" s="27"/>
      <c r="D89" s="25"/>
      <c r="E89" s="28"/>
      <c r="F89" s="27"/>
      <c r="G89" s="28"/>
      <c r="H89" s="27"/>
      <c r="I89" s="28"/>
      <c r="J89" s="27">
        <v>8</v>
      </c>
      <c r="K89" s="29" t="s">
        <v>35</v>
      </c>
      <c r="L89" s="173"/>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S89" s="25" t="s">
        <v>96</v>
      </c>
      <c r="AT89" s="27" t="s">
        <v>87</v>
      </c>
      <c r="AU89" s="27"/>
      <c r="AW89" s="25" t="s">
        <v>90</v>
      </c>
      <c r="AX89" s="27" t="s">
        <v>95</v>
      </c>
      <c r="AY89" s="27"/>
      <c r="AZ89" s="32"/>
      <c r="BA89" s="41"/>
    </row>
    <row r="90" spans="1:53" x14ac:dyDescent="0.2">
      <c r="A90" s="25">
        <v>74</v>
      </c>
      <c r="B90" s="26">
        <v>45499</v>
      </c>
      <c r="C90" s="27"/>
      <c r="D90" s="25"/>
      <c r="E90" s="28"/>
      <c r="F90" s="27"/>
      <c r="G90" s="28"/>
      <c r="H90" s="27"/>
      <c r="I90" s="28"/>
      <c r="J90" s="27">
        <v>8</v>
      </c>
      <c r="K90" s="29" t="s">
        <v>35</v>
      </c>
      <c r="L90" s="173"/>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S90" s="25" t="s">
        <v>96</v>
      </c>
      <c r="AT90" s="27" t="s">
        <v>87</v>
      </c>
      <c r="AU90" s="27"/>
      <c r="AW90" s="25" t="s">
        <v>90</v>
      </c>
      <c r="AX90" s="27" t="s">
        <v>95</v>
      </c>
      <c r="AY90" s="27"/>
      <c r="AZ90" s="32"/>
      <c r="BA90" s="41"/>
    </row>
    <row r="91" spans="1:53" x14ac:dyDescent="0.2">
      <c r="A91" s="25">
        <v>75</v>
      </c>
      <c r="B91" s="26">
        <v>45500</v>
      </c>
      <c r="C91" s="27"/>
      <c r="D91" s="25"/>
      <c r="E91" s="28"/>
      <c r="F91" s="27"/>
      <c r="G91" s="28"/>
      <c r="H91" s="27"/>
      <c r="I91" s="28"/>
      <c r="J91" s="27">
        <v>8</v>
      </c>
      <c r="K91" s="29" t="s">
        <v>35</v>
      </c>
      <c r="L91" s="173"/>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t="s">
        <v>96</v>
      </c>
      <c r="AT91" s="27" t="s">
        <v>87</v>
      </c>
      <c r="AU91" s="27"/>
      <c r="AW91" s="25" t="s">
        <v>90</v>
      </c>
      <c r="AX91" s="27" t="s">
        <v>95</v>
      </c>
      <c r="AY91" s="27"/>
      <c r="AZ91" s="32"/>
      <c r="BA91" s="41"/>
    </row>
    <row r="92" spans="1:53" x14ac:dyDescent="0.2">
      <c r="A92" s="25">
        <v>76</v>
      </c>
      <c r="B92" s="26">
        <v>45501</v>
      </c>
      <c r="C92" s="27"/>
      <c r="D92" s="25"/>
      <c r="E92" s="28"/>
      <c r="F92" s="27"/>
      <c r="G92" s="28"/>
      <c r="H92" s="27"/>
      <c r="I92" s="28"/>
      <c r="J92" s="27">
        <v>8</v>
      </c>
      <c r="K92" s="29" t="s">
        <v>35</v>
      </c>
      <c r="L92" s="173"/>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t="s">
        <v>96</v>
      </c>
      <c r="AT92" s="27" t="s">
        <v>87</v>
      </c>
      <c r="AU92" s="27"/>
      <c r="AW92" s="25" t="s">
        <v>90</v>
      </c>
      <c r="AX92" s="27" t="s">
        <v>95</v>
      </c>
      <c r="AY92" s="27"/>
      <c r="AZ92" s="32"/>
      <c r="BA92" s="41"/>
    </row>
    <row r="93" spans="1:53" x14ac:dyDescent="0.2">
      <c r="A93" s="25">
        <v>77</v>
      </c>
      <c r="B93" s="26">
        <v>45502</v>
      </c>
      <c r="C93" s="27"/>
      <c r="D93" s="25"/>
      <c r="E93" s="28"/>
      <c r="F93" s="27"/>
      <c r="G93" s="28"/>
      <c r="H93" s="27"/>
      <c r="I93" s="28"/>
      <c r="J93" s="27">
        <v>8</v>
      </c>
      <c r="K93" s="29" t="s">
        <v>35</v>
      </c>
      <c r="L93" s="173"/>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t="s">
        <v>96</v>
      </c>
      <c r="AT93" s="27" t="s">
        <v>87</v>
      </c>
      <c r="AU93" s="27"/>
      <c r="AW93" s="25" t="s">
        <v>90</v>
      </c>
      <c r="AX93" s="27" t="s">
        <v>95</v>
      </c>
      <c r="AY93" s="27"/>
      <c r="AZ93" s="32"/>
      <c r="BA93" s="41"/>
    </row>
    <row r="94" spans="1:53" x14ac:dyDescent="0.2">
      <c r="A94" s="25">
        <v>78</v>
      </c>
      <c r="B94" s="26">
        <v>45503</v>
      </c>
      <c r="C94" s="27"/>
      <c r="D94" s="25"/>
      <c r="E94" s="28"/>
      <c r="F94" s="27"/>
      <c r="G94" s="28"/>
      <c r="H94" s="27"/>
      <c r="I94" s="28"/>
      <c r="J94" s="27">
        <v>8</v>
      </c>
      <c r="K94" s="29" t="s">
        <v>35</v>
      </c>
      <c r="L94" s="173"/>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t="s">
        <v>96</v>
      </c>
      <c r="AT94" s="27" t="s">
        <v>87</v>
      </c>
      <c r="AU94" s="27"/>
      <c r="AW94" s="25" t="s">
        <v>90</v>
      </c>
      <c r="AX94" s="27" t="s">
        <v>95</v>
      </c>
      <c r="AY94" s="27"/>
      <c r="AZ94" s="32"/>
      <c r="BA94" s="41"/>
    </row>
    <row r="95" spans="1:53" x14ac:dyDescent="0.2">
      <c r="A95" s="25">
        <v>79</v>
      </c>
      <c r="B95" s="26">
        <v>45504</v>
      </c>
      <c r="C95" s="27"/>
      <c r="D95" s="25"/>
      <c r="E95" s="28"/>
      <c r="F95" s="27"/>
      <c r="G95" s="28"/>
      <c r="H95" s="27"/>
      <c r="I95" s="28"/>
      <c r="J95" s="27">
        <v>8</v>
      </c>
      <c r="K95" s="29" t="s">
        <v>35</v>
      </c>
      <c r="L95" s="173"/>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t="s">
        <v>96</v>
      </c>
      <c r="AT95" s="27" t="s">
        <v>87</v>
      </c>
      <c r="AU95" s="27"/>
      <c r="AW95" s="25" t="s">
        <v>90</v>
      </c>
      <c r="AX95" s="27" t="s">
        <v>95</v>
      </c>
      <c r="AY95" s="27"/>
      <c r="AZ95" s="32"/>
      <c r="BA95" s="41"/>
    </row>
    <row r="96" spans="1:53" x14ac:dyDescent="0.2">
      <c r="A96" s="25">
        <v>80</v>
      </c>
      <c r="B96" s="26">
        <v>45505</v>
      </c>
      <c r="C96" s="27"/>
      <c r="D96" s="25"/>
      <c r="E96" s="28"/>
      <c r="F96" s="27"/>
      <c r="G96" s="28"/>
      <c r="H96" s="27"/>
      <c r="I96" s="28"/>
      <c r="J96" s="27">
        <v>8</v>
      </c>
      <c r="K96" s="29" t="s">
        <v>35</v>
      </c>
      <c r="L96" s="173"/>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t="s">
        <v>96</v>
      </c>
      <c r="AT96" s="27" t="s">
        <v>87</v>
      </c>
      <c r="AU96" s="27"/>
      <c r="AW96" s="25" t="s">
        <v>90</v>
      </c>
      <c r="AX96" s="27" t="s">
        <v>95</v>
      </c>
      <c r="AY96" s="27"/>
      <c r="AZ96" s="32"/>
      <c r="BA96" s="41"/>
    </row>
    <row r="97" spans="1:53" x14ac:dyDescent="0.2">
      <c r="A97" s="25">
        <v>81</v>
      </c>
      <c r="B97" s="26">
        <v>45506</v>
      </c>
      <c r="C97" s="27"/>
      <c r="D97" s="25"/>
      <c r="E97" s="28"/>
      <c r="F97" s="27"/>
      <c r="G97" s="28"/>
      <c r="H97" s="27"/>
      <c r="I97" s="28"/>
      <c r="J97" s="27">
        <v>8</v>
      </c>
      <c r="K97" s="29" t="s">
        <v>35</v>
      </c>
      <c r="L97" s="173"/>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t="s">
        <v>96</v>
      </c>
      <c r="AT97" s="27" t="s">
        <v>87</v>
      </c>
      <c r="AU97" s="27"/>
      <c r="AW97" s="25" t="s">
        <v>90</v>
      </c>
      <c r="AX97" s="27" t="s">
        <v>95</v>
      </c>
      <c r="AY97" s="27"/>
      <c r="AZ97" s="32"/>
      <c r="BA97" s="41"/>
    </row>
    <row r="98" spans="1:53" x14ac:dyDescent="0.2">
      <c r="A98" s="25">
        <v>82</v>
      </c>
      <c r="B98" s="26">
        <v>45507</v>
      </c>
      <c r="C98" s="27"/>
      <c r="D98" s="25"/>
      <c r="E98" s="28"/>
      <c r="F98" s="27"/>
      <c r="G98" s="28"/>
      <c r="H98" s="27"/>
      <c r="I98" s="28"/>
      <c r="J98" s="27">
        <v>8</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c r="AO98" s="27"/>
      <c r="AP98" s="36"/>
      <c r="AQ98" s="37"/>
      <c r="AR98" s="32"/>
      <c r="AS98" s="25" t="s">
        <v>96</v>
      </c>
      <c r="AT98" s="27" t="s">
        <v>87</v>
      </c>
      <c r="AU98" s="27"/>
      <c r="AW98" s="25" t="s">
        <v>90</v>
      </c>
      <c r="AX98" s="27" t="s">
        <v>95</v>
      </c>
      <c r="AY98" s="27"/>
      <c r="AZ98" s="32"/>
      <c r="BA98" s="41"/>
    </row>
    <row r="99" spans="1:53" x14ac:dyDescent="0.2">
      <c r="A99" s="25">
        <v>83</v>
      </c>
      <c r="B99" s="26">
        <v>45508</v>
      </c>
      <c r="C99" s="27"/>
      <c r="D99" s="25"/>
      <c r="E99" s="28"/>
      <c r="F99" s="27"/>
      <c r="G99" s="28"/>
      <c r="H99" s="27"/>
      <c r="I99" s="28"/>
      <c r="J99" s="27">
        <v>8</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c r="AO99" s="27"/>
      <c r="AP99" s="36"/>
      <c r="AQ99" s="37"/>
      <c r="AR99" s="32"/>
      <c r="AS99" s="25" t="s">
        <v>96</v>
      </c>
      <c r="AT99" s="27" t="s">
        <v>87</v>
      </c>
      <c r="AU99" s="27"/>
      <c r="AW99" s="25" t="s">
        <v>90</v>
      </c>
      <c r="AX99" s="27" t="s">
        <v>95</v>
      </c>
      <c r="AY99" s="27"/>
      <c r="AZ99" s="32"/>
      <c r="BA99" s="41"/>
    </row>
    <row r="100" spans="1:53" x14ac:dyDescent="0.2">
      <c r="A100" s="25">
        <v>84</v>
      </c>
      <c r="B100" s="26">
        <v>45509</v>
      </c>
      <c r="C100" s="27"/>
      <c r="D100" s="25"/>
      <c r="E100" s="28"/>
      <c r="F100" s="27"/>
      <c r="G100" s="28"/>
      <c r="H100" s="27"/>
      <c r="I100" s="28"/>
      <c r="J100" s="27">
        <v>8</v>
      </c>
      <c r="K100" s="29" t="s">
        <v>35</v>
      </c>
      <c r="L100" s="39"/>
      <c r="M100" s="31"/>
      <c r="N100" s="27"/>
      <c r="P100" s="32"/>
      <c r="Q100" s="25"/>
      <c r="R100" s="27"/>
      <c r="S100" s="27"/>
      <c r="T100" s="28"/>
      <c r="U100" s="27"/>
      <c r="V100" s="27"/>
      <c r="W100" s="28"/>
      <c r="X100" s="33"/>
      <c r="Y100" s="32"/>
      <c r="Z100" s="25"/>
      <c r="AA100" s="27"/>
      <c r="AB100" s="28"/>
      <c r="AC100" s="27"/>
      <c r="AD100" s="27"/>
      <c r="AE100" s="33"/>
      <c r="AF100" s="32"/>
      <c r="AG100" s="90"/>
      <c r="AH100" s="91"/>
      <c r="AI100" s="27"/>
      <c r="AJ100" s="27"/>
      <c r="AK100" s="28"/>
      <c r="AL100" s="27"/>
      <c r="AM100" s="27"/>
      <c r="AN100" s="27"/>
      <c r="AO100" s="27"/>
      <c r="AP100" s="36"/>
      <c r="AQ100" s="37"/>
      <c r="AR100" s="32"/>
      <c r="AS100" s="25" t="s">
        <v>96</v>
      </c>
      <c r="AT100" s="27" t="s">
        <v>87</v>
      </c>
      <c r="AU100" s="27"/>
      <c r="AW100" s="25" t="s">
        <v>90</v>
      </c>
      <c r="AX100" s="27" t="s">
        <v>95</v>
      </c>
      <c r="AY100" s="27"/>
      <c r="AZ100" s="32"/>
      <c r="BA100" s="41"/>
    </row>
    <row r="101" spans="1:53" x14ac:dyDescent="0.2">
      <c r="A101" s="25">
        <v>85</v>
      </c>
      <c r="B101" s="26">
        <v>45510</v>
      </c>
      <c r="C101" s="27"/>
      <c r="D101" s="25"/>
      <c r="E101" s="28"/>
      <c r="F101" s="27"/>
      <c r="G101" s="28"/>
      <c r="H101" s="27"/>
      <c r="I101" s="28"/>
      <c r="J101" s="27">
        <v>8</v>
      </c>
      <c r="K101" s="29" t="s">
        <v>35</v>
      </c>
      <c r="L101" s="39"/>
      <c r="M101" s="31"/>
      <c r="N101" s="27"/>
      <c r="P101" s="32"/>
      <c r="Q101" s="25"/>
      <c r="R101" s="27"/>
      <c r="S101" s="27"/>
      <c r="T101" s="28"/>
      <c r="U101" s="27"/>
      <c r="V101" s="27"/>
      <c r="W101" s="28"/>
      <c r="X101" s="33"/>
      <c r="Y101" s="32"/>
      <c r="Z101" s="25"/>
      <c r="AA101" s="27"/>
      <c r="AB101" s="28"/>
      <c r="AC101" s="27"/>
      <c r="AD101" s="27"/>
      <c r="AE101" s="33"/>
      <c r="AF101" s="32"/>
      <c r="AG101" s="90"/>
      <c r="AH101" s="91"/>
      <c r="AI101" s="27"/>
      <c r="AJ101" s="27"/>
      <c r="AK101" s="28"/>
      <c r="AL101" s="27"/>
      <c r="AM101" s="27"/>
      <c r="AN101" s="27"/>
      <c r="AO101" s="27"/>
      <c r="AP101" s="36"/>
      <c r="AQ101" s="37"/>
      <c r="AR101" s="32"/>
      <c r="AS101" s="25" t="s">
        <v>96</v>
      </c>
      <c r="AT101" s="27" t="s">
        <v>87</v>
      </c>
      <c r="AU101" s="27"/>
      <c r="AW101" s="25" t="s">
        <v>90</v>
      </c>
      <c r="AX101" s="27" t="s">
        <v>95</v>
      </c>
      <c r="AY101" s="27"/>
      <c r="AZ101" s="32"/>
      <c r="BA101" s="41"/>
    </row>
    <row r="102" spans="1:53" x14ac:dyDescent="0.2">
      <c r="A102" s="25">
        <v>86</v>
      </c>
      <c r="B102" s="26">
        <v>45511</v>
      </c>
      <c r="C102" s="27"/>
      <c r="D102" s="25"/>
      <c r="E102" s="28"/>
      <c r="F102" s="27"/>
      <c r="G102" s="28"/>
      <c r="H102" s="27"/>
      <c r="I102" s="28"/>
      <c r="J102" s="27">
        <v>8</v>
      </c>
      <c r="K102" s="29" t="s">
        <v>35</v>
      </c>
      <c r="L102" s="39"/>
      <c r="M102" s="31"/>
      <c r="N102" s="27"/>
      <c r="P102" s="32"/>
      <c r="Q102" s="25"/>
      <c r="R102" s="27"/>
      <c r="S102" s="27"/>
      <c r="T102" s="28"/>
      <c r="U102" s="27"/>
      <c r="V102" s="27"/>
      <c r="W102" s="28"/>
      <c r="X102" s="33"/>
      <c r="Y102" s="32"/>
      <c r="Z102" s="25"/>
      <c r="AA102" s="27"/>
      <c r="AB102" s="28"/>
      <c r="AC102" s="27"/>
      <c r="AD102" s="27"/>
      <c r="AE102" s="33"/>
      <c r="AF102" s="32"/>
      <c r="AG102" s="90"/>
      <c r="AH102" s="91"/>
      <c r="AI102" s="27"/>
      <c r="AJ102" s="27"/>
      <c r="AK102" s="28"/>
      <c r="AL102" s="27"/>
      <c r="AM102" s="27"/>
      <c r="AN102" s="27"/>
      <c r="AO102" s="27"/>
      <c r="AP102" s="36"/>
      <c r="AQ102" s="37"/>
      <c r="AR102" s="32"/>
      <c r="AS102" s="25" t="s">
        <v>96</v>
      </c>
      <c r="AT102" s="27" t="s">
        <v>87</v>
      </c>
      <c r="AU102" s="27"/>
      <c r="AW102" s="25" t="s">
        <v>90</v>
      </c>
      <c r="AX102" s="27" t="s">
        <v>95</v>
      </c>
      <c r="AY102" s="27"/>
      <c r="AZ102" s="32"/>
      <c r="BA102" s="41"/>
    </row>
    <row r="103" spans="1:53" x14ac:dyDescent="0.2">
      <c r="A103" s="25">
        <v>87</v>
      </c>
      <c r="B103" s="26">
        <v>45512</v>
      </c>
      <c r="C103" s="27"/>
      <c r="D103" s="25"/>
      <c r="E103" s="28"/>
      <c r="F103" s="27"/>
      <c r="G103" s="28"/>
      <c r="H103" s="27"/>
      <c r="I103" s="28"/>
      <c r="J103" s="27">
        <v>8</v>
      </c>
      <c r="K103" s="29" t="s">
        <v>35</v>
      </c>
      <c r="L103" s="39"/>
      <c r="M103" s="31"/>
      <c r="N103" s="27"/>
      <c r="P103" s="32"/>
      <c r="Q103" s="25"/>
      <c r="R103" s="27"/>
      <c r="S103" s="27"/>
      <c r="T103" s="28"/>
      <c r="U103" s="27"/>
      <c r="V103" s="27"/>
      <c r="W103" s="28"/>
      <c r="X103" s="33"/>
      <c r="Y103" s="32"/>
      <c r="Z103" s="25"/>
      <c r="AA103" s="27"/>
      <c r="AB103" s="28"/>
      <c r="AC103" s="27"/>
      <c r="AD103" s="27"/>
      <c r="AE103" s="33"/>
      <c r="AF103" s="32"/>
      <c r="AG103" s="90"/>
      <c r="AH103" s="91"/>
      <c r="AI103" s="27"/>
      <c r="AJ103" s="27"/>
      <c r="AK103" s="28"/>
      <c r="AL103" s="27"/>
      <c r="AM103" s="27"/>
      <c r="AN103" s="27"/>
      <c r="AO103" s="27"/>
      <c r="AP103" s="36"/>
      <c r="AQ103" s="37"/>
      <c r="AR103" s="32"/>
      <c r="AS103" s="25" t="s">
        <v>96</v>
      </c>
      <c r="AT103" s="27" t="s">
        <v>87</v>
      </c>
      <c r="AU103" s="27"/>
      <c r="AW103" s="25" t="s">
        <v>90</v>
      </c>
      <c r="AX103" s="27" t="s">
        <v>95</v>
      </c>
      <c r="AY103" s="27"/>
      <c r="AZ103" s="32"/>
      <c r="BA103" s="41"/>
    </row>
    <row r="104" spans="1:53" x14ac:dyDescent="0.2">
      <c r="A104" s="25">
        <v>88</v>
      </c>
      <c r="B104" s="26">
        <v>45513</v>
      </c>
      <c r="C104" s="27"/>
      <c r="D104" s="25"/>
      <c r="E104" s="28"/>
      <c r="F104" s="27"/>
      <c r="G104" s="28"/>
      <c r="H104" s="27"/>
      <c r="I104" s="28"/>
      <c r="J104" s="27">
        <v>8</v>
      </c>
      <c r="K104" s="29" t="s">
        <v>35</v>
      </c>
      <c r="L104" s="39"/>
      <c r="M104" s="31"/>
      <c r="N104" s="27"/>
      <c r="P104" s="32"/>
      <c r="Q104" s="25"/>
      <c r="R104" s="27"/>
      <c r="S104" s="27"/>
      <c r="T104" s="28"/>
      <c r="U104" s="27"/>
      <c r="V104" s="27"/>
      <c r="W104" s="28"/>
      <c r="X104" s="33"/>
      <c r="Y104" s="32"/>
      <c r="Z104" s="25"/>
      <c r="AA104" s="27"/>
      <c r="AB104" s="28"/>
      <c r="AC104" s="27"/>
      <c r="AD104" s="27"/>
      <c r="AE104" s="33"/>
      <c r="AF104" s="32"/>
      <c r="AG104" s="90"/>
      <c r="AH104" s="91"/>
      <c r="AI104" s="27"/>
      <c r="AJ104" s="27"/>
      <c r="AK104" s="28"/>
      <c r="AL104" s="27"/>
      <c r="AM104" s="27"/>
      <c r="AN104" s="27"/>
      <c r="AO104" s="27"/>
      <c r="AP104" s="36"/>
      <c r="AQ104" s="37"/>
      <c r="AR104" s="32"/>
      <c r="AS104" s="25" t="s">
        <v>96</v>
      </c>
      <c r="AT104" s="27" t="s">
        <v>87</v>
      </c>
      <c r="AU104" s="27"/>
      <c r="AW104" s="25" t="s">
        <v>90</v>
      </c>
      <c r="AX104" s="27" t="s">
        <v>95</v>
      </c>
      <c r="AY104" s="27"/>
      <c r="AZ104" s="32"/>
      <c r="BA104" s="41"/>
    </row>
    <row r="105" spans="1:53" x14ac:dyDescent="0.2">
      <c r="A105" s="25">
        <v>89</v>
      </c>
      <c r="B105" s="26">
        <v>45514</v>
      </c>
      <c r="C105" s="27"/>
      <c r="D105" s="25"/>
      <c r="E105" s="28"/>
      <c r="F105" s="27"/>
      <c r="G105" s="28"/>
      <c r="H105" s="27"/>
      <c r="I105" s="28"/>
      <c r="J105" s="27">
        <v>8</v>
      </c>
      <c r="K105" s="29" t="s">
        <v>35</v>
      </c>
      <c r="L105" s="39"/>
      <c r="M105" s="31"/>
      <c r="N105" s="27"/>
      <c r="P105" s="32"/>
      <c r="Q105" s="25"/>
      <c r="R105" s="27"/>
      <c r="S105" s="27"/>
      <c r="T105" s="28"/>
      <c r="U105" s="27"/>
      <c r="V105" s="27"/>
      <c r="W105" s="28"/>
      <c r="X105" s="33"/>
      <c r="Y105" s="32"/>
      <c r="Z105" s="25"/>
      <c r="AA105" s="27"/>
      <c r="AB105" s="28"/>
      <c r="AC105" s="27"/>
      <c r="AD105" s="27"/>
      <c r="AE105" s="33"/>
      <c r="AF105" s="32"/>
      <c r="AG105" s="90"/>
      <c r="AH105" s="91"/>
      <c r="AI105" s="27"/>
      <c r="AJ105" s="27"/>
      <c r="AK105" s="28"/>
      <c r="AL105" s="27"/>
      <c r="AM105" s="27"/>
      <c r="AN105" s="27"/>
      <c r="AO105" s="27"/>
      <c r="AP105" s="36"/>
      <c r="AQ105" s="37"/>
      <c r="AR105" s="32"/>
      <c r="AS105" s="25" t="s">
        <v>96</v>
      </c>
      <c r="AT105" s="27" t="s">
        <v>87</v>
      </c>
      <c r="AU105" s="27"/>
      <c r="AW105" s="25" t="s">
        <v>90</v>
      </c>
      <c r="AX105" s="27" t="s">
        <v>95</v>
      </c>
      <c r="AY105" s="27"/>
      <c r="AZ105" s="32"/>
      <c r="BA105" s="41"/>
    </row>
    <row r="106" spans="1:53" x14ac:dyDescent="0.2">
      <c r="A106" s="25">
        <v>90</v>
      </c>
      <c r="B106" s="26">
        <v>45515</v>
      </c>
      <c r="C106" s="27"/>
      <c r="D106" s="25"/>
      <c r="E106" s="28"/>
      <c r="F106" s="27"/>
      <c r="G106" s="28"/>
      <c r="H106" s="27"/>
      <c r="I106" s="28"/>
      <c r="J106" s="27">
        <v>8</v>
      </c>
      <c r="K106" s="29" t="s">
        <v>35</v>
      </c>
      <c r="L106" s="39"/>
      <c r="M106" s="31"/>
      <c r="N106" s="27"/>
      <c r="P106" s="32"/>
      <c r="Q106" s="25"/>
      <c r="R106" s="27"/>
      <c r="S106" s="27"/>
      <c r="T106" s="28"/>
      <c r="U106" s="27"/>
      <c r="V106" s="27"/>
      <c r="W106" s="28"/>
      <c r="X106" s="33"/>
      <c r="Y106" s="32"/>
      <c r="Z106" s="25"/>
      <c r="AA106" s="27"/>
      <c r="AB106" s="28"/>
      <c r="AC106" s="27"/>
      <c r="AD106" s="27"/>
      <c r="AE106" s="33"/>
      <c r="AF106" s="32"/>
      <c r="AG106" s="90"/>
      <c r="AH106" s="91"/>
      <c r="AI106" s="27"/>
      <c r="AJ106" s="27"/>
      <c r="AK106" s="28"/>
      <c r="AL106" s="27"/>
      <c r="AM106" s="27"/>
      <c r="AN106" s="27"/>
      <c r="AO106" s="27"/>
      <c r="AP106" s="36"/>
      <c r="AQ106" s="37"/>
      <c r="AR106" s="32"/>
      <c r="AS106" s="25" t="s">
        <v>96</v>
      </c>
      <c r="AT106" s="27" t="s">
        <v>87</v>
      </c>
      <c r="AU106" s="27"/>
      <c r="AW106" s="25" t="s">
        <v>90</v>
      </c>
      <c r="AX106" s="27" t="s">
        <v>95</v>
      </c>
      <c r="AY106" s="27"/>
      <c r="AZ106" s="32"/>
      <c r="BA106" s="41"/>
    </row>
    <row r="107" spans="1:53" x14ac:dyDescent="0.2">
      <c r="A107" s="25">
        <v>91</v>
      </c>
      <c r="B107" s="26">
        <v>45516</v>
      </c>
      <c r="C107" s="27"/>
      <c r="AS107" s="25" t="s">
        <v>96</v>
      </c>
      <c r="AT107" s="27" t="s">
        <v>87</v>
      </c>
      <c r="AU107" s="27"/>
      <c r="AW107" s="25" t="s">
        <v>90</v>
      </c>
      <c r="AX107" s="27" t="s">
        <v>95</v>
      </c>
    </row>
    <row r="108" spans="1:53" x14ac:dyDescent="0.2">
      <c r="A108" s="25">
        <v>92</v>
      </c>
      <c r="B108" s="26">
        <v>45517</v>
      </c>
      <c r="C108" s="27"/>
      <c r="AS108" s="25" t="s">
        <v>96</v>
      </c>
      <c r="AT108" s="27" t="s">
        <v>87</v>
      </c>
      <c r="AU108" s="27"/>
      <c r="AW108" s="25" t="s">
        <v>90</v>
      </c>
      <c r="AX108" s="27" t="s">
        <v>95</v>
      </c>
    </row>
    <row r="109" spans="1:53" x14ac:dyDescent="0.2">
      <c r="A109" s="25">
        <v>93</v>
      </c>
      <c r="B109" s="26">
        <v>45518</v>
      </c>
      <c r="C109" s="27"/>
      <c r="AS109" s="25" t="s">
        <v>96</v>
      </c>
      <c r="AT109" s="27" t="s">
        <v>87</v>
      </c>
      <c r="AU109" s="27"/>
      <c r="AW109" s="25" t="s">
        <v>90</v>
      </c>
      <c r="AX109" s="27" t="s">
        <v>95</v>
      </c>
    </row>
    <row r="110" spans="1:53" x14ac:dyDescent="0.2">
      <c r="A110" s="25">
        <v>94</v>
      </c>
      <c r="B110" s="26">
        <v>45519</v>
      </c>
      <c r="C110" s="27"/>
      <c r="AS110" s="25" t="s">
        <v>96</v>
      </c>
      <c r="AT110" s="27" t="s">
        <v>87</v>
      </c>
      <c r="AU110" s="27"/>
      <c r="AW110" s="25" t="s">
        <v>90</v>
      </c>
      <c r="AX110" s="27" t="s">
        <v>95</v>
      </c>
    </row>
    <row r="111" spans="1:53" x14ac:dyDescent="0.2">
      <c r="A111" s="25">
        <v>95</v>
      </c>
      <c r="B111" s="26">
        <v>45520</v>
      </c>
      <c r="C111" s="27"/>
      <c r="AS111" s="25" t="s">
        <v>96</v>
      </c>
      <c r="AT111" s="27" t="s">
        <v>87</v>
      </c>
      <c r="AU111" s="27"/>
      <c r="AW111" s="25" t="s">
        <v>90</v>
      </c>
      <c r="AX111" s="27" t="s">
        <v>95</v>
      </c>
    </row>
    <row r="112" spans="1:53" x14ac:dyDescent="0.2">
      <c r="A112" s="25">
        <v>96</v>
      </c>
      <c r="B112" s="26">
        <v>45521</v>
      </c>
      <c r="C112" s="27"/>
      <c r="AS112" s="25" t="s">
        <v>96</v>
      </c>
      <c r="AT112" s="27" t="s">
        <v>87</v>
      </c>
      <c r="AU112" s="27"/>
      <c r="AW112" s="25" t="s">
        <v>90</v>
      </c>
      <c r="AX112" s="27" t="s">
        <v>95</v>
      </c>
      <c r="BA112">
        <v>0</v>
      </c>
    </row>
    <row r="113" spans="1:53" x14ac:dyDescent="0.2">
      <c r="A113" s="25">
        <v>97</v>
      </c>
      <c r="B113" s="26">
        <v>45522</v>
      </c>
      <c r="C113" s="27"/>
      <c r="AS113" s="25" t="s">
        <v>96</v>
      </c>
      <c r="AT113" s="27" t="s">
        <v>87</v>
      </c>
      <c r="AU113" s="27"/>
      <c r="AW113" s="25" t="s">
        <v>90</v>
      </c>
      <c r="AX113" s="27" t="s">
        <v>95</v>
      </c>
    </row>
    <row r="114" spans="1:53" x14ac:dyDescent="0.2">
      <c r="A114" s="25">
        <v>98</v>
      </c>
      <c r="B114" s="26">
        <v>45523</v>
      </c>
      <c r="C114" s="27"/>
      <c r="K114" s="172"/>
      <c r="AS114" s="25" t="s">
        <v>96</v>
      </c>
      <c r="AT114" s="27" t="s">
        <v>87</v>
      </c>
      <c r="AU114" s="27"/>
      <c r="AW114" s="25" t="s">
        <v>90</v>
      </c>
      <c r="AX114" s="27" t="s">
        <v>95</v>
      </c>
      <c r="BA114">
        <v>0</v>
      </c>
    </row>
    <row r="115" spans="1:53" x14ac:dyDescent="0.2">
      <c r="A115" s="25">
        <v>99</v>
      </c>
      <c r="B115" s="26">
        <v>45524</v>
      </c>
      <c r="AS115" s="25" t="s">
        <v>96</v>
      </c>
      <c r="AT115" s="27" t="s">
        <v>87</v>
      </c>
      <c r="AU115" s="27"/>
      <c r="AW115" s="25" t="s">
        <v>90</v>
      </c>
      <c r="AX115" s="27" t="s">
        <v>95</v>
      </c>
    </row>
    <row r="116" spans="1:53" x14ac:dyDescent="0.2">
      <c r="A116" s="25">
        <v>100</v>
      </c>
      <c r="B116" s="26">
        <v>45525</v>
      </c>
      <c r="C116" s="27"/>
      <c r="AS116" s="25" t="s">
        <v>96</v>
      </c>
      <c r="AT116" s="27" t="s">
        <v>87</v>
      </c>
      <c r="AU116" s="27"/>
      <c r="AW116" s="25" t="s">
        <v>90</v>
      </c>
      <c r="AX116" s="27" t="s">
        <v>95</v>
      </c>
    </row>
    <row r="117" spans="1:53" x14ac:dyDescent="0.2">
      <c r="A117" s="25">
        <v>101</v>
      </c>
      <c r="B117" s="26">
        <v>45526</v>
      </c>
      <c r="C117" s="27"/>
      <c r="AS117" s="25" t="s">
        <v>96</v>
      </c>
      <c r="AT117" s="27" t="s">
        <v>87</v>
      </c>
      <c r="AU117" s="27"/>
      <c r="AW117" s="25" t="s">
        <v>90</v>
      </c>
      <c r="AX117" s="27" t="s">
        <v>95</v>
      </c>
    </row>
    <row r="118" spans="1:53" x14ac:dyDescent="0.2">
      <c r="A118" s="25">
        <v>102</v>
      </c>
      <c r="B118" s="26">
        <v>45527</v>
      </c>
      <c r="C118" s="27"/>
      <c r="AS118" s="25" t="s">
        <v>96</v>
      </c>
      <c r="AT118" s="27" t="s">
        <v>87</v>
      </c>
      <c r="AU118" s="27"/>
      <c r="AW118" s="25" t="s">
        <v>90</v>
      </c>
      <c r="AX118" s="27" t="s">
        <v>95</v>
      </c>
    </row>
    <row r="119" spans="1:53" x14ac:dyDescent="0.2">
      <c r="A119" s="25">
        <v>103</v>
      </c>
      <c r="B119" s="26">
        <v>45528</v>
      </c>
      <c r="C119" s="27"/>
      <c r="AS119" s="25" t="s">
        <v>96</v>
      </c>
      <c r="AT119" s="27" t="s">
        <v>87</v>
      </c>
      <c r="AU119" s="27"/>
      <c r="AW119" s="25" t="s">
        <v>90</v>
      </c>
      <c r="AX119" s="27" t="s">
        <v>95</v>
      </c>
    </row>
    <row r="120" spans="1:53" x14ac:dyDescent="0.2">
      <c r="A120" s="25">
        <v>104</v>
      </c>
      <c r="B120" s="26">
        <v>45529</v>
      </c>
      <c r="C120" s="27"/>
      <c r="AS120" s="25" t="s">
        <v>96</v>
      </c>
      <c r="AT120" s="27" t="s">
        <v>87</v>
      </c>
      <c r="AU120" s="27"/>
      <c r="AW120" s="25" t="s">
        <v>90</v>
      </c>
      <c r="AX120" s="27" t="s">
        <v>95</v>
      </c>
    </row>
    <row r="121" spans="1:53" x14ac:dyDescent="0.2">
      <c r="A121" s="25">
        <v>105</v>
      </c>
      <c r="B121" s="26">
        <v>45530</v>
      </c>
      <c r="C121" s="27"/>
      <c r="AS121" s="25" t="s">
        <v>96</v>
      </c>
      <c r="AT121" s="27" t="s">
        <v>87</v>
      </c>
      <c r="AU121" s="27"/>
      <c r="AW121" s="25" t="s">
        <v>90</v>
      </c>
      <c r="AX121" s="27" t="s">
        <v>95</v>
      </c>
    </row>
    <row r="122" spans="1:53" x14ac:dyDescent="0.2">
      <c r="A122" s="25">
        <v>106</v>
      </c>
      <c r="B122" s="26"/>
    </row>
    <row r="123" spans="1:53" x14ac:dyDescent="0.2">
      <c r="A123" s="25">
        <v>107</v>
      </c>
      <c r="B123" s="26"/>
      <c r="C123" s="27"/>
    </row>
    <row r="124" spans="1:53" x14ac:dyDescent="0.2">
      <c r="A124" s="25">
        <v>108</v>
      </c>
      <c r="B124" s="26"/>
      <c r="C124" s="27"/>
    </row>
    <row r="125" spans="1:53" x14ac:dyDescent="0.2">
      <c r="A125" s="25">
        <v>109</v>
      </c>
      <c r="B125" s="26"/>
      <c r="C125" s="27"/>
    </row>
    <row r="126" spans="1:53" x14ac:dyDescent="0.2">
      <c r="A126" s="25">
        <v>110</v>
      </c>
      <c r="B126" s="26"/>
      <c r="C126" s="27"/>
    </row>
    <row r="127" spans="1:53" x14ac:dyDescent="0.2">
      <c r="A127" s="25">
        <v>111</v>
      </c>
      <c r="B127" s="26"/>
      <c r="C127" s="27"/>
    </row>
    <row r="128" spans="1:53" s="173" customFormat="1" x14ac:dyDescent="0.2">
      <c r="A128" s="173">
        <v>112</v>
      </c>
      <c r="B128" s="26"/>
    </row>
    <row r="129" spans="1:3" x14ac:dyDescent="0.2">
      <c r="A129" s="25">
        <v>113</v>
      </c>
      <c r="B129" s="26"/>
      <c r="C129" s="27"/>
    </row>
    <row r="130" spans="1:3" x14ac:dyDescent="0.2">
      <c r="A130" s="25">
        <v>114</v>
      </c>
      <c r="B130" s="26"/>
      <c r="C130" s="27"/>
    </row>
    <row r="131" spans="1:3" x14ac:dyDescent="0.2">
      <c r="A131" s="25">
        <v>115</v>
      </c>
      <c r="B131" s="26"/>
      <c r="C131" s="27"/>
    </row>
  </sheetData>
  <mergeCells count="52">
    <mergeCell ref="X20:X27"/>
    <mergeCell ref="AV13:AV15"/>
    <mergeCell ref="AW13:AW15"/>
    <mergeCell ref="AG13:AG14"/>
    <mergeCell ref="X13:X15"/>
    <mergeCell ref="O36:O56"/>
    <mergeCell ref="AR13:AR15"/>
    <mergeCell ref="AS13:AS15"/>
    <mergeCell ref="AT13:AT15"/>
    <mergeCell ref="AU13:AU15"/>
    <mergeCell ref="AH13:AH15"/>
    <mergeCell ref="AI13:AK14"/>
    <mergeCell ref="AL13:AL15"/>
    <mergeCell ref="AM13:AM14"/>
    <mergeCell ref="AN13:AP14"/>
    <mergeCell ref="AQ13:AQ15"/>
    <mergeCell ref="Y13:Y15"/>
    <mergeCell ref="Z13:AB14"/>
    <mergeCell ref="AC13:AD14"/>
    <mergeCell ref="AE13:AE15"/>
    <mergeCell ref="AF13:AF15"/>
    <mergeCell ref="H13:I14"/>
    <mergeCell ref="J13:J15"/>
    <mergeCell ref="K13:K15"/>
    <mergeCell ref="L13:L15"/>
    <mergeCell ref="M13:M15"/>
    <mergeCell ref="N13:N15"/>
    <mergeCell ref="AS10:AV12"/>
    <mergeCell ref="AW10:AZ12"/>
    <mergeCell ref="BA10:BA12"/>
    <mergeCell ref="AG12:AK12"/>
    <mergeCell ref="AM12:AP12"/>
    <mergeCell ref="AG10:AP11"/>
    <mergeCell ref="O13:O15"/>
    <mergeCell ref="P13:P15"/>
    <mergeCell ref="Q13:Q15"/>
    <mergeCell ref="R13:T14"/>
    <mergeCell ref="U13:W14"/>
    <mergeCell ref="AX13:AX15"/>
    <mergeCell ref="AY13:AY15"/>
    <mergeCell ref="AZ13:AZ15"/>
    <mergeCell ref="BA13:BA15"/>
    <mergeCell ref="A13:A15"/>
    <mergeCell ref="B13:B15"/>
    <mergeCell ref="C13:C15"/>
    <mergeCell ref="D13:E14"/>
    <mergeCell ref="F13:G14"/>
    <mergeCell ref="A10:C12"/>
    <mergeCell ref="D10:M12"/>
    <mergeCell ref="N10:P12"/>
    <mergeCell ref="Q10:Y12"/>
    <mergeCell ref="Z10:AF12"/>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6926E-CD19-42CA-B12B-945302CE0BCC}">
  <dimension ref="A1:BA123"/>
  <sheetViews>
    <sheetView topLeftCell="A55" zoomScale="85" zoomScaleNormal="85" workbookViewId="0">
      <pane xSplit="1" topLeftCell="B1" activePane="topRight" state="frozen"/>
      <selection pane="topRight" activeCell="C111" sqref="C111"/>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3.1640625" bestFit="1"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ht="16" thickBot="1" x14ac:dyDescent="0.25">
      <c r="A1" t="s">
        <v>305</v>
      </c>
    </row>
    <row r="2" spans="1:53" ht="23" x14ac:dyDescent="0.2">
      <c r="A2" s="209" t="s">
        <v>0</v>
      </c>
      <c r="B2" s="210"/>
      <c r="C2" s="210"/>
      <c r="D2" s="215" t="s">
        <v>1</v>
      </c>
      <c r="E2" s="215"/>
      <c r="F2" s="215"/>
      <c r="G2" s="215"/>
      <c r="H2" s="215"/>
      <c r="I2" s="215"/>
      <c r="J2" s="215"/>
      <c r="K2" s="215"/>
      <c r="L2" s="215"/>
      <c r="M2" s="215"/>
      <c r="N2" s="218" t="s">
        <v>2</v>
      </c>
      <c r="O2" s="218"/>
      <c r="P2" s="219"/>
      <c r="Q2" s="224" t="s">
        <v>3</v>
      </c>
      <c r="R2" s="225"/>
      <c r="S2" s="225"/>
      <c r="T2" s="225"/>
      <c r="U2" s="225"/>
      <c r="V2" s="225"/>
      <c r="W2" s="225"/>
      <c r="X2" s="225"/>
      <c r="Y2" s="226"/>
      <c r="Z2" s="230" t="s">
        <v>4</v>
      </c>
      <c r="AA2" s="231"/>
      <c r="AB2" s="231"/>
      <c r="AC2" s="231"/>
      <c r="AD2" s="231"/>
      <c r="AE2" s="231"/>
      <c r="AF2" s="232"/>
      <c r="AG2" s="271" t="s">
        <v>5</v>
      </c>
      <c r="AH2" s="271"/>
      <c r="AI2" s="271"/>
      <c r="AJ2" s="271"/>
      <c r="AK2" s="271"/>
      <c r="AL2" s="271"/>
      <c r="AM2" s="271"/>
      <c r="AN2" s="271"/>
      <c r="AO2" s="271"/>
      <c r="AP2" s="271"/>
      <c r="AQ2" s="1"/>
      <c r="AR2" s="2"/>
      <c r="AS2" s="251" t="s">
        <v>6</v>
      </c>
      <c r="AT2" s="252"/>
      <c r="AU2" s="252"/>
      <c r="AV2" s="252"/>
      <c r="AW2" s="257" t="s">
        <v>7</v>
      </c>
      <c r="AX2" s="258"/>
      <c r="AY2" s="258"/>
      <c r="AZ2" s="259"/>
      <c r="BA2" s="266" t="s">
        <v>8</v>
      </c>
    </row>
    <row r="3" spans="1:53" ht="23" x14ac:dyDescent="0.2">
      <c r="A3" s="211"/>
      <c r="B3" s="212"/>
      <c r="C3" s="212"/>
      <c r="D3" s="216"/>
      <c r="E3" s="216"/>
      <c r="F3" s="216"/>
      <c r="G3" s="216"/>
      <c r="H3" s="216"/>
      <c r="I3" s="216"/>
      <c r="J3" s="216"/>
      <c r="K3" s="216"/>
      <c r="L3" s="216"/>
      <c r="M3" s="216"/>
      <c r="N3" s="220"/>
      <c r="O3" s="220"/>
      <c r="P3" s="221"/>
      <c r="Q3" s="227"/>
      <c r="R3" s="228"/>
      <c r="S3" s="228"/>
      <c r="T3" s="228"/>
      <c r="U3" s="228"/>
      <c r="V3" s="228"/>
      <c r="W3" s="228"/>
      <c r="X3" s="228"/>
      <c r="Y3" s="229"/>
      <c r="Z3" s="233"/>
      <c r="AA3" s="234"/>
      <c r="AB3" s="234"/>
      <c r="AC3" s="234"/>
      <c r="AD3" s="234"/>
      <c r="AE3" s="234"/>
      <c r="AF3" s="235"/>
      <c r="AG3" s="272"/>
      <c r="AH3" s="272"/>
      <c r="AI3" s="272"/>
      <c r="AJ3" s="272"/>
      <c r="AK3" s="272"/>
      <c r="AL3" s="272"/>
      <c r="AM3" s="272"/>
      <c r="AN3" s="272"/>
      <c r="AO3" s="272"/>
      <c r="AP3" s="272"/>
      <c r="AQ3" s="3"/>
      <c r="AR3" s="4"/>
      <c r="AS3" s="253"/>
      <c r="AT3" s="254"/>
      <c r="AU3" s="254"/>
      <c r="AV3" s="254"/>
      <c r="AW3" s="260"/>
      <c r="AX3" s="261"/>
      <c r="AY3" s="261"/>
      <c r="AZ3" s="262"/>
      <c r="BA3" s="267"/>
    </row>
    <row r="4" spans="1:53" ht="21" thickBot="1" x14ac:dyDescent="0.25">
      <c r="A4" s="213"/>
      <c r="B4" s="214"/>
      <c r="C4" s="214"/>
      <c r="D4" s="217"/>
      <c r="E4" s="217"/>
      <c r="F4" s="217"/>
      <c r="G4" s="217"/>
      <c r="H4" s="217"/>
      <c r="I4" s="217"/>
      <c r="J4" s="217"/>
      <c r="K4" s="217"/>
      <c r="L4" s="217"/>
      <c r="M4" s="217"/>
      <c r="N4" s="222"/>
      <c r="O4" s="222"/>
      <c r="P4" s="223"/>
      <c r="Q4" s="227"/>
      <c r="R4" s="228"/>
      <c r="S4" s="228"/>
      <c r="T4" s="228"/>
      <c r="U4" s="228"/>
      <c r="V4" s="228"/>
      <c r="W4" s="228"/>
      <c r="X4" s="228"/>
      <c r="Y4" s="229"/>
      <c r="Z4" s="233"/>
      <c r="AA4" s="234"/>
      <c r="AB4" s="234"/>
      <c r="AC4" s="234"/>
      <c r="AD4" s="234"/>
      <c r="AE4" s="234"/>
      <c r="AF4" s="235"/>
      <c r="AG4" s="269" t="s">
        <v>9</v>
      </c>
      <c r="AH4" s="269"/>
      <c r="AI4" s="269"/>
      <c r="AJ4" s="269"/>
      <c r="AK4" s="270"/>
      <c r="AL4" s="5"/>
      <c r="AM4" s="269" t="s">
        <v>10</v>
      </c>
      <c r="AN4" s="269"/>
      <c r="AO4" s="269"/>
      <c r="AP4" s="270"/>
      <c r="AQ4" s="6"/>
      <c r="AR4" s="7"/>
      <c r="AS4" s="255"/>
      <c r="AT4" s="256"/>
      <c r="AU4" s="256"/>
      <c r="AV4" s="256"/>
      <c r="AW4" s="263"/>
      <c r="AX4" s="264"/>
      <c r="AY4" s="264"/>
      <c r="AZ4" s="265"/>
      <c r="BA4" s="268"/>
    </row>
    <row r="5" spans="1:53" x14ac:dyDescent="0.2">
      <c r="A5" s="236" t="s">
        <v>11</v>
      </c>
      <c r="B5" s="239" t="s">
        <v>12</v>
      </c>
      <c r="C5" s="239" t="s">
        <v>13</v>
      </c>
      <c r="D5" s="242" t="s">
        <v>14</v>
      </c>
      <c r="E5" s="243"/>
      <c r="F5" s="246" t="s">
        <v>15</v>
      </c>
      <c r="G5" s="243"/>
      <c r="H5" s="292" t="s">
        <v>16</v>
      </c>
      <c r="I5" s="293"/>
      <c r="J5" s="296" t="s">
        <v>17</v>
      </c>
      <c r="K5" s="299" t="s">
        <v>18</v>
      </c>
      <c r="L5" s="292" t="s">
        <v>19</v>
      </c>
      <c r="M5" s="303" t="s">
        <v>20</v>
      </c>
      <c r="N5" s="248" t="s">
        <v>21</v>
      </c>
      <c r="O5" s="248" t="s">
        <v>19</v>
      </c>
      <c r="P5" s="248" t="s">
        <v>20</v>
      </c>
      <c r="Q5" s="273" t="s">
        <v>22</v>
      </c>
      <c r="R5" s="276" t="s">
        <v>23</v>
      </c>
      <c r="S5" s="276"/>
      <c r="T5" s="277"/>
      <c r="U5" s="280" t="s">
        <v>24</v>
      </c>
      <c r="V5" s="280"/>
      <c r="W5" s="281"/>
      <c r="X5" s="353" t="s">
        <v>19</v>
      </c>
      <c r="Y5" s="330" t="s">
        <v>20</v>
      </c>
      <c r="Z5" s="333" t="s">
        <v>23</v>
      </c>
      <c r="AA5" s="334"/>
      <c r="AB5" s="335"/>
      <c r="AC5" s="339" t="s">
        <v>24</v>
      </c>
      <c r="AD5" s="339"/>
      <c r="AE5" s="339" t="s">
        <v>19</v>
      </c>
      <c r="AF5" s="342" t="s">
        <v>20</v>
      </c>
      <c r="AG5" s="351" t="s">
        <v>25</v>
      </c>
      <c r="AH5" s="318" t="s">
        <v>26</v>
      </c>
      <c r="AI5" s="321" t="s">
        <v>24</v>
      </c>
      <c r="AJ5" s="321"/>
      <c r="AK5" s="321"/>
      <c r="AL5" s="323" t="s">
        <v>27</v>
      </c>
      <c r="AM5" s="325" t="s">
        <v>25</v>
      </c>
      <c r="AN5" s="321" t="s">
        <v>24</v>
      </c>
      <c r="AO5" s="321"/>
      <c r="AP5" s="309"/>
      <c r="AQ5" s="327" t="s">
        <v>19</v>
      </c>
      <c r="AR5" s="309" t="s">
        <v>20</v>
      </c>
      <c r="AS5" s="312" t="s">
        <v>28</v>
      </c>
      <c r="AT5" s="315" t="s">
        <v>29</v>
      </c>
      <c r="AU5" s="315" t="s">
        <v>19</v>
      </c>
      <c r="AV5" s="315" t="s">
        <v>20</v>
      </c>
      <c r="AW5" s="348" t="s">
        <v>30</v>
      </c>
      <c r="AX5" s="284" t="s">
        <v>29</v>
      </c>
      <c r="AY5" s="284" t="s">
        <v>19</v>
      </c>
      <c r="AZ5" s="287" t="s">
        <v>20</v>
      </c>
      <c r="BA5" s="290" t="s">
        <v>31</v>
      </c>
    </row>
    <row r="6" spans="1:53" x14ac:dyDescent="0.2">
      <c r="A6" s="237"/>
      <c r="B6" s="240"/>
      <c r="C6" s="240"/>
      <c r="D6" s="244"/>
      <c r="E6" s="245"/>
      <c r="F6" s="247"/>
      <c r="G6" s="245"/>
      <c r="H6" s="294"/>
      <c r="I6" s="295"/>
      <c r="J6" s="297"/>
      <c r="K6" s="300"/>
      <c r="L6" s="294"/>
      <c r="M6" s="304"/>
      <c r="N6" s="249"/>
      <c r="O6" s="249"/>
      <c r="P6" s="249"/>
      <c r="Q6" s="274"/>
      <c r="R6" s="278"/>
      <c r="S6" s="278"/>
      <c r="T6" s="279"/>
      <c r="U6" s="282"/>
      <c r="V6" s="282"/>
      <c r="W6" s="283"/>
      <c r="X6" s="354"/>
      <c r="Y6" s="331"/>
      <c r="Z6" s="336"/>
      <c r="AA6" s="337"/>
      <c r="AB6" s="338"/>
      <c r="AC6" s="340"/>
      <c r="AD6" s="340"/>
      <c r="AE6" s="340"/>
      <c r="AF6" s="343"/>
      <c r="AG6" s="352"/>
      <c r="AH6" s="319"/>
      <c r="AI6" s="322"/>
      <c r="AJ6" s="322"/>
      <c r="AK6" s="322"/>
      <c r="AL6" s="324"/>
      <c r="AM6" s="326"/>
      <c r="AN6" s="322"/>
      <c r="AO6" s="322"/>
      <c r="AP6" s="310"/>
      <c r="AQ6" s="328"/>
      <c r="AR6" s="310"/>
      <c r="AS6" s="313"/>
      <c r="AT6" s="316"/>
      <c r="AU6" s="316"/>
      <c r="AV6" s="316"/>
      <c r="AW6" s="349"/>
      <c r="AX6" s="285"/>
      <c r="AY6" s="285"/>
      <c r="AZ6" s="288"/>
      <c r="BA6" s="290"/>
    </row>
    <row r="7" spans="1:53" ht="16" thickBot="1" x14ac:dyDescent="0.25">
      <c r="A7" s="238"/>
      <c r="B7" s="241"/>
      <c r="C7" s="241"/>
      <c r="D7" s="8" t="s">
        <v>32</v>
      </c>
      <c r="E7" s="9" t="s">
        <v>33</v>
      </c>
      <c r="F7" s="10" t="s">
        <v>32</v>
      </c>
      <c r="G7" s="9" t="s">
        <v>33</v>
      </c>
      <c r="H7" s="11" t="s">
        <v>32</v>
      </c>
      <c r="I7" s="12" t="s">
        <v>33</v>
      </c>
      <c r="J7" s="298"/>
      <c r="K7" s="301"/>
      <c r="L7" s="302"/>
      <c r="M7" s="305"/>
      <c r="N7" s="250"/>
      <c r="O7" s="250"/>
      <c r="P7" s="250"/>
      <c r="Q7" s="275"/>
      <c r="R7" s="13" t="s">
        <v>32</v>
      </c>
      <c r="S7" s="13" t="s">
        <v>34</v>
      </c>
      <c r="T7" s="14" t="s">
        <v>33</v>
      </c>
      <c r="U7" s="15" t="s">
        <v>32</v>
      </c>
      <c r="V7" s="15" t="s">
        <v>34</v>
      </c>
      <c r="W7" s="16" t="s">
        <v>33</v>
      </c>
      <c r="X7" s="355"/>
      <c r="Y7" s="332"/>
      <c r="Z7" s="17" t="s">
        <v>32</v>
      </c>
      <c r="AA7" s="18" t="s">
        <v>34</v>
      </c>
      <c r="AB7" s="19" t="s">
        <v>33</v>
      </c>
      <c r="AC7" s="20" t="s">
        <v>32</v>
      </c>
      <c r="AD7" s="20" t="s">
        <v>34</v>
      </c>
      <c r="AE7" s="341"/>
      <c r="AF7" s="344"/>
      <c r="AG7" s="21" t="s">
        <v>34</v>
      </c>
      <c r="AH7" s="320"/>
      <c r="AI7" s="22" t="s">
        <v>32</v>
      </c>
      <c r="AJ7" s="22" t="s">
        <v>34</v>
      </c>
      <c r="AK7" s="22" t="s">
        <v>33</v>
      </c>
      <c r="AL7" s="324"/>
      <c r="AM7" s="23" t="s">
        <v>33</v>
      </c>
      <c r="AN7" s="22" t="s">
        <v>32</v>
      </c>
      <c r="AO7" s="22" t="s">
        <v>34</v>
      </c>
      <c r="AP7" s="24" t="s">
        <v>33</v>
      </c>
      <c r="AQ7" s="329"/>
      <c r="AR7" s="311"/>
      <c r="AS7" s="314"/>
      <c r="AT7" s="317"/>
      <c r="AU7" s="317"/>
      <c r="AV7" s="317"/>
      <c r="AW7" s="350"/>
      <c r="AX7" s="286"/>
      <c r="AY7" s="286"/>
      <c r="AZ7" s="289"/>
      <c r="BA7" s="291"/>
    </row>
    <row r="8" spans="1:53" ht="16" thickBot="1" x14ac:dyDescent="0.25">
      <c r="A8" s="25">
        <v>0</v>
      </c>
      <c r="B8" s="26">
        <v>45320</v>
      </c>
      <c r="C8" s="27" t="s">
        <v>232</v>
      </c>
      <c r="D8" s="25"/>
      <c r="E8" s="28"/>
      <c r="F8" s="27"/>
      <c r="G8" s="28"/>
      <c r="H8" s="27"/>
      <c r="I8" s="28"/>
      <c r="J8" s="27">
        <v>4</v>
      </c>
      <c r="K8" s="29" t="s">
        <v>35</v>
      </c>
      <c r="L8" s="30" t="s">
        <v>160</v>
      </c>
      <c r="M8" s="31"/>
      <c r="N8" s="27"/>
      <c r="P8" s="32"/>
      <c r="Q8" s="25"/>
      <c r="R8" s="27"/>
      <c r="S8" s="27"/>
      <c r="T8" s="28"/>
      <c r="U8" s="27"/>
      <c r="V8" s="27"/>
      <c r="W8" s="28"/>
      <c r="X8" s="33"/>
      <c r="Y8" s="32"/>
      <c r="Z8" s="25"/>
      <c r="AA8" s="27"/>
      <c r="AB8" s="28"/>
      <c r="AC8" s="27"/>
      <c r="AD8" s="27"/>
      <c r="AE8" s="33"/>
      <c r="AG8" s="25"/>
      <c r="AH8" s="34"/>
      <c r="AI8" s="27"/>
      <c r="AJ8" s="27"/>
      <c r="AK8" s="27"/>
      <c r="AL8" s="25"/>
      <c r="AM8" s="35"/>
      <c r="AN8" s="27"/>
      <c r="AO8" s="27"/>
      <c r="AP8" s="36"/>
      <c r="AQ8" s="37"/>
      <c r="AR8" s="32"/>
      <c r="AS8" s="25"/>
      <c r="AT8" s="27"/>
      <c r="AU8" s="27"/>
      <c r="AW8" s="25"/>
      <c r="AX8" s="27"/>
      <c r="AY8" s="27"/>
      <c r="AZ8" s="32"/>
      <c r="BA8" s="38"/>
    </row>
    <row r="9" spans="1:53" ht="16" thickBot="1" x14ac:dyDescent="0.25">
      <c r="A9" s="25">
        <v>1</v>
      </c>
      <c r="B9" s="26">
        <v>45321</v>
      </c>
      <c r="C9" s="27"/>
      <c r="D9" s="25"/>
      <c r="E9" s="28"/>
      <c r="F9" s="27"/>
      <c r="G9" s="28"/>
      <c r="H9" s="27"/>
      <c r="I9" s="28"/>
      <c r="J9" s="27">
        <v>4</v>
      </c>
      <c r="K9" s="29" t="s">
        <v>35</v>
      </c>
      <c r="L9" s="39"/>
      <c r="M9" s="31"/>
      <c r="N9" s="27"/>
      <c r="P9" s="32"/>
      <c r="Q9" s="40"/>
      <c r="R9" s="27"/>
      <c r="S9" s="27"/>
      <c r="T9" s="28"/>
      <c r="U9" s="27"/>
      <c r="V9" s="27"/>
      <c r="W9" s="28"/>
      <c r="X9" s="33"/>
      <c r="Y9" s="32"/>
      <c r="Z9" s="25"/>
      <c r="AA9" s="27"/>
      <c r="AB9" s="28"/>
      <c r="AC9" s="27"/>
      <c r="AD9" s="27"/>
      <c r="AE9" s="33"/>
      <c r="AG9" s="25"/>
      <c r="AH9" s="34"/>
      <c r="AI9" s="27"/>
      <c r="AJ9" s="27"/>
      <c r="AK9" s="27"/>
      <c r="AL9" s="25"/>
      <c r="AM9" s="34"/>
      <c r="AN9" s="27"/>
      <c r="AO9" s="27"/>
      <c r="AP9" s="36"/>
      <c r="AQ9" s="37"/>
      <c r="AR9" s="32"/>
      <c r="AS9" s="25"/>
      <c r="AT9" s="27"/>
      <c r="AU9" s="27"/>
      <c r="AW9" s="25"/>
      <c r="AX9" s="27"/>
      <c r="AY9" s="27"/>
      <c r="AZ9" s="32"/>
      <c r="BA9" s="41"/>
    </row>
    <row r="10" spans="1:53" ht="16" thickBot="1" x14ac:dyDescent="0.25">
      <c r="A10" s="25">
        <v>2</v>
      </c>
      <c r="B10" s="26">
        <v>45322</v>
      </c>
      <c r="C10" s="27"/>
      <c r="D10" s="25"/>
      <c r="E10" s="28"/>
      <c r="F10" s="27"/>
      <c r="G10" s="28"/>
      <c r="H10" s="27"/>
      <c r="I10" s="28"/>
      <c r="J10" s="27">
        <v>4</v>
      </c>
      <c r="K10" s="29" t="s">
        <v>35</v>
      </c>
      <c r="L10" s="39"/>
      <c r="M10" s="31"/>
      <c r="N10" s="27"/>
      <c r="O10" s="42"/>
      <c r="Q10" s="43" t="s">
        <v>37</v>
      </c>
      <c r="R10" s="27"/>
      <c r="S10" s="27"/>
      <c r="T10" s="28"/>
      <c r="U10" s="27"/>
      <c r="V10" s="27"/>
      <c r="W10" s="28"/>
      <c r="X10" s="33"/>
      <c r="Y10" s="32"/>
      <c r="Z10" s="25"/>
      <c r="AA10" s="27"/>
      <c r="AB10" s="28"/>
      <c r="AC10" s="27"/>
      <c r="AD10" s="27"/>
      <c r="AE10" s="33"/>
      <c r="AG10" s="25"/>
      <c r="AH10" s="34"/>
      <c r="AI10" s="27"/>
      <c r="AJ10" s="27"/>
      <c r="AK10" s="27"/>
      <c r="AL10" s="25"/>
      <c r="AM10" s="34"/>
      <c r="AN10" s="27"/>
      <c r="AO10" s="27"/>
      <c r="AP10" s="36"/>
      <c r="AQ10" s="37"/>
      <c r="AR10" s="32"/>
      <c r="AS10" s="25"/>
      <c r="AT10" s="27"/>
      <c r="AU10" s="27"/>
      <c r="AW10" s="25"/>
      <c r="AX10" s="27"/>
      <c r="AY10" s="27"/>
      <c r="AZ10" s="32"/>
      <c r="BA10" s="41"/>
    </row>
    <row r="11" spans="1:53" ht="16" thickBot="1" x14ac:dyDescent="0.25">
      <c r="A11" s="25">
        <v>3</v>
      </c>
      <c r="B11" s="26">
        <v>45323</v>
      </c>
      <c r="C11" s="27"/>
      <c r="D11" s="25"/>
      <c r="E11" s="28"/>
      <c r="F11" s="27"/>
      <c r="G11" s="28"/>
      <c r="H11" s="27"/>
      <c r="I11" s="28"/>
      <c r="J11" s="27">
        <v>6</v>
      </c>
      <c r="K11" s="29" t="s">
        <v>35</v>
      </c>
      <c r="L11" s="44" t="s">
        <v>287</v>
      </c>
      <c r="M11" s="31" t="s">
        <v>39</v>
      </c>
      <c r="N11" s="27" t="s">
        <v>240</v>
      </c>
      <c r="O11" s="45" t="s">
        <v>41</v>
      </c>
      <c r="P11" s="46"/>
      <c r="Q11" s="25"/>
      <c r="R11" s="27"/>
      <c r="S11" s="27"/>
      <c r="T11" s="28"/>
      <c r="U11" s="27">
        <v>5</v>
      </c>
      <c r="V11" s="27"/>
      <c r="W11" s="28">
        <v>5</v>
      </c>
      <c r="X11" s="47" t="s">
        <v>43</v>
      </c>
      <c r="Y11" s="32" t="s">
        <v>44</v>
      </c>
      <c r="Z11" s="25"/>
      <c r="AA11" s="27"/>
      <c r="AB11" s="28"/>
      <c r="AC11" s="27"/>
      <c r="AD11" s="27"/>
      <c r="AE11" s="48" t="s">
        <v>45</v>
      </c>
      <c r="AG11" s="25"/>
      <c r="AH11" s="34"/>
      <c r="AI11" s="27"/>
      <c r="AJ11" s="27"/>
      <c r="AK11" s="27"/>
      <c r="AL11" s="25"/>
      <c r="AM11" s="34"/>
      <c r="AN11" s="27"/>
      <c r="AO11" s="27"/>
      <c r="AP11" s="36"/>
      <c r="AQ11" s="37"/>
      <c r="AR11" s="32"/>
      <c r="AS11" s="25"/>
      <c r="AT11" s="27"/>
      <c r="AU11" s="27"/>
      <c r="AW11" s="25"/>
      <c r="AX11" s="27"/>
      <c r="AY11" s="27"/>
      <c r="AZ11" s="32"/>
      <c r="BA11" s="41"/>
    </row>
    <row r="12" spans="1:53" x14ac:dyDescent="0.2">
      <c r="A12" s="25">
        <v>4</v>
      </c>
      <c r="B12" s="26">
        <v>45324</v>
      </c>
      <c r="C12" s="27" t="s">
        <v>200</v>
      </c>
      <c r="D12" s="25"/>
      <c r="E12" s="28"/>
      <c r="F12" s="27"/>
      <c r="G12" s="28"/>
      <c r="H12" s="27"/>
      <c r="I12" s="28"/>
      <c r="J12" s="27">
        <v>6</v>
      </c>
      <c r="K12" s="29" t="s">
        <v>35</v>
      </c>
      <c r="L12" s="39"/>
      <c r="M12" s="31"/>
      <c r="N12" s="27" t="s">
        <v>240</v>
      </c>
      <c r="O12" t="s">
        <v>46</v>
      </c>
      <c r="P12" s="32"/>
      <c r="Q12" s="25"/>
      <c r="R12" s="27"/>
      <c r="S12" s="27"/>
      <c r="T12" s="28"/>
      <c r="U12" s="27">
        <v>5</v>
      </c>
      <c r="V12" s="27"/>
      <c r="W12" s="28">
        <v>5</v>
      </c>
      <c r="X12" s="345" t="s">
        <v>47</v>
      </c>
      <c r="Y12" s="32"/>
      <c r="Z12" s="25"/>
      <c r="AA12" s="27"/>
      <c r="AB12" s="28"/>
      <c r="AC12" s="27"/>
      <c r="AD12" s="27"/>
      <c r="AE12" s="33"/>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5</v>
      </c>
      <c r="B13" s="26">
        <v>45325</v>
      </c>
      <c r="C13" s="27" t="s">
        <v>200</v>
      </c>
      <c r="D13" s="25"/>
      <c r="E13" s="28"/>
      <c r="F13" s="27"/>
      <c r="G13" s="28"/>
      <c r="H13" s="27"/>
      <c r="I13" s="28"/>
      <c r="J13" s="27">
        <v>6</v>
      </c>
      <c r="K13" s="29" t="s">
        <v>35</v>
      </c>
      <c r="L13" s="39"/>
      <c r="M13" s="31"/>
      <c r="N13" s="27" t="s">
        <v>240</v>
      </c>
      <c r="P13" s="32"/>
      <c r="Q13" s="25"/>
      <c r="R13" s="27"/>
      <c r="S13" s="27"/>
      <c r="T13" s="28"/>
      <c r="U13" s="27">
        <v>5</v>
      </c>
      <c r="V13" s="27"/>
      <c r="W13" s="28">
        <v>5</v>
      </c>
      <c r="X13" s="346"/>
      <c r="Y13" s="32"/>
      <c r="Z13" s="25"/>
      <c r="AA13" s="27"/>
      <c r="AB13" s="28"/>
      <c r="AC13" s="27">
        <v>3</v>
      </c>
      <c r="AD13" s="27">
        <v>2</v>
      </c>
      <c r="AE13" s="33"/>
      <c r="AF13" t="s">
        <v>270</v>
      </c>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6</v>
      </c>
      <c r="B14" s="26">
        <v>45326</v>
      </c>
      <c r="C14" s="27" t="s">
        <v>232</v>
      </c>
      <c r="D14" s="25"/>
      <c r="E14" s="28"/>
      <c r="F14" s="27"/>
      <c r="G14" s="28"/>
      <c r="H14" s="27"/>
      <c r="I14" s="28"/>
      <c r="J14" s="27">
        <v>6</v>
      </c>
      <c r="K14" s="29" t="s">
        <v>35</v>
      </c>
      <c r="L14" s="39"/>
      <c r="M14" s="31"/>
      <c r="N14" s="27" t="s">
        <v>240</v>
      </c>
      <c r="P14" s="32"/>
      <c r="Q14" s="25"/>
      <c r="R14" s="27"/>
      <c r="S14" s="27"/>
      <c r="T14" s="28"/>
      <c r="U14" s="27">
        <v>5</v>
      </c>
      <c r="V14" s="27"/>
      <c r="W14" s="28">
        <v>5</v>
      </c>
      <c r="X14" s="346"/>
      <c r="Y14" s="32"/>
      <c r="Z14" s="25"/>
      <c r="AA14" s="27"/>
      <c r="AB14" s="28"/>
      <c r="AC14" s="27">
        <v>3</v>
      </c>
      <c r="AD14" s="27">
        <v>2</v>
      </c>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7</v>
      </c>
      <c r="B15" s="26">
        <v>45327</v>
      </c>
      <c r="C15" s="27" t="s">
        <v>232</v>
      </c>
      <c r="D15" s="25"/>
      <c r="E15" s="28"/>
      <c r="F15" s="27"/>
      <c r="G15" s="28"/>
      <c r="H15" s="27"/>
      <c r="I15" s="28"/>
      <c r="J15" s="27">
        <v>6</v>
      </c>
      <c r="K15" s="29" t="s">
        <v>35</v>
      </c>
      <c r="L15" s="39" t="s">
        <v>271</v>
      </c>
      <c r="M15" s="31"/>
      <c r="N15" s="27" t="s">
        <v>240</v>
      </c>
      <c r="P15" s="32"/>
      <c r="Q15" s="25"/>
      <c r="R15" s="27"/>
      <c r="S15" s="27"/>
      <c r="T15" s="28"/>
      <c r="U15" s="27">
        <v>5</v>
      </c>
      <c r="V15" s="27"/>
      <c r="W15" s="28">
        <v>5</v>
      </c>
      <c r="X15" s="346"/>
      <c r="Y15" s="32"/>
      <c r="Z15" s="25"/>
      <c r="AA15" s="27"/>
      <c r="AB15" s="28"/>
      <c r="AC15" s="27">
        <v>3</v>
      </c>
      <c r="AD15" s="27">
        <v>2</v>
      </c>
      <c r="AE15" s="33"/>
      <c r="AG15" s="25"/>
      <c r="AH15" s="34"/>
      <c r="AI15" s="27"/>
      <c r="AJ15" s="27"/>
      <c r="AK15" s="27"/>
      <c r="AL15" s="25"/>
      <c r="AM15" s="34"/>
      <c r="AN15" s="27"/>
      <c r="AO15" s="27"/>
      <c r="AP15" s="36"/>
      <c r="AQ15" s="37"/>
      <c r="AR15" s="32"/>
      <c r="AS15" s="25"/>
      <c r="AT15" s="27"/>
      <c r="AU15" s="27"/>
      <c r="AW15" s="25"/>
      <c r="AX15" s="27"/>
      <c r="AY15" s="27"/>
      <c r="AZ15" s="32"/>
      <c r="BA15" s="41"/>
    </row>
    <row r="16" spans="1:53" x14ac:dyDescent="0.2">
      <c r="A16" s="25">
        <v>8</v>
      </c>
      <c r="B16" s="26">
        <v>45328</v>
      </c>
      <c r="C16" s="27" t="s">
        <v>227</v>
      </c>
      <c r="D16" s="25"/>
      <c r="E16" s="28"/>
      <c r="F16" s="27"/>
      <c r="G16" s="28"/>
      <c r="H16" s="27"/>
      <c r="I16" s="28"/>
      <c r="J16" s="27">
        <v>6</v>
      </c>
      <c r="K16" s="29" t="s">
        <v>35</v>
      </c>
      <c r="L16" s="39"/>
      <c r="M16" s="31"/>
      <c r="N16" s="27" t="s">
        <v>240</v>
      </c>
      <c r="P16" s="32"/>
      <c r="Q16" s="25"/>
      <c r="R16" s="27"/>
      <c r="S16" s="27"/>
      <c r="T16" s="28"/>
      <c r="U16" s="27">
        <v>5</v>
      </c>
      <c r="V16" s="27"/>
      <c r="W16" s="28">
        <v>5</v>
      </c>
      <c r="X16" s="346"/>
      <c r="Y16" s="32"/>
      <c r="Z16" s="25"/>
      <c r="AA16" s="27"/>
      <c r="AB16" s="28"/>
      <c r="AC16" s="27">
        <v>3</v>
      </c>
      <c r="AD16" s="27">
        <v>2</v>
      </c>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9</v>
      </c>
      <c r="B17" s="26">
        <v>45329</v>
      </c>
      <c r="C17" s="27" t="s">
        <v>232</v>
      </c>
      <c r="D17" s="25"/>
      <c r="E17" s="28"/>
      <c r="F17" s="27"/>
      <c r="G17" s="28"/>
      <c r="H17" s="27"/>
      <c r="I17" s="28"/>
      <c r="J17" s="27">
        <v>6</v>
      </c>
      <c r="K17" s="29" t="s">
        <v>35</v>
      </c>
      <c r="L17" s="39"/>
      <c r="M17" s="31"/>
      <c r="N17" s="27" t="s">
        <v>240</v>
      </c>
      <c r="P17" s="32"/>
      <c r="Q17" s="25"/>
      <c r="R17" s="27"/>
      <c r="S17" s="27"/>
      <c r="T17" s="28"/>
      <c r="U17" s="27">
        <v>5</v>
      </c>
      <c r="V17" s="27"/>
      <c r="W17" s="28">
        <v>5</v>
      </c>
      <c r="X17" s="346"/>
      <c r="Y17" s="32"/>
      <c r="Z17" s="25"/>
      <c r="AA17" s="27"/>
      <c r="AB17" s="28"/>
      <c r="AC17" s="27">
        <v>3</v>
      </c>
      <c r="AD17" s="27">
        <v>2</v>
      </c>
      <c r="AE17" s="33"/>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10</v>
      </c>
      <c r="B18" s="26">
        <v>45330</v>
      </c>
      <c r="C18" s="27" t="s">
        <v>227</v>
      </c>
      <c r="D18" s="25"/>
      <c r="E18" s="28"/>
      <c r="F18" s="27"/>
      <c r="G18" s="28"/>
      <c r="H18" s="27"/>
      <c r="I18" s="28"/>
      <c r="J18" s="27">
        <v>6</v>
      </c>
      <c r="K18" s="29" t="s">
        <v>35</v>
      </c>
      <c r="L18" s="39" t="s">
        <v>276</v>
      </c>
      <c r="M18" s="31"/>
      <c r="N18" s="27" t="s">
        <v>240</v>
      </c>
      <c r="O18" s="49"/>
      <c r="P18" s="32"/>
      <c r="Q18" s="25"/>
      <c r="R18" s="27"/>
      <c r="S18" s="27"/>
      <c r="T18" s="28"/>
      <c r="U18" s="27">
        <v>5</v>
      </c>
      <c r="V18" s="27"/>
      <c r="W18" s="28">
        <v>5</v>
      </c>
      <c r="X18" s="346"/>
      <c r="Y18" s="32"/>
      <c r="Z18" s="25"/>
      <c r="AA18" s="27"/>
      <c r="AB18" s="28"/>
      <c r="AC18" s="27">
        <v>5</v>
      </c>
      <c r="AD18" s="27">
        <v>5</v>
      </c>
      <c r="AE18" s="50"/>
      <c r="AF18" s="51"/>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11</v>
      </c>
      <c r="B19" s="26">
        <v>45331</v>
      </c>
      <c r="C19" s="27" t="s">
        <v>200</v>
      </c>
      <c r="D19" s="25"/>
      <c r="E19" s="28"/>
      <c r="F19" s="27"/>
      <c r="G19" s="28"/>
      <c r="H19" s="27"/>
      <c r="I19" s="28"/>
      <c r="J19" s="27">
        <v>6</v>
      </c>
      <c r="K19" s="29" t="s">
        <v>35</v>
      </c>
      <c r="L19" s="52"/>
      <c r="M19" s="31"/>
      <c r="N19" s="27" t="s">
        <v>240</v>
      </c>
      <c r="P19" s="32"/>
      <c r="Q19" s="25"/>
      <c r="R19" s="27"/>
      <c r="S19" s="27"/>
      <c r="T19" s="28"/>
      <c r="U19" s="27">
        <v>5</v>
      </c>
      <c r="V19" s="27"/>
      <c r="W19" s="28">
        <v>5</v>
      </c>
      <c r="X19" s="347"/>
      <c r="Y19" s="32"/>
      <c r="Z19" s="25"/>
      <c r="AA19" s="27"/>
      <c r="AB19" s="28"/>
      <c r="AC19" s="27">
        <v>5</v>
      </c>
      <c r="AD19" s="27">
        <v>5</v>
      </c>
      <c r="AE19" s="33"/>
      <c r="AF19" s="46"/>
      <c r="AG19" s="25"/>
      <c r="AH19" s="34"/>
      <c r="AI19" s="27"/>
      <c r="AJ19" s="27"/>
      <c r="AK19" s="27"/>
      <c r="AL19" s="25"/>
      <c r="AM19" s="34"/>
      <c r="AN19" s="27"/>
      <c r="AO19" s="27"/>
      <c r="AP19" s="36"/>
      <c r="AQ19" s="37"/>
      <c r="AR19" s="32"/>
      <c r="AS19" s="25"/>
      <c r="AT19" s="27"/>
      <c r="AU19" s="27"/>
      <c r="AW19" s="25"/>
      <c r="AX19" s="27"/>
      <c r="AY19" s="27"/>
      <c r="AZ19" s="32"/>
      <c r="BA19" s="41"/>
    </row>
    <row r="20" spans="1:53" ht="16" thickBot="1" x14ac:dyDescent="0.25">
      <c r="A20" s="25">
        <v>12</v>
      </c>
      <c r="B20" s="26">
        <v>45332</v>
      </c>
      <c r="C20" s="27" t="s">
        <v>200</v>
      </c>
      <c r="D20" s="25"/>
      <c r="E20" s="28"/>
      <c r="F20" s="27"/>
      <c r="G20" s="28"/>
      <c r="H20" s="27"/>
      <c r="I20" s="28"/>
      <c r="J20" s="27">
        <v>6</v>
      </c>
      <c r="K20" s="29" t="s">
        <v>35</v>
      </c>
      <c r="L20" s="53"/>
      <c r="M20" s="31"/>
      <c r="N20" s="27" t="s">
        <v>240</v>
      </c>
      <c r="P20" s="32"/>
      <c r="Q20" s="25"/>
      <c r="R20" s="27"/>
      <c r="S20" s="27"/>
      <c r="T20" s="28"/>
      <c r="U20" s="27">
        <v>5</v>
      </c>
      <c r="V20" s="27"/>
      <c r="W20" s="28">
        <v>5</v>
      </c>
      <c r="X20" s="54" t="s">
        <v>49</v>
      </c>
      <c r="Y20" s="32"/>
      <c r="Z20" s="25"/>
      <c r="AA20" s="27"/>
      <c r="AB20" s="28"/>
      <c r="AC20" s="27">
        <v>10</v>
      </c>
      <c r="AD20" s="27">
        <v>5</v>
      </c>
      <c r="AE20" s="33"/>
      <c r="AG20" s="25"/>
      <c r="AH20" s="34"/>
      <c r="AI20" s="27"/>
      <c r="AJ20" s="27"/>
      <c r="AK20" s="27"/>
      <c r="AL20" s="25"/>
      <c r="AM20" s="34"/>
      <c r="AN20" s="27"/>
      <c r="AO20" s="27"/>
      <c r="AP20" s="36"/>
      <c r="AQ20" s="37"/>
      <c r="AR20" s="32"/>
      <c r="AS20" s="25"/>
      <c r="AT20" s="27"/>
      <c r="AU20" s="27"/>
      <c r="AW20" s="25"/>
      <c r="AX20" s="27"/>
      <c r="AY20" s="27"/>
      <c r="AZ20" s="32"/>
      <c r="BA20" s="41"/>
    </row>
    <row r="21" spans="1:53" ht="16" thickBot="1" x14ac:dyDescent="0.25">
      <c r="A21" s="25">
        <v>13</v>
      </c>
      <c r="B21" s="26">
        <v>45333</v>
      </c>
      <c r="C21" s="27" t="s">
        <v>232</v>
      </c>
      <c r="D21" s="25"/>
      <c r="E21" s="28"/>
      <c r="F21" s="27"/>
      <c r="G21" s="28"/>
      <c r="H21" s="27"/>
      <c r="I21" s="28"/>
      <c r="J21" s="27">
        <v>6</v>
      </c>
      <c r="K21" s="29" t="s">
        <v>35</v>
      </c>
      <c r="L21" s="39"/>
      <c r="M21" s="31"/>
      <c r="N21" s="27" t="s">
        <v>240</v>
      </c>
      <c r="P21" s="32"/>
      <c r="Q21" s="25"/>
      <c r="R21" s="27"/>
      <c r="S21" s="27"/>
      <c r="T21" s="28"/>
      <c r="U21" s="27"/>
      <c r="V21" s="27"/>
      <c r="W21" s="28"/>
      <c r="X21" s="33">
        <v>1</v>
      </c>
      <c r="Y21" s="32" t="s">
        <v>279</v>
      </c>
      <c r="Z21" s="55"/>
      <c r="AA21" s="56"/>
      <c r="AB21" s="57"/>
      <c r="AC21" s="27">
        <v>10</v>
      </c>
      <c r="AD21" s="27">
        <v>5</v>
      </c>
      <c r="AE21" s="33"/>
      <c r="AG21" s="25"/>
      <c r="AH21" s="34"/>
      <c r="AI21" s="27"/>
      <c r="AJ21" s="27"/>
      <c r="AK21" s="27"/>
      <c r="AL21" s="25"/>
      <c r="AM21" s="34"/>
      <c r="AN21" s="27"/>
      <c r="AO21" s="27"/>
      <c r="AP21" s="36"/>
      <c r="AQ21" s="37"/>
      <c r="AR21" s="32"/>
      <c r="AS21" s="131"/>
      <c r="AT21" s="132"/>
      <c r="AU21" s="133"/>
      <c r="AV21" t="s">
        <v>258</v>
      </c>
      <c r="AW21" s="25"/>
      <c r="AX21" s="27"/>
      <c r="AY21" s="27"/>
      <c r="AZ21" s="32"/>
      <c r="BA21" s="41"/>
    </row>
    <row r="22" spans="1:53" ht="16" thickBot="1" x14ac:dyDescent="0.25">
      <c r="A22" s="25">
        <v>14</v>
      </c>
      <c r="B22" s="26">
        <v>45334</v>
      </c>
      <c r="C22" s="27" t="s">
        <v>232</v>
      </c>
      <c r="D22" s="25"/>
      <c r="E22" s="28"/>
      <c r="F22" s="27"/>
      <c r="G22" s="28"/>
      <c r="H22" s="27"/>
      <c r="I22" s="28"/>
      <c r="J22" s="27">
        <v>6</v>
      </c>
      <c r="K22" s="29" t="s">
        <v>35</v>
      </c>
      <c r="L22" s="39"/>
      <c r="M22" s="31"/>
      <c r="N22" s="27" t="s">
        <v>240</v>
      </c>
      <c r="P22" s="32"/>
      <c r="Q22" s="25"/>
      <c r="R22" s="27"/>
      <c r="S22" s="27"/>
      <c r="T22" s="28"/>
      <c r="U22" s="27"/>
      <c r="V22" s="27"/>
      <c r="W22" s="27"/>
      <c r="X22" s="33"/>
      <c r="Y22" s="32"/>
      <c r="Z22" s="59"/>
      <c r="AA22" s="60"/>
      <c r="AB22" s="61"/>
      <c r="AC22" s="27">
        <v>10</v>
      </c>
      <c r="AD22" s="27">
        <v>5</v>
      </c>
      <c r="AE22" s="33"/>
      <c r="AG22" s="25"/>
      <c r="AH22" s="34"/>
      <c r="AI22" s="27"/>
      <c r="AJ22" s="27"/>
      <c r="AK22" s="27"/>
      <c r="AL22" s="25"/>
      <c r="AM22" s="34"/>
      <c r="AN22" s="27"/>
      <c r="AO22" s="27"/>
      <c r="AP22" s="36"/>
      <c r="AQ22" s="37"/>
      <c r="AR22" s="32"/>
      <c r="AS22" s="131"/>
      <c r="AT22" s="132"/>
      <c r="AU22" s="134"/>
      <c r="AV22" t="s">
        <v>280</v>
      </c>
      <c r="AW22" s="25"/>
      <c r="AX22" s="27"/>
      <c r="AY22" s="27"/>
      <c r="AZ22" s="32"/>
      <c r="BA22" s="62"/>
    </row>
    <row r="23" spans="1:53" ht="16" thickBot="1" x14ac:dyDescent="0.25">
      <c r="A23" s="25">
        <v>15</v>
      </c>
      <c r="B23" s="26">
        <v>45335</v>
      </c>
      <c r="C23" s="27" t="s">
        <v>232</v>
      </c>
      <c r="D23" s="25"/>
      <c r="E23" s="28"/>
      <c r="F23" s="27"/>
      <c r="G23" s="28"/>
      <c r="H23" s="27"/>
      <c r="I23" s="28"/>
      <c r="J23" s="27">
        <v>6</v>
      </c>
      <c r="K23" s="29" t="s">
        <v>35</v>
      </c>
      <c r="L23" s="39"/>
      <c r="M23" s="31"/>
      <c r="N23" s="27" t="s">
        <v>240</v>
      </c>
      <c r="P23" s="32"/>
      <c r="Q23" s="25"/>
      <c r="R23" s="27"/>
      <c r="S23" s="27"/>
      <c r="T23" s="28"/>
      <c r="U23" s="27"/>
      <c r="V23" s="27"/>
      <c r="W23" s="28"/>
      <c r="X23" s="33"/>
      <c r="Y23" s="32"/>
      <c r="Z23" s="25"/>
      <c r="AA23" s="27"/>
      <c r="AB23" s="28"/>
      <c r="AC23" s="27">
        <v>10</v>
      </c>
      <c r="AD23" s="27">
        <v>5</v>
      </c>
      <c r="AE23" s="33"/>
      <c r="AG23" s="25"/>
      <c r="AH23" s="34"/>
      <c r="AI23" s="27"/>
      <c r="AJ23" s="27"/>
      <c r="AK23" s="27"/>
      <c r="AL23" s="25"/>
      <c r="AM23" s="34"/>
      <c r="AN23" s="27"/>
      <c r="AO23" s="27"/>
      <c r="AP23" s="36"/>
      <c r="AQ23" s="37"/>
      <c r="AR23" s="46"/>
      <c r="AS23" s="131"/>
      <c r="AT23" s="132"/>
      <c r="AU23" s="133"/>
      <c r="AW23" s="25"/>
      <c r="AX23" s="27"/>
      <c r="AY23" s="27"/>
      <c r="AZ23" s="32"/>
      <c r="BA23" s="41"/>
    </row>
    <row r="24" spans="1:53" ht="16" thickBot="1" x14ac:dyDescent="0.25">
      <c r="A24" s="25">
        <v>16</v>
      </c>
      <c r="B24" s="26">
        <v>45336</v>
      </c>
      <c r="C24" s="27" t="s">
        <v>227</v>
      </c>
      <c r="D24" s="25"/>
      <c r="E24" s="28"/>
      <c r="F24" s="27"/>
      <c r="G24" s="28"/>
      <c r="H24" s="27"/>
      <c r="I24" s="28"/>
      <c r="J24" s="27">
        <v>6</v>
      </c>
      <c r="K24" s="29" t="s">
        <v>35</v>
      </c>
      <c r="L24" s="44" t="s">
        <v>288</v>
      </c>
      <c r="M24" s="31"/>
      <c r="N24" s="27" t="s">
        <v>240</v>
      </c>
      <c r="P24" s="32"/>
      <c r="Q24" s="25"/>
      <c r="R24" s="27"/>
      <c r="S24" s="27"/>
      <c r="T24" s="28"/>
      <c r="U24" s="27">
        <v>1</v>
      </c>
      <c r="V24" s="27"/>
      <c r="W24" s="28">
        <v>1</v>
      </c>
      <c r="X24" s="63" t="s">
        <v>60</v>
      </c>
      <c r="Y24" s="46" t="s">
        <v>61</v>
      </c>
      <c r="AB24" s="28"/>
      <c r="AC24" s="27">
        <v>10</v>
      </c>
      <c r="AD24" s="27">
        <v>5</v>
      </c>
      <c r="AE24" s="33"/>
      <c r="AG24" s="25"/>
      <c r="AH24" s="34"/>
      <c r="AI24" s="27"/>
      <c r="AJ24" s="27"/>
      <c r="AK24" s="27"/>
      <c r="AL24" s="25"/>
      <c r="AM24" s="34"/>
      <c r="AN24" s="27"/>
      <c r="AO24" s="27"/>
      <c r="AP24" s="36"/>
      <c r="AQ24" s="64"/>
      <c r="AR24" s="65"/>
      <c r="AS24" s="131"/>
      <c r="AT24" s="132"/>
      <c r="AU24" s="132"/>
      <c r="AW24" s="25"/>
      <c r="AX24" s="27"/>
      <c r="AY24" s="27"/>
      <c r="AZ24" s="32"/>
      <c r="BA24" s="41"/>
    </row>
    <row r="25" spans="1:53" x14ac:dyDescent="0.2">
      <c r="A25" s="25">
        <v>17</v>
      </c>
      <c r="B25" s="26">
        <v>45337</v>
      </c>
      <c r="C25" s="27" t="s">
        <v>227</v>
      </c>
      <c r="D25" s="25"/>
      <c r="E25" s="28"/>
      <c r="F25" s="27"/>
      <c r="G25" s="28"/>
      <c r="H25" s="27"/>
      <c r="I25" s="28"/>
      <c r="J25" s="27">
        <v>6</v>
      </c>
      <c r="K25" s="29" t="s">
        <v>35</v>
      </c>
      <c r="L25" s="39"/>
      <c r="M25" s="31"/>
      <c r="N25" s="27" t="s">
        <v>240</v>
      </c>
      <c r="P25" s="32"/>
      <c r="Q25" s="25"/>
      <c r="R25" s="27"/>
      <c r="S25" s="27"/>
      <c r="T25" s="28"/>
      <c r="U25" s="27"/>
      <c r="V25" s="27" t="s">
        <v>154</v>
      </c>
      <c r="W25" s="28"/>
      <c r="X25" s="33" t="s">
        <v>155</v>
      </c>
      <c r="Y25" s="32"/>
      <c r="Z25" s="25"/>
      <c r="AA25" s="27"/>
      <c r="AB25" s="28"/>
      <c r="AC25" s="27">
        <v>10</v>
      </c>
      <c r="AD25" s="27">
        <v>5</v>
      </c>
      <c r="AE25" s="33"/>
      <c r="AG25" s="25"/>
      <c r="AH25" s="34"/>
      <c r="AI25" s="27"/>
      <c r="AJ25" s="27"/>
      <c r="AK25" s="27"/>
      <c r="AL25" s="25"/>
      <c r="AM25" s="34"/>
      <c r="AN25" s="27"/>
      <c r="AO25" s="27"/>
      <c r="AP25" s="36"/>
      <c r="AQ25" s="37"/>
      <c r="AR25" s="32"/>
      <c r="AS25" s="131"/>
      <c r="AT25" s="132"/>
      <c r="AU25" s="132"/>
      <c r="AW25" s="25"/>
      <c r="AX25" s="27"/>
      <c r="AY25" s="27"/>
      <c r="AZ25" s="32"/>
      <c r="BA25" s="41"/>
    </row>
    <row r="26" spans="1:53" ht="16" thickBot="1" x14ac:dyDescent="0.25">
      <c r="A26" s="25">
        <v>18</v>
      </c>
      <c r="B26" s="26">
        <v>45338</v>
      </c>
      <c r="C26" s="27" t="s">
        <v>200</v>
      </c>
      <c r="D26" s="25"/>
      <c r="E26" s="28"/>
      <c r="F26" s="27"/>
      <c r="G26" s="28"/>
      <c r="H26" s="27"/>
      <c r="I26" s="28"/>
      <c r="J26" s="27">
        <v>6</v>
      </c>
      <c r="K26" s="29" t="s">
        <v>35</v>
      </c>
      <c r="L26" s="39"/>
      <c r="M26" s="31"/>
      <c r="N26" s="27" t="s">
        <v>240</v>
      </c>
      <c r="P26" s="66"/>
      <c r="Q26" s="25"/>
      <c r="R26" s="27"/>
      <c r="S26" s="27"/>
      <c r="T26" s="28"/>
      <c r="U26" s="27"/>
      <c r="V26" s="27" t="s">
        <v>154</v>
      </c>
      <c r="W26" s="28"/>
      <c r="X26" s="33"/>
      <c r="Y26" s="32"/>
      <c r="Z26" s="25"/>
      <c r="AA26" s="27"/>
      <c r="AB26" s="28"/>
      <c r="AC26" s="27">
        <v>10</v>
      </c>
      <c r="AD26" s="27">
        <v>5</v>
      </c>
      <c r="AE26" s="33"/>
      <c r="AG26" s="25"/>
      <c r="AH26" s="34"/>
      <c r="AI26" s="27">
        <v>2.5000000000000001E-2</v>
      </c>
      <c r="AJ26" s="27">
        <v>2.5000000000000001E-2</v>
      </c>
      <c r="AK26" s="27">
        <v>2.5000000000000001E-2</v>
      </c>
      <c r="AL26" s="25"/>
      <c r="AM26" s="34"/>
      <c r="AN26" s="27"/>
      <c r="AO26" s="27"/>
      <c r="AP26" s="36"/>
      <c r="AQ26" s="67" t="s">
        <v>63</v>
      </c>
      <c r="AR26" s="46" t="s">
        <v>64</v>
      </c>
      <c r="AS26" s="131"/>
      <c r="AT26" s="132"/>
      <c r="AU26" s="134"/>
      <c r="AW26" s="25"/>
      <c r="AX26" s="27"/>
      <c r="AY26" s="27"/>
      <c r="AZ26" s="32"/>
      <c r="BA26" s="41"/>
    </row>
    <row r="27" spans="1:53" ht="16" thickBot="1" x14ac:dyDescent="0.25">
      <c r="A27" s="25">
        <v>19</v>
      </c>
      <c r="B27" s="26">
        <v>45339</v>
      </c>
      <c r="C27" s="27" t="s">
        <v>200</v>
      </c>
      <c r="D27" s="25"/>
      <c r="E27" s="28"/>
      <c r="F27" s="27"/>
      <c r="G27" s="28"/>
      <c r="H27" s="27"/>
      <c r="I27" s="28"/>
      <c r="J27" s="27">
        <v>6</v>
      </c>
      <c r="K27" s="29" t="s">
        <v>35</v>
      </c>
      <c r="L27" s="39" t="s">
        <v>286</v>
      </c>
      <c r="M27" s="31"/>
      <c r="N27" s="27" t="s">
        <v>240</v>
      </c>
      <c r="P27" s="32"/>
      <c r="Q27" s="25"/>
      <c r="R27" s="27"/>
      <c r="S27" s="27"/>
      <c r="T27" s="28"/>
      <c r="U27" s="27"/>
      <c r="V27" s="27" t="s">
        <v>154</v>
      </c>
      <c r="W27" s="28"/>
      <c r="X27" s="33"/>
      <c r="Y27" s="32"/>
      <c r="Z27" s="25"/>
      <c r="AA27" s="27"/>
      <c r="AB27" s="28"/>
      <c r="AC27" s="27">
        <v>10</v>
      </c>
      <c r="AD27" s="27">
        <v>5</v>
      </c>
      <c r="AE27" s="33"/>
      <c r="AG27" s="25"/>
      <c r="AH27" s="34"/>
      <c r="AI27" s="27">
        <v>2.5000000000000001E-2</v>
      </c>
      <c r="AJ27" s="27">
        <v>2.5000000000000001E-2</v>
      </c>
      <c r="AK27" s="27">
        <v>2.5000000000000001E-2</v>
      </c>
      <c r="AL27" s="25"/>
      <c r="AM27" s="34"/>
      <c r="AN27" s="27"/>
      <c r="AO27" s="27"/>
      <c r="AP27" s="36"/>
      <c r="AQ27" s="68" t="s">
        <v>65</v>
      </c>
      <c r="AR27" s="32" t="s">
        <v>64</v>
      </c>
      <c r="AS27" s="131"/>
      <c r="AT27" s="132"/>
      <c r="AU27" s="132"/>
      <c r="AW27" s="25"/>
      <c r="AX27" s="27"/>
      <c r="AY27" s="27"/>
      <c r="AZ27" s="32"/>
      <c r="BA27" s="62"/>
    </row>
    <row r="28" spans="1:53" x14ac:dyDescent="0.2">
      <c r="A28" s="25">
        <v>20</v>
      </c>
      <c r="B28" s="26">
        <v>45340</v>
      </c>
      <c r="C28" s="27" t="s">
        <v>232</v>
      </c>
      <c r="D28" s="25"/>
      <c r="E28" s="28"/>
      <c r="F28" s="27"/>
      <c r="G28" s="28"/>
      <c r="H28" s="27"/>
      <c r="I28" s="28"/>
      <c r="J28" s="27">
        <v>6</v>
      </c>
      <c r="K28" s="29" t="s">
        <v>35</v>
      </c>
      <c r="L28" s="39"/>
      <c r="M28" s="197"/>
      <c r="N28" s="27" t="s">
        <v>240</v>
      </c>
      <c r="O28" s="306" t="s">
        <v>66</v>
      </c>
      <c r="P28" s="32"/>
      <c r="Q28" s="25"/>
      <c r="R28" s="27"/>
      <c r="S28" s="27"/>
      <c r="T28" s="28"/>
      <c r="U28" s="27"/>
      <c r="V28" s="27" t="s">
        <v>154</v>
      </c>
      <c r="W28" s="28"/>
      <c r="X28" s="33"/>
      <c r="Y28" s="32"/>
      <c r="Z28" s="25"/>
      <c r="AA28" s="27"/>
      <c r="AB28" s="28"/>
      <c r="AC28" s="27">
        <v>10</v>
      </c>
      <c r="AD28" s="27">
        <v>5</v>
      </c>
      <c r="AE28" s="33"/>
      <c r="AG28" s="25"/>
      <c r="AH28" s="34"/>
      <c r="AI28" s="27">
        <v>2.5000000000000001E-2</v>
      </c>
      <c r="AJ28" s="27">
        <v>2.5000000000000001E-2</v>
      </c>
      <c r="AK28" s="27">
        <v>2.5000000000000001E-2</v>
      </c>
      <c r="AL28" s="25"/>
      <c r="AM28" s="34"/>
      <c r="AN28" s="27"/>
      <c r="AO28" s="27"/>
      <c r="AP28" s="36"/>
      <c r="AQ28" s="37"/>
      <c r="AR28" s="32"/>
      <c r="AS28" s="131"/>
      <c r="AT28" s="132"/>
      <c r="AU28" s="132"/>
      <c r="AW28" s="25"/>
      <c r="AX28" s="27"/>
      <c r="AY28" s="27"/>
      <c r="AZ28" s="32"/>
      <c r="BA28" s="41"/>
    </row>
    <row r="29" spans="1:53" ht="16" thickBot="1" x14ac:dyDescent="0.25">
      <c r="A29" s="70">
        <v>21</v>
      </c>
      <c r="B29" s="26">
        <v>45341</v>
      </c>
      <c r="C29" s="71" t="s">
        <v>232</v>
      </c>
      <c r="D29" s="70"/>
      <c r="E29" s="72"/>
      <c r="F29" s="71"/>
      <c r="G29" s="72"/>
      <c r="H29" s="71"/>
      <c r="I29" s="72"/>
      <c r="J29" s="27">
        <v>6</v>
      </c>
      <c r="K29" s="29" t="s">
        <v>35</v>
      </c>
      <c r="L29" s="39" t="s">
        <v>307</v>
      </c>
      <c r="M29" s="198"/>
      <c r="N29" s="27" t="s">
        <v>240</v>
      </c>
      <c r="O29" s="307"/>
      <c r="P29" s="74"/>
      <c r="Q29" s="70"/>
      <c r="R29" s="71"/>
      <c r="S29" s="71"/>
      <c r="T29" s="72"/>
      <c r="U29" s="71"/>
      <c r="V29" s="71" t="s">
        <v>154</v>
      </c>
      <c r="W29" s="72"/>
      <c r="X29" s="33"/>
      <c r="Y29" s="75"/>
      <c r="Z29" s="70"/>
      <c r="AA29" s="71"/>
      <c r="AB29" s="72"/>
      <c r="AC29" s="27">
        <v>10</v>
      </c>
      <c r="AD29" s="71">
        <v>5</v>
      </c>
      <c r="AE29" s="33"/>
      <c r="AF29" s="76"/>
      <c r="AG29" s="70"/>
      <c r="AH29" s="77"/>
      <c r="AI29" s="27">
        <v>2.5000000000000001E-2</v>
      </c>
      <c r="AJ29" s="27">
        <v>2.5000000000000001E-2</v>
      </c>
      <c r="AK29" s="27">
        <v>2.5000000000000001E-2</v>
      </c>
      <c r="AL29" s="70"/>
      <c r="AM29" s="77"/>
      <c r="AN29" s="27"/>
      <c r="AO29" s="71"/>
      <c r="AP29" s="78"/>
      <c r="AQ29" s="37"/>
      <c r="AR29" s="75"/>
      <c r="AS29" s="135"/>
      <c r="AT29" s="132"/>
      <c r="AU29" s="136"/>
      <c r="AV29" s="76"/>
      <c r="AW29" s="70"/>
      <c r="AX29" s="71"/>
      <c r="AY29" s="71"/>
      <c r="AZ29" s="75"/>
      <c r="BA29" s="79"/>
    </row>
    <row r="30" spans="1:53" ht="16" thickBot="1" x14ac:dyDescent="0.25">
      <c r="A30" s="25">
        <v>22</v>
      </c>
      <c r="B30" s="26">
        <v>45342</v>
      </c>
      <c r="C30" s="27" t="s">
        <v>232</v>
      </c>
      <c r="D30" s="25"/>
      <c r="E30" s="28"/>
      <c r="F30" s="27"/>
      <c r="G30" s="28"/>
      <c r="H30" s="27"/>
      <c r="I30" s="28"/>
      <c r="J30" s="27">
        <v>6</v>
      </c>
      <c r="K30" s="29" t="s">
        <v>35</v>
      </c>
      <c r="L30" s="39"/>
      <c r="M30" s="197"/>
      <c r="N30" s="27" t="s">
        <v>240</v>
      </c>
      <c r="O30" s="307"/>
      <c r="P30" s="46"/>
      <c r="Q30" s="43"/>
      <c r="R30" s="27"/>
      <c r="S30" s="27"/>
      <c r="T30" s="28"/>
      <c r="U30" s="27"/>
      <c r="V30" s="27" t="s">
        <v>154</v>
      </c>
      <c r="W30" s="28"/>
      <c r="X30" s="33"/>
      <c r="Y30" s="32"/>
      <c r="Z30" s="60"/>
      <c r="AA30" s="60"/>
      <c r="AB30" s="61"/>
      <c r="AC30" s="27">
        <v>10</v>
      </c>
      <c r="AD30" s="27">
        <v>5</v>
      </c>
      <c r="AE30" s="33"/>
      <c r="AG30" s="25"/>
      <c r="AH30" s="34"/>
      <c r="AI30" s="27">
        <v>2.5000000000000001E-2</v>
      </c>
      <c r="AJ30" s="27">
        <v>2.5000000000000001E-2</v>
      </c>
      <c r="AK30" s="27">
        <v>2.5000000000000001E-2</v>
      </c>
      <c r="AL30" s="25"/>
      <c r="AM30" s="34"/>
      <c r="AN30" s="27"/>
      <c r="AO30" s="27"/>
      <c r="AP30" s="36"/>
      <c r="AQ30" s="37"/>
      <c r="AR30" s="32"/>
      <c r="AS30" s="131"/>
      <c r="AT30" s="132"/>
      <c r="AU30" s="132"/>
      <c r="AW30" s="25"/>
      <c r="AX30" s="27"/>
      <c r="AY30" s="27"/>
      <c r="AZ30" s="32"/>
      <c r="BA30" s="80" t="s">
        <v>68</v>
      </c>
    </row>
    <row r="31" spans="1:53" ht="16" thickBot="1" x14ac:dyDescent="0.25">
      <c r="A31" s="25">
        <v>23</v>
      </c>
      <c r="B31" s="26">
        <v>45343</v>
      </c>
      <c r="C31" s="27" t="s">
        <v>227</v>
      </c>
      <c r="D31" s="25"/>
      <c r="E31" s="28"/>
      <c r="F31" s="27"/>
      <c r="G31" s="28"/>
      <c r="H31" s="27"/>
      <c r="I31" s="28"/>
      <c r="J31" s="27">
        <v>6</v>
      </c>
      <c r="K31" s="29" t="s">
        <v>35</v>
      </c>
      <c r="L31" s="39"/>
      <c r="M31" s="31"/>
      <c r="N31" s="27" t="s">
        <v>240</v>
      </c>
      <c r="O31" s="307"/>
      <c r="P31" s="32"/>
      <c r="Q31" s="25"/>
      <c r="R31" s="27"/>
      <c r="S31" s="27"/>
      <c r="T31" s="28"/>
      <c r="U31" s="27"/>
      <c r="V31" s="27" t="s">
        <v>154</v>
      </c>
      <c r="W31" s="28"/>
      <c r="X31" s="33"/>
      <c r="Y31" s="32"/>
      <c r="Z31" s="25"/>
      <c r="AA31" s="27"/>
      <c r="AB31" s="28"/>
      <c r="AC31" s="27">
        <v>10</v>
      </c>
      <c r="AD31" s="27">
        <v>5</v>
      </c>
      <c r="AE31" s="33"/>
      <c r="AG31" s="25"/>
      <c r="AH31" s="34"/>
      <c r="AI31" s="27">
        <v>0.05</v>
      </c>
      <c r="AJ31" s="27">
        <v>0.05</v>
      </c>
      <c r="AK31" s="27">
        <v>0.05</v>
      </c>
      <c r="AL31" s="25"/>
      <c r="AM31" s="34"/>
      <c r="AN31" s="27"/>
      <c r="AO31" s="27"/>
      <c r="AP31" s="36"/>
      <c r="AQ31" s="37"/>
      <c r="AR31" s="32"/>
      <c r="AS31" s="131"/>
      <c r="AT31" s="132"/>
      <c r="AU31" s="133"/>
      <c r="AW31" s="25"/>
      <c r="AX31" s="27"/>
      <c r="AY31" s="27"/>
      <c r="AZ31" s="32"/>
      <c r="BA31" s="41">
        <v>4</v>
      </c>
    </row>
    <row r="32" spans="1:53" ht="16" thickBot="1" x14ac:dyDescent="0.25">
      <c r="A32" s="25">
        <v>24</v>
      </c>
      <c r="B32" s="26">
        <v>45344</v>
      </c>
      <c r="C32" s="27" t="s">
        <v>227</v>
      </c>
      <c r="D32" s="25"/>
      <c r="E32" s="28"/>
      <c r="F32" s="27"/>
      <c r="G32" s="28"/>
      <c r="H32" s="27"/>
      <c r="I32" s="28"/>
      <c r="J32" s="27">
        <v>6</v>
      </c>
      <c r="K32" s="29" t="s">
        <v>35</v>
      </c>
      <c r="L32" s="44" t="s">
        <v>289</v>
      </c>
      <c r="M32" s="31"/>
      <c r="N32" s="27" t="s">
        <v>240</v>
      </c>
      <c r="O32" s="307"/>
      <c r="P32" s="32"/>
      <c r="Q32" s="25"/>
      <c r="R32" s="27"/>
      <c r="S32" s="27"/>
      <c r="T32" s="28"/>
      <c r="U32" s="27"/>
      <c r="V32" s="27" t="s">
        <v>154</v>
      </c>
      <c r="W32" s="28"/>
      <c r="X32" s="33"/>
      <c r="Y32" s="32"/>
      <c r="Z32" s="25"/>
      <c r="AA32" s="27"/>
      <c r="AB32" s="28"/>
      <c r="AC32" s="27">
        <v>10</v>
      </c>
      <c r="AD32" s="27">
        <v>5</v>
      </c>
      <c r="AE32" s="50"/>
      <c r="AF32" s="46" t="s">
        <v>290</v>
      </c>
      <c r="AG32" s="25"/>
      <c r="AH32" s="34"/>
      <c r="AI32" s="27">
        <v>0.05</v>
      </c>
      <c r="AJ32" s="27">
        <v>0.05</v>
      </c>
      <c r="AK32" s="27">
        <v>0.05</v>
      </c>
      <c r="AL32" s="25"/>
      <c r="AM32" s="34"/>
      <c r="AN32" s="27"/>
      <c r="AO32" s="27"/>
      <c r="AP32" s="36"/>
      <c r="AQ32" s="37"/>
      <c r="AR32" s="46" t="s">
        <v>291</v>
      </c>
      <c r="AS32" s="25" t="s">
        <v>72</v>
      </c>
      <c r="AT32" s="27" t="s">
        <v>52</v>
      </c>
      <c r="AU32" s="58" t="s">
        <v>295</v>
      </c>
      <c r="AW32" s="25"/>
      <c r="AX32" s="27"/>
      <c r="AY32" s="27"/>
      <c r="AZ32" s="32"/>
      <c r="BA32" s="41">
        <v>4</v>
      </c>
    </row>
    <row r="33" spans="1:53" ht="16" thickBot="1" x14ac:dyDescent="0.25">
      <c r="A33" s="25">
        <v>25</v>
      </c>
      <c r="B33" s="26">
        <v>45345</v>
      </c>
      <c r="C33" s="27" t="s">
        <v>200</v>
      </c>
      <c r="D33" s="25"/>
      <c r="E33" s="28"/>
      <c r="F33" s="27"/>
      <c r="G33" s="28"/>
      <c r="H33" s="27"/>
      <c r="I33" s="28"/>
      <c r="J33" s="27">
        <v>6</v>
      </c>
      <c r="K33" s="29" t="s">
        <v>35</v>
      </c>
      <c r="L33" s="39"/>
      <c r="M33" s="31"/>
      <c r="N33" s="27" t="s">
        <v>240</v>
      </c>
      <c r="O33" s="307"/>
      <c r="P33" s="81"/>
      <c r="Q33" s="43"/>
      <c r="R33" s="27"/>
      <c r="S33" s="27"/>
      <c r="T33" s="28"/>
      <c r="U33" s="27"/>
      <c r="V33" s="27" t="s">
        <v>154</v>
      </c>
      <c r="W33" s="28"/>
      <c r="X33" s="33"/>
      <c r="Y33" s="32"/>
      <c r="Z33" s="27"/>
      <c r="AA33" s="27"/>
      <c r="AB33" s="28"/>
      <c r="AC33" s="27"/>
      <c r="AD33" s="27"/>
      <c r="AE33" s="33"/>
      <c r="AG33" s="25"/>
      <c r="AH33" s="34"/>
      <c r="AI33" s="27">
        <v>0.05</v>
      </c>
      <c r="AJ33" s="27">
        <v>0.05</v>
      </c>
      <c r="AK33" s="27">
        <v>0.05</v>
      </c>
      <c r="AL33" s="25"/>
      <c r="AM33" s="34"/>
      <c r="AN33" s="27"/>
      <c r="AO33" s="27"/>
      <c r="AP33" s="36"/>
      <c r="AQ33" s="37"/>
      <c r="AR33" s="32" t="s">
        <v>75</v>
      </c>
      <c r="AS33" s="25" t="s">
        <v>72</v>
      </c>
      <c r="AT33" s="27" t="s">
        <v>52</v>
      </c>
      <c r="AW33" s="25"/>
      <c r="AX33" s="27"/>
      <c r="AY33" s="27"/>
      <c r="AZ33" s="32"/>
      <c r="BA33" s="41">
        <v>1</v>
      </c>
    </row>
    <row r="34" spans="1:53" ht="16" thickBot="1" x14ac:dyDescent="0.25">
      <c r="A34" s="25">
        <v>26</v>
      </c>
      <c r="B34" s="26">
        <v>45346</v>
      </c>
      <c r="C34" s="27" t="s">
        <v>200</v>
      </c>
      <c r="D34" s="25"/>
      <c r="E34" s="28"/>
      <c r="F34" s="27"/>
      <c r="G34" s="28"/>
      <c r="H34" s="27"/>
      <c r="I34" s="28"/>
      <c r="J34" s="27">
        <v>6</v>
      </c>
      <c r="K34" s="29" t="s">
        <v>35</v>
      </c>
      <c r="L34" s="39"/>
      <c r="M34" s="31"/>
      <c r="N34" s="27" t="s">
        <v>240</v>
      </c>
      <c r="O34" s="307"/>
      <c r="P34" s="32"/>
      <c r="Q34" s="25"/>
      <c r="R34" s="27"/>
      <c r="S34" s="27"/>
      <c r="T34" s="28"/>
      <c r="U34" s="27"/>
      <c r="V34" s="27" t="s">
        <v>154</v>
      </c>
      <c r="W34" s="28"/>
      <c r="X34" s="33"/>
      <c r="Y34" s="32"/>
      <c r="Z34" s="25"/>
      <c r="AA34" s="27"/>
      <c r="AB34" s="28"/>
      <c r="AC34" s="27"/>
      <c r="AD34" s="27"/>
      <c r="AE34" s="33"/>
      <c r="AG34" s="25"/>
      <c r="AH34" s="34"/>
      <c r="AI34" s="27">
        <v>0.05</v>
      </c>
      <c r="AJ34" s="27">
        <v>0.05</v>
      </c>
      <c r="AK34" s="27">
        <v>0.05</v>
      </c>
      <c r="AL34" s="25"/>
      <c r="AM34" s="34"/>
      <c r="AN34" s="27"/>
      <c r="AO34" s="27"/>
      <c r="AP34" s="36"/>
      <c r="AQ34" s="37"/>
      <c r="AR34" s="32" t="s">
        <v>75</v>
      </c>
      <c r="AS34" s="25" t="s">
        <v>72</v>
      </c>
      <c r="AT34" s="27" t="s">
        <v>52</v>
      </c>
      <c r="AW34" s="25"/>
      <c r="AX34" s="27"/>
      <c r="AY34" s="27"/>
      <c r="AZ34" s="32"/>
      <c r="BA34" s="41">
        <v>2</v>
      </c>
    </row>
    <row r="35" spans="1:53" ht="16" thickBot="1" x14ac:dyDescent="0.25">
      <c r="A35" s="25">
        <v>27</v>
      </c>
      <c r="B35" s="26">
        <v>45347</v>
      </c>
      <c r="C35" s="27" t="s">
        <v>232</v>
      </c>
      <c r="D35" s="25"/>
      <c r="E35" s="28"/>
      <c r="F35" s="27"/>
      <c r="G35" s="28"/>
      <c r="H35" s="27"/>
      <c r="I35" s="28"/>
      <c r="J35" s="27">
        <v>6</v>
      </c>
      <c r="K35" s="29" t="s">
        <v>35</v>
      </c>
      <c r="L35" s="39"/>
      <c r="M35" s="31"/>
      <c r="N35" s="27" t="s">
        <v>240</v>
      </c>
      <c r="O35" s="307"/>
      <c r="P35" s="32"/>
      <c r="Q35" s="25"/>
      <c r="R35" s="27"/>
      <c r="S35" s="27"/>
      <c r="T35" s="28"/>
      <c r="U35" s="27"/>
      <c r="V35" s="27" t="s">
        <v>154</v>
      </c>
      <c r="W35" s="28"/>
      <c r="X35" s="33"/>
      <c r="Y35" s="32"/>
      <c r="Z35" s="25"/>
      <c r="AA35" s="27"/>
      <c r="AB35" s="28"/>
      <c r="AC35" s="27"/>
      <c r="AD35" s="27"/>
      <c r="AE35" s="33"/>
      <c r="AG35" s="25"/>
      <c r="AH35" s="34"/>
      <c r="AI35" s="27">
        <v>0.05</v>
      </c>
      <c r="AJ35" s="27">
        <v>0.05</v>
      </c>
      <c r="AK35" s="27">
        <v>0.05</v>
      </c>
      <c r="AL35" s="25"/>
      <c r="AM35" s="34"/>
      <c r="AN35" s="27">
        <v>2.5000000000000001E-2</v>
      </c>
      <c r="AO35" s="27">
        <v>2.5000000000000001E-2</v>
      </c>
      <c r="AP35" s="36">
        <v>2.5000000000000001E-2</v>
      </c>
      <c r="AQ35" s="82" t="s">
        <v>292</v>
      </c>
      <c r="AR35" s="32" t="s">
        <v>293</v>
      </c>
      <c r="AS35" s="25" t="s">
        <v>72</v>
      </c>
      <c r="AT35" s="27" t="s">
        <v>52</v>
      </c>
      <c r="AU35" s="27"/>
      <c r="AW35" s="25"/>
      <c r="AX35" s="27"/>
      <c r="AY35" s="27"/>
      <c r="AZ35" s="32"/>
      <c r="BA35" s="41">
        <v>3</v>
      </c>
    </row>
    <row r="36" spans="1:53" x14ac:dyDescent="0.2">
      <c r="A36" s="25">
        <v>28</v>
      </c>
      <c r="B36" s="26">
        <v>45348</v>
      </c>
      <c r="C36" s="27" t="s">
        <v>232</v>
      </c>
      <c r="D36" s="25"/>
      <c r="E36" s="28"/>
      <c r="F36" s="27"/>
      <c r="G36" s="28"/>
      <c r="H36" s="27"/>
      <c r="I36" s="28"/>
      <c r="J36" s="27">
        <v>6</v>
      </c>
      <c r="K36" s="29" t="s">
        <v>35</v>
      </c>
      <c r="L36" s="39"/>
      <c r="M36" s="31"/>
      <c r="N36" s="27" t="s">
        <v>240</v>
      </c>
      <c r="O36" s="307"/>
      <c r="P36" s="32"/>
      <c r="Q36" s="25"/>
      <c r="R36" s="27"/>
      <c r="S36" s="27"/>
      <c r="T36" s="28"/>
      <c r="U36" s="27"/>
      <c r="V36" s="27" t="s">
        <v>154</v>
      </c>
      <c r="W36" s="28"/>
      <c r="Y36" s="32"/>
      <c r="Z36" s="25"/>
      <c r="AA36" s="27"/>
      <c r="AB36" s="28"/>
      <c r="AC36" s="27"/>
      <c r="AD36" s="27"/>
      <c r="AE36" s="33"/>
      <c r="AG36" s="25"/>
      <c r="AH36" s="34"/>
      <c r="AI36" s="27">
        <v>0.05</v>
      </c>
      <c r="AJ36" s="27">
        <v>0.05</v>
      </c>
      <c r="AK36" s="27">
        <v>0.05</v>
      </c>
      <c r="AL36" s="25"/>
      <c r="AM36" s="34"/>
      <c r="AN36" s="27">
        <v>2.5000000000000001E-2</v>
      </c>
      <c r="AO36" s="27">
        <v>2.5000000000000001E-2</v>
      </c>
      <c r="AP36" s="36">
        <v>2.5000000000000001E-2</v>
      </c>
      <c r="AR36" s="32" t="s">
        <v>293</v>
      </c>
      <c r="AS36" s="25" t="s">
        <v>72</v>
      </c>
      <c r="AT36" s="27" t="s">
        <v>52</v>
      </c>
      <c r="AU36" s="27"/>
      <c r="AW36" s="25"/>
      <c r="AX36" s="27"/>
      <c r="AY36" s="27"/>
      <c r="AZ36" s="32"/>
      <c r="BA36" s="41">
        <v>0</v>
      </c>
    </row>
    <row r="37" spans="1:53" ht="17.25" customHeight="1" thickBot="1" x14ac:dyDescent="0.25">
      <c r="A37" s="25">
        <v>29</v>
      </c>
      <c r="B37" s="26">
        <v>45349</v>
      </c>
      <c r="C37" s="27"/>
      <c r="D37" s="25"/>
      <c r="E37" s="28"/>
      <c r="F37" s="27"/>
      <c r="G37" s="28"/>
      <c r="H37" s="27"/>
      <c r="I37" s="28"/>
      <c r="J37" s="27">
        <v>6</v>
      </c>
      <c r="K37" s="29" t="s">
        <v>35</v>
      </c>
      <c r="L37" s="39"/>
      <c r="M37" s="31"/>
      <c r="N37" s="27" t="s">
        <v>240</v>
      </c>
      <c r="O37" s="307"/>
      <c r="P37" s="32"/>
      <c r="Q37" s="25"/>
      <c r="R37" s="27"/>
      <c r="S37" s="27"/>
      <c r="T37" s="28"/>
      <c r="U37" s="27"/>
      <c r="V37" s="27" t="s">
        <v>154</v>
      </c>
      <c r="W37" s="28"/>
      <c r="X37" s="33"/>
      <c r="Y37" s="32"/>
      <c r="Z37" s="25"/>
      <c r="AA37" s="27"/>
      <c r="AB37" s="28"/>
      <c r="AC37" s="27"/>
      <c r="AD37" s="27"/>
      <c r="AE37" s="33"/>
      <c r="AG37" s="25"/>
      <c r="AH37" s="34"/>
      <c r="AI37" s="27"/>
      <c r="AJ37" s="27"/>
      <c r="AK37" s="27"/>
      <c r="AL37" s="25"/>
      <c r="AM37" s="34"/>
      <c r="AN37" s="27"/>
      <c r="AO37" s="27"/>
      <c r="AP37" s="36"/>
      <c r="AQ37" s="37"/>
      <c r="AR37" s="32" t="s">
        <v>293</v>
      </c>
      <c r="AS37" s="25" t="s">
        <v>72</v>
      </c>
      <c r="AT37" s="27" t="s">
        <v>52</v>
      </c>
      <c r="AU37" s="27"/>
      <c r="AW37" s="25"/>
      <c r="AX37" s="27"/>
      <c r="AY37" s="27"/>
      <c r="AZ37" s="32"/>
      <c r="BA37" s="41"/>
    </row>
    <row r="38" spans="1:53" s="87" customFormat="1" ht="16" thickBot="1" x14ac:dyDescent="0.25">
      <c r="A38" s="83">
        <v>30</v>
      </c>
      <c r="B38" s="26">
        <v>45350</v>
      </c>
      <c r="C38" s="83" t="s">
        <v>232</v>
      </c>
      <c r="D38" s="83"/>
      <c r="E38" s="83"/>
      <c r="F38" s="83"/>
      <c r="G38" s="83"/>
      <c r="H38" s="83"/>
      <c r="I38" s="83"/>
      <c r="J38" s="202">
        <v>45357</v>
      </c>
      <c r="K38" s="85" t="s">
        <v>35</v>
      </c>
      <c r="L38" s="86"/>
      <c r="M38" s="86"/>
      <c r="N38" s="27" t="s">
        <v>240</v>
      </c>
      <c r="O38" s="307"/>
      <c r="Q38" s="83"/>
      <c r="R38" s="83"/>
      <c r="S38" s="83"/>
      <c r="T38" s="83"/>
      <c r="U38" s="83"/>
      <c r="V38" s="83" t="s">
        <v>154</v>
      </c>
      <c r="W38" s="83"/>
      <c r="X38" s="83"/>
      <c r="Z38" s="83"/>
      <c r="AA38" s="83"/>
      <c r="AB38" s="83"/>
      <c r="AC38" s="83"/>
      <c r="AD38" s="83"/>
      <c r="AE38" s="83"/>
      <c r="AG38" s="83"/>
      <c r="AH38" s="83"/>
      <c r="AI38" s="83">
        <v>0.05</v>
      </c>
      <c r="AJ38" s="83">
        <v>0.05</v>
      </c>
      <c r="AK38" s="83">
        <v>0.05</v>
      </c>
      <c r="AL38" s="83"/>
      <c r="AM38" s="83"/>
      <c r="AN38" s="83">
        <v>0.05</v>
      </c>
      <c r="AO38" s="83">
        <v>0.05</v>
      </c>
      <c r="AP38" s="83">
        <v>0.05</v>
      </c>
      <c r="AR38" s="190" t="s">
        <v>294</v>
      </c>
      <c r="AS38" s="83" t="s">
        <v>72</v>
      </c>
      <c r="AT38" s="83" t="s">
        <v>52</v>
      </c>
      <c r="AU38" s="83"/>
      <c r="AW38" s="83"/>
      <c r="AX38" s="83"/>
      <c r="AY38" s="83"/>
      <c r="BA38" s="83">
        <v>0</v>
      </c>
    </row>
    <row r="39" spans="1:53" x14ac:dyDescent="0.2">
      <c r="A39" s="25">
        <v>31</v>
      </c>
      <c r="B39" s="26">
        <v>45351</v>
      </c>
      <c r="C39" s="27" t="s">
        <v>232</v>
      </c>
      <c r="D39" s="25"/>
      <c r="E39" s="28"/>
      <c r="F39" s="27"/>
      <c r="G39" s="28"/>
      <c r="H39" s="27"/>
      <c r="I39" s="28"/>
      <c r="J39" s="202">
        <v>45357</v>
      </c>
      <c r="K39" s="29" t="s">
        <v>35</v>
      </c>
      <c r="L39" s="39"/>
      <c r="M39" s="31"/>
      <c r="N39" s="27" t="s">
        <v>272</v>
      </c>
      <c r="O39" s="307"/>
      <c r="P39" s="32"/>
      <c r="Q39" s="25"/>
      <c r="R39" s="27"/>
      <c r="S39" s="27"/>
      <c r="T39" s="28"/>
      <c r="U39" s="27"/>
      <c r="V39" s="27" t="s">
        <v>154</v>
      </c>
      <c r="W39" s="28"/>
      <c r="X39" s="33"/>
      <c r="Y39" s="32"/>
      <c r="Z39" s="25"/>
      <c r="AA39" s="27"/>
      <c r="AB39" s="28"/>
      <c r="AC39" s="27"/>
      <c r="AD39" s="27"/>
      <c r="AE39" s="33"/>
      <c r="AG39" s="25"/>
      <c r="AH39" s="34"/>
      <c r="AI39" s="27"/>
      <c r="AJ39" s="27"/>
      <c r="AK39" s="27"/>
      <c r="AL39" s="25"/>
      <c r="AM39" s="34"/>
      <c r="AN39" s="27">
        <v>0.1</v>
      </c>
      <c r="AO39" s="27">
        <v>0.1</v>
      </c>
      <c r="AP39" s="36">
        <v>0.1</v>
      </c>
      <c r="AQ39" s="37"/>
      <c r="AR39" s="66"/>
      <c r="AS39" s="25" t="s">
        <v>72</v>
      </c>
      <c r="AT39" s="27" t="s">
        <v>52</v>
      </c>
      <c r="AU39" s="27"/>
      <c r="AW39" s="25"/>
      <c r="AX39" s="27"/>
      <c r="AY39" s="27"/>
      <c r="AZ39" s="32"/>
      <c r="BA39" s="41">
        <v>0</v>
      </c>
    </row>
    <row r="40" spans="1:53" x14ac:dyDescent="0.2">
      <c r="A40" s="25">
        <v>32</v>
      </c>
      <c r="B40" s="26">
        <v>45352</v>
      </c>
      <c r="C40" s="27" t="s">
        <v>232</v>
      </c>
      <c r="D40" s="25"/>
      <c r="E40" s="28"/>
      <c r="F40" s="27"/>
      <c r="G40" s="28"/>
      <c r="H40" s="27"/>
      <c r="I40" s="28"/>
      <c r="J40" s="202">
        <v>45357</v>
      </c>
      <c r="K40" s="29" t="s">
        <v>35</v>
      </c>
      <c r="L40" s="39"/>
      <c r="M40" s="31"/>
      <c r="N40" s="27" t="s">
        <v>272</v>
      </c>
      <c r="O40" s="307"/>
      <c r="P40" s="32"/>
      <c r="Q40" s="25"/>
      <c r="R40" s="27"/>
      <c r="S40" s="27"/>
      <c r="T40" s="28"/>
      <c r="U40" s="27"/>
      <c r="V40" s="27" t="s">
        <v>154</v>
      </c>
      <c r="W40" s="28"/>
      <c r="X40" s="33"/>
      <c r="Y40" s="32"/>
      <c r="Z40" s="25"/>
      <c r="AA40" s="27"/>
      <c r="AB40" s="28"/>
      <c r="AC40" s="27"/>
      <c r="AD40" s="27"/>
      <c r="AE40" s="33"/>
      <c r="AG40" s="25"/>
      <c r="AH40" s="34"/>
      <c r="AI40" s="27"/>
      <c r="AJ40" s="27"/>
      <c r="AK40" s="27"/>
      <c r="AL40" s="25"/>
      <c r="AM40" s="34"/>
      <c r="AN40" s="27">
        <v>0.1</v>
      </c>
      <c r="AO40" s="27">
        <v>0.1</v>
      </c>
      <c r="AP40" s="36">
        <v>0.1</v>
      </c>
      <c r="AQ40" s="37"/>
      <c r="AR40" s="32"/>
      <c r="AS40" s="25" t="s">
        <v>72</v>
      </c>
      <c r="AT40" s="27" t="s">
        <v>52</v>
      </c>
      <c r="AU40" s="27"/>
      <c r="AW40" s="25"/>
      <c r="AX40" s="27"/>
      <c r="AY40" s="27"/>
      <c r="AZ40" s="32"/>
      <c r="BA40" s="41">
        <v>0</v>
      </c>
    </row>
    <row r="41" spans="1:53" x14ac:dyDescent="0.2">
      <c r="A41" s="25">
        <v>33</v>
      </c>
      <c r="B41" s="26">
        <v>45353</v>
      </c>
      <c r="C41" s="27" t="s">
        <v>112</v>
      </c>
      <c r="D41" s="25"/>
      <c r="E41" s="28"/>
      <c r="F41" s="27"/>
      <c r="G41" s="28"/>
      <c r="H41" s="27"/>
      <c r="I41" s="28"/>
      <c r="J41" s="202">
        <v>45357</v>
      </c>
      <c r="K41" s="29" t="s">
        <v>35</v>
      </c>
      <c r="L41" s="39" t="s">
        <v>322</v>
      </c>
      <c r="M41" s="31"/>
      <c r="N41" s="27" t="s">
        <v>272</v>
      </c>
      <c r="O41" s="307"/>
      <c r="P41" s="32"/>
      <c r="Q41" s="25"/>
      <c r="R41" s="27"/>
      <c r="S41" s="27"/>
      <c r="T41" s="28"/>
      <c r="U41" s="27"/>
      <c r="V41" s="27" t="s">
        <v>154</v>
      </c>
      <c r="W41" s="28"/>
      <c r="X41" s="33"/>
      <c r="Y41" s="32"/>
      <c r="Z41" s="25"/>
      <c r="AA41" s="27"/>
      <c r="AB41" s="28"/>
      <c r="AC41" s="27"/>
      <c r="AD41" s="27"/>
      <c r="AE41" s="33"/>
      <c r="AG41" s="25"/>
      <c r="AH41" s="34"/>
      <c r="AI41" s="27"/>
      <c r="AJ41" s="27"/>
      <c r="AK41" s="27"/>
      <c r="AL41" s="25"/>
      <c r="AM41" s="34"/>
      <c r="AN41" s="27">
        <v>0.1</v>
      </c>
      <c r="AO41" s="27">
        <v>0.1</v>
      </c>
      <c r="AP41" s="36">
        <v>0.1</v>
      </c>
      <c r="AQ41" s="37"/>
      <c r="AR41" s="32"/>
      <c r="AS41" s="25" t="s">
        <v>72</v>
      </c>
      <c r="AT41" s="27" t="s">
        <v>52</v>
      </c>
      <c r="AW41" s="25"/>
      <c r="AX41" s="27"/>
      <c r="AY41" s="27"/>
      <c r="AZ41" s="32"/>
      <c r="BA41" s="41">
        <v>0</v>
      </c>
    </row>
    <row r="42" spans="1:53" ht="16" thickBot="1" x14ac:dyDescent="0.25">
      <c r="A42" s="25">
        <v>34</v>
      </c>
      <c r="B42" s="26">
        <v>45354</v>
      </c>
      <c r="C42" s="27" t="s">
        <v>232</v>
      </c>
      <c r="D42" s="25"/>
      <c r="E42" s="28"/>
      <c r="F42" s="27"/>
      <c r="G42" s="28"/>
      <c r="H42" s="27"/>
      <c r="I42" s="28"/>
      <c r="J42" s="202">
        <v>45357</v>
      </c>
      <c r="K42" s="29" t="s">
        <v>35</v>
      </c>
      <c r="L42" s="39"/>
      <c r="M42" s="31" t="s">
        <v>331</v>
      </c>
      <c r="N42" s="27" t="s">
        <v>272</v>
      </c>
      <c r="O42" s="307"/>
      <c r="P42" s="32"/>
      <c r="Q42" s="25"/>
      <c r="R42" s="27"/>
      <c r="S42" s="27"/>
      <c r="T42" s="28"/>
      <c r="U42" s="27"/>
      <c r="V42" s="27" t="s">
        <v>154</v>
      </c>
      <c r="W42" s="28"/>
      <c r="X42" s="33"/>
      <c r="Y42" s="32"/>
      <c r="Z42" s="25"/>
      <c r="AA42" s="27"/>
      <c r="AB42" s="28"/>
      <c r="AC42" s="27"/>
      <c r="AD42" s="27"/>
      <c r="AE42" s="33"/>
      <c r="AG42" s="25"/>
      <c r="AH42" s="34"/>
      <c r="AI42" s="27"/>
      <c r="AJ42" s="27"/>
      <c r="AK42" s="27"/>
      <c r="AL42" s="25"/>
      <c r="AM42" s="34"/>
      <c r="AN42" s="27">
        <v>0.1</v>
      </c>
      <c r="AO42" s="27">
        <v>0.1</v>
      </c>
      <c r="AP42" s="36">
        <v>0.1</v>
      </c>
      <c r="AQ42" s="37"/>
      <c r="AR42" s="32"/>
      <c r="AS42" s="25" t="s">
        <v>72</v>
      </c>
      <c r="AT42" s="27" t="s">
        <v>52</v>
      </c>
      <c r="AU42" s="27"/>
      <c r="AW42" s="25"/>
      <c r="AX42" s="27"/>
      <c r="AY42" s="27"/>
      <c r="AZ42" s="32"/>
      <c r="BA42" s="41">
        <v>0</v>
      </c>
    </row>
    <row r="43" spans="1:53" ht="16" thickBot="1" x14ac:dyDescent="0.25">
      <c r="A43" s="25">
        <v>35</v>
      </c>
      <c r="B43" s="26">
        <v>45355</v>
      </c>
      <c r="C43" s="27" t="s">
        <v>232</v>
      </c>
      <c r="D43" s="25"/>
      <c r="E43" s="28"/>
      <c r="F43" s="27"/>
      <c r="G43" s="28"/>
      <c r="H43" s="27"/>
      <c r="I43" s="28"/>
      <c r="J43" s="202">
        <v>45357</v>
      </c>
      <c r="K43" s="29" t="s">
        <v>35</v>
      </c>
      <c r="L43" s="39"/>
      <c r="M43" s="31" t="s">
        <v>330</v>
      </c>
      <c r="N43" s="27" t="s">
        <v>272</v>
      </c>
      <c r="O43" s="307"/>
      <c r="P43" s="32"/>
      <c r="Q43" s="25"/>
      <c r="R43" s="27"/>
      <c r="S43" s="27"/>
      <c r="T43" s="28"/>
      <c r="U43" s="27"/>
      <c r="V43" s="27" t="s">
        <v>154</v>
      </c>
      <c r="W43" s="28"/>
      <c r="X43" s="33"/>
      <c r="Y43" s="32"/>
      <c r="Z43" s="25"/>
      <c r="AA43" s="27"/>
      <c r="AB43" s="28"/>
      <c r="AC43" s="27"/>
      <c r="AD43" s="27"/>
      <c r="AE43" s="33"/>
      <c r="AG43" s="25"/>
      <c r="AH43" s="34"/>
      <c r="AI43" s="27"/>
      <c r="AJ43" s="27"/>
      <c r="AK43" s="27"/>
      <c r="AL43" s="25"/>
      <c r="AM43" s="34"/>
      <c r="AN43" s="27">
        <v>0.1</v>
      </c>
      <c r="AO43" s="27">
        <v>0.1</v>
      </c>
      <c r="AP43" s="36">
        <v>0.1</v>
      </c>
      <c r="AQ43" s="37"/>
      <c r="AR43" s="32"/>
      <c r="AS43" s="25" t="s">
        <v>72</v>
      </c>
      <c r="AT43" s="27" t="s">
        <v>52</v>
      </c>
      <c r="AU43" s="58" t="s">
        <v>77</v>
      </c>
      <c r="AW43" s="25"/>
      <c r="AX43" s="27" t="s">
        <v>325</v>
      </c>
      <c r="AY43" s="27" t="s">
        <v>324</v>
      </c>
      <c r="AZ43" s="32" t="s">
        <v>326</v>
      </c>
      <c r="BA43" s="41">
        <v>14</v>
      </c>
    </row>
    <row r="44" spans="1:53" ht="16" thickBot="1" x14ac:dyDescent="0.25">
      <c r="A44" s="25">
        <v>36</v>
      </c>
      <c r="B44" s="26">
        <v>45356</v>
      </c>
      <c r="C44" s="27" t="s">
        <v>232</v>
      </c>
      <c r="D44" s="25"/>
      <c r="E44" s="28"/>
      <c r="F44" s="27"/>
      <c r="G44" s="28"/>
      <c r="H44" s="27"/>
      <c r="I44" s="28"/>
      <c r="J44" s="202">
        <v>45357</v>
      </c>
      <c r="K44" s="29" t="s">
        <v>35</v>
      </c>
      <c r="L44" s="53"/>
      <c r="M44" s="31"/>
      <c r="N44" s="27" t="s">
        <v>272</v>
      </c>
      <c r="O44" s="307"/>
      <c r="P44" s="32"/>
      <c r="Q44" s="25"/>
      <c r="R44" s="27"/>
      <c r="S44" s="27"/>
      <c r="T44" s="28"/>
      <c r="U44" s="27"/>
      <c r="V44" s="27" t="s">
        <v>154</v>
      </c>
      <c r="W44" s="28"/>
      <c r="X44" s="33"/>
      <c r="Y44" s="32"/>
      <c r="Z44" s="25"/>
      <c r="AA44" s="27"/>
      <c r="AB44" s="28"/>
      <c r="AC44" s="27"/>
      <c r="AD44" s="27"/>
      <c r="AE44" s="33"/>
      <c r="AG44" s="25"/>
      <c r="AH44" s="34"/>
      <c r="AI44" s="27"/>
      <c r="AJ44" s="27"/>
      <c r="AK44" s="27"/>
      <c r="AL44" s="25"/>
      <c r="AM44" s="34"/>
      <c r="AN44" s="27">
        <v>0.1</v>
      </c>
      <c r="AO44" s="27">
        <v>0.1</v>
      </c>
      <c r="AP44" s="36">
        <v>0.1</v>
      </c>
      <c r="AQ44" s="37"/>
      <c r="AR44" s="32"/>
      <c r="AS44" s="25" t="s">
        <v>78</v>
      </c>
      <c r="AT44" s="27" t="s">
        <v>52</v>
      </c>
      <c r="AW44" s="25"/>
      <c r="AX44" s="27" t="s">
        <v>325</v>
      </c>
      <c r="AY44" s="27"/>
      <c r="AZ44" s="32"/>
      <c r="BA44" s="41">
        <v>2</v>
      </c>
    </row>
    <row r="45" spans="1:53" ht="16" thickBot="1" x14ac:dyDescent="0.25">
      <c r="A45" s="25">
        <v>37</v>
      </c>
      <c r="B45" s="26">
        <v>45357</v>
      </c>
      <c r="C45" s="27" t="s">
        <v>227</v>
      </c>
      <c r="D45" s="25"/>
      <c r="E45" s="28"/>
      <c r="F45" s="27"/>
      <c r="G45" s="28"/>
      <c r="H45" s="27"/>
      <c r="I45" s="28"/>
      <c r="J45" s="202">
        <v>45357</v>
      </c>
      <c r="K45" s="29" t="s">
        <v>35</v>
      </c>
      <c r="L45" s="53"/>
      <c r="M45" s="31"/>
      <c r="N45" s="27" t="s">
        <v>272</v>
      </c>
      <c r="O45" s="307"/>
      <c r="P45" s="32"/>
      <c r="Q45" s="25"/>
      <c r="R45" s="27"/>
      <c r="S45" s="27"/>
      <c r="T45" s="28"/>
      <c r="U45" s="27"/>
      <c r="V45" s="27" t="s">
        <v>154</v>
      </c>
      <c r="W45" s="28"/>
      <c r="X45" s="33"/>
      <c r="Y45" s="32"/>
      <c r="Z45" s="59"/>
      <c r="AA45" s="60"/>
      <c r="AB45" s="61"/>
      <c r="AC45" s="27"/>
      <c r="AD45" s="27"/>
      <c r="AE45" s="33"/>
      <c r="AG45" s="25"/>
      <c r="AH45" s="34"/>
      <c r="AI45" s="27"/>
      <c r="AJ45" s="27"/>
      <c r="AK45" s="27"/>
      <c r="AL45" s="25"/>
      <c r="AM45" s="34"/>
      <c r="AN45" s="27">
        <v>0.1</v>
      </c>
      <c r="AO45" s="27">
        <v>0.1</v>
      </c>
      <c r="AP45" s="36">
        <v>0.1</v>
      </c>
      <c r="AQ45" s="37"/>
      <c r="AR45" s="32"/>
      <c r="AS45" s="25" t="s">
        <v>78</v>
      </c>
      <c r="AT45" s="27" t="s">
        <v>52</v>
      </c>
      <c r="AU45" s="27"/>
      <c r="AW45" s="25"/>
      <c r="AX45" s="27" t="s">
        <v>325</v>
      </c>
      <c r="AY45" s="27"/>
      <c r="AZ45" s="32"/>
      <c r="BA45" s="41">
        <v>2</v>
      </c>
    </row>
    <row r="46" spans="1:53" x14ac:dyDescent="0.2">
      <c r="A46" s="25">
        <v>38</v>
      </c>
      <c r="B46" s="26">
        <v>45358</v>
      </c>
      <c r="C46" s="27" t="s">
        <v>200</v>
      </c>
      <c r="D46" s="25"/>
      <c r="E46" s="28"/>
      <c r="F46" s="27"/>
      <c r="G46" s="28"/>
      <c r="H46" s="27"/>
      <c r="I46" s="28"/>
      <c r="J46" s="202">
        <v>45357</v>
      </c>
      <c r="K46" s="29" t="s">
        <v>35</v>
      </c>
      <c r="L46" s="39"/>
      <c r="M46" s="31"/>
      <c r="N46" s="27" t="s">
        <v>272</v>
      </c>
      <c r="O46" s="307"/>
      <c r="P46" s="32"/>
      <c r="Q46" s="25"/>
      <c r="R46" s="27"/>
      <c r="S46" s="27"/>
      <c r="T46" s="28"/>
      <c r="U46" s="27"/>
      <c r="V46" s="27" t="s">
        <v>154</v>
      </c>
      <c r="W46" s="28"/>
      <c r="X46" s="33"/>
      <c r="Y46" s="32"/>
      <c r="Z46" s="25"/>
      <c r="AA46" s="27"/>
      <c r="AB46" s="28"/>
      <c r="AC46" s="27"/>
      <c r="AD46" s="27"/>
      <c r="AE46" s="33"/>
      <c r="AG46" s="25"/>
      <c r="AH46" s="34"/>
      <c r="AI46" s="27"/>
      <c r="AJ46" s="27"/>
      <c r="AK46" s="27"/>
      <c r="AL46" s="25"/>
      <c r="AM46" s="34"/>
      <c r="AN46" s="27">
        <v>0.1</v>
      </c>
      <c r="AO46" s="27">
        <v>0.1</v>
      </c>
      <c r="AP46" s="36">
        <v>0.1</v>
      </c>
      <c r="AQ46" s="37"/>
      <c r="AR46" s="32"/>
      <c r="AS46" s="25" t="s">
        <v>78</v>
      </c>
      <c r="AT46" s="27" t="s">
        <v>52</v>
      </c>
      <c r="AU46" s="27"/>
      <c r="AW46" s="25"/>
      <c r="AX46" s="27" t="s">
        <v>325</v>
      </c>
      <c r="AY46" s="27"/>
      <c r="AZ46" s="32"/>
      <c r="BA46" s="41">
        <v>2</v>
      </c>
    </row>
    <row r="47" spans="1:53" ht="16" thickBot="1" x14ac:dyDescent="0.25">
      <c r="A47" s="25">
        <v>39</v>
      </c>
      <c r="B47" s="26">
        <v>45359</v>
      </c>
      <c r="C47" s="27" t="s">
        <v>200</v>
      </c>
      <c r="D47" s="25"/>
      <c r="E47" s="28"/>
      <c r="F47" s="27"/>
      <c r="G47" s="28"/>
      <c r="H47" s="27"/>
      <c r="I47" s="28"/>
      <c r="J47" s="202">
        <v>45357</v>
      </c>
      <c r="K47" s="29" t="s">
        <v>35</v>
      </c>
      <c r="L47" t="s">
        <v>332</v>
      </c>
      <c r="M47" s="31"/>
      <c r="N47" s="27" t="s">
        <v>272</v>
      </c>
      <c r="O47" s="307"/>
      <c r="P47" s="32"/>
      <c r="Q47" s="25"/>
      <c r="R47" s="27"/>
      <c r="S47" s="27"/>
      <c r="T47" s="28"/>
      <c r="U47" s="27"/>
      <c r="V47" s="27" t="s">
        <v>154</v>
      </c>
      <c r="W47" s="28"/>
      <c r="X47" s="33"/>
      <c r="Y47" s="32"/>
      <c r="Z47" s="25"/>
      <c r="AA47" s="27"/>
      <c r="AB47" s="28"/>
      <c r="AC47" s="27"/>
      <c r="AD47" s="27"/>
      <c r="AE47" s="33"/>
      <c r="AG47" s="25"/>
      <c r="AH47" s="34"/>
      <c r="AI47" s="27"/>
      <c r="AJ47" s="27"/>
      <c r="AK47" s="27"/>
      <c r="AL47" s="25"/>
      <c r="AM47" s="34"/>
      <c r="AN47" s="27">
        <v>0.1</v>
      </c>
      <c r="AO47" s="27">
        <v>0.1</v>
      </c>
      <c r="AP47" s="36">
        <v>0.1</v>
      </c>
      <c r="AQ47" s="37"/>
      <c r="AR47" s="32"/>
      <c r="AS47" s="25" t="s">
        <v>78</v>
      </c>
      <c r="AT47" s="27" t="s">
        <v>52</v>
      </c>
      <c r="AU47" s="27"/>
      <c r="AW47" s="25"/>
      <c r="AX47" s="27" t="s">
        <v>325</v>
      </c>
      <c r="AY47" s="27"/>
      <c r="AZ47" s="32"/>
      <c r="BA47" s="41">
        <v>2</v>
      </c>
    </row>
    <row r="48" spans="1:53" ht="16" thickBot="1" x14ac:dyDescent="0.25">
      <c r="A48" s="25">
        <v>40</v>
      </c>
      <c r="B48" s="26">
        <v>45360</v>
      </c>
      <c r="C48" s="27" t="s">
        <v>200</v>
      </c>
      <c r="D48" s="25"/>
      <c r="E48" s="28"/>
      <c r="F48" s="27"/>
      <c r="G48" s="28"/>
      <c r="H48" s="27"/>
      <c r="I48" s="28"/>
      <c r="J48" s="202">
        <v>45357</v>
      </c>
      <c r="K48" s="29" t="s">
        <v>35</v>
      </c>
      <c r="L48" s="53" t="s">
        <v>334</v>
      </c>
      <c r="M48" s="31"/>
      <c r="N48" s="27" t="s">
        <v>272</v>
      </c>
      <c r="O48" s="308"/>
      <c r="Q48" s="25"/>
      <c r="R48" s="27"/>
      <c r="S48" s="27"/>
      <c r="T48" s="28"/>
      <c r="U48" s="27"/>
      <c r="V48" s="27" t="s">
        <v>154</v>
      </c>
      <c r="W48" s="28"/>
      <c r="X48" s="33"/>
      <c r="Y48" s="32"/>
      <c r="Z48" s="59"/>
      <c r="AA48" s="60"/>
      <c r="AB48" s="61"/>
      <c r="AC48" s="27"/>
      <c r="AD48" s="27"/>
      <c r="AE48" s="33"/>
      <c r="AG48" s="25"/>
      <c r="AH48" s="34"/>
      <c r="AI48" s="27"/>
      <c r="AJ48" s="27"/>
      <c r="AK48" s="27"/>
      <c r="AL48" s="25"/>
      <c r="AM48" s="34"/>
      <c r="AN48" s="27">
        <v>0.1</v>
      </c>
      <c r="AO48" s="27">
        <v>0.1</v>
      </c>
      <c r="AP48" s="36">
        <v>0.1</v>
      </c>
      <c r="AQ48" s="37"/>
      <c r="AR48" s="32"/>
      <c r="AS48" s="25" t="s">
        <v>79</v>
      </c>
      <c r="AT48" s="27" t="s">
        <v>52</v>
      </c>
      <c r="AU48" s="58" t="s">
        <v>80</v>
      </c>
      <c r="AW48" s="25"/>
      <c r="AX48" s="27" t="s">
        <v>325</v>
      </c>
      <c r="AY48" s="27"/>
      <c r="AZ48" s="32"/>
      <c r="BA48" s="41">
        <v>0</v>
      </c>
    </row>
    <row r="49" spans="1:53" x14ac:dyDescent="0.2">
      <c r="A49" s="25">
        <v>41</v>
      </c>
      <c r="B49" s="26">
        <v>45361</v>
      </c>
      <c r="C49" s="27" t="s">
        <v>232</v>
      </c>
      <c r="D49" s="25"/>
      <c r="E49" s="28"/>
      <c r="F49" s="27"/>
      <c r="G49" s="28"/>
      <c r="H49" s="27"/>
      <c r="I49" s="28"/>
      <c r="J49" s="202">
        <v>45357</v>
      </c>
      <c r="K49" s="29" t="s">
        <v>35</v>
      </c>
      <c r="M49" s="31"/>
      <c r="N49" s="27" t="s">
        <v>272</v>
      </c>
      <c r="P49" s="32"/>
      <c r="Q49" s="25"/>
      <c r="R49" s="27"/>
      <c r="S49" s="27"/>
      <c r="T49" s="28"/>
      <c r="U49" s="27"/>
      <c r="V49" s="27" t="s">
        <v>154</v>
      </c>
      <c r="W49" s="28"/>
      <c r="X49" s="33"/>
      <c r="Y49" s="32"/>
      <c r="Z49" s="25"/>
      <c r="AA49" s="27"/>
      <c r="AB49" s="28"/>
      <c r="AC49" s="27"/>
      <c r="AD49" s="27"/>
      <c r="AE49" s="33"/>
      <c r="AG49" s="25"/>
      <c r="AH49" s="34"/>
      <c r="AI49" s="27"/>
      <c r="AJ49" s="27"/>
      <c r="AK49" s="27"/>
      <c r="AL49" s="25"/>
      <c r="AM49" s="34"/>
      <c r="AN49" s="27">
        <v>0.1</v>
      </c>
      <c r="AO49" s="27">
        <v>0.1</v>
      </c>
      <c r="AP49" s="36">
        <v>0.1</v>
      </c>
      <c r="AQ49" s="37"/>
      <c r="AR49" s="32"/>
      <c r="AS49" s="25" t="s">
        <v>79</v>
      </c>
      <c r="AT49" s="27" t="s">
        <v>52</v>
      </c>
      <c r="AU49" s="27"/>
      <c r="AW49" s="25"/>
      <c r="AX49" s="27" t="s">
        <v>325</v>
      </c>
      <c r="AY49" s="27"/>
      <c r="AZ49" s="32"/>
      <c r="BA49" s="41">
        <v>0</v>
      </c>
    </row>
    <row r="50" spans="1:53" x14ac:dyDescent="0.2">
      <c r="A50" s="25">
        <v>42</v>
      </c>
      <c r="B50" s="26">
        <v>45362</v>
      </c>
      <c r="C50" s="27" t="s">
        <v>227</v>
      </c>
      <c r="D50" s="25"/>
      <c r="E50" s="28"/>
      <c r="F50" s="27"/>
      <c r="G50" s="28"/>
      <c r="H50" s="27"/>
      <c r="I50" s="28"/>
      <c r="J50" s="202">
        <v>45357</v>
      </c>
      <c r="K50" s="29" t="s">
        <v>35</v>
      </c>
      <c r="L50" s="39"/>
      <c r="M50" s="31"/>
      <c r="N50" s="27" t="s">
        <v>272</v>
      </c>
      <c r="P50" s="32"/>
      <c r="Q50" s="25"/>
      <c r="R50" s="27"/>
      <c r="S50" s="27"/>
      <c r="T50" s="28"/>
      <c r="U50" s="27"/>
      <c r="V50" s="27" t="s">
        <v>154</v>
      </c>
      <c r="W50" s="28"/>
      <c r="X50" s="33"/>
      <c r="Y50" s="32"/>
      <c r="Z50" s="25"/>
      <c r="AA50" s="27"/>
      <c r="AB50" s="28"/>
      <c r="AC50" s="27"/>
      <c r="AD50" s="27"/>
      <c r="AE50" s="33"/>
      <c r="AG50" s="25"/>
      <c r="AH50" s="34"/>
      <c r="AI50" s="27"/>
      <c r="AJ50" s="27"/>
      <c r="AK50" s="27"/>
      <c r="AL50" s="25"/>
      <c r="AM50" s="34"/>
      <c r="AN50" s="27">
        <v>0.1</v>
      </c>
      <c r="AO50" s="27">
        <v>0.1</v>
      </c>
      <c r="AP50" s="36">
        <v>0.1</v>
      </c>
      <c r="AQ50" s="37"/>
      <c r="AR50" s="32"/>
      <c r="AS50" s="25" t="s">
        <v>79</v>
      </c>
      <c r="AT50" s="27" t="s">
        <v>52</v>
      </c>
      <c r="AU50" s="27"/>
      <c r="AW50" s="25"/>
      <c r="AX50" s="27" t="s">
        <v>325</v>
      </c>
      <c r="AY50" s="27"/>
      <c r="AZ50" s="32"/>
      <c r="BA50" s="41">
        <v>1</v>
      </c>
    </row>
    <row r="51" spans="1:53" ht="16" thickBot="1" x14ac:dyDescent="0.25">
      <c r="A51" s="25">
        <v>43</v>
      </c>
      <c r="B51" s="26">
        <v>45363</v>
      </c>
      <c r="C51" s="27" t="s">
        <v>227</v>
      </c>
      <c r="D51" s="25"/>
      <c r="E51" s="28"/>
      <c r="F51" s="27"/>
      <c r="G51" s="28"/>
      <c r="H51" s="27"/>
      <c r="I51" s="28"/>
      <c r="J51" s="202">
        <v>45357</v>
      </c>
      <c r="K51" s="29" t="s">
        <v>35</v>
      </c>
      <c r="L51" s="39"/>
      <c r="M51" s="31"/>
      <c r="N51" s="27" t="s">
        <v>272</v>
      </c>
      <c r="P51" s="32"/>
      <c r="Q51" s="25"/>
      <c r="R51" s="27"/>
      <c r="S51" s="27"/>
      <c r="T51" s="28"/>
      <c r="U51" s="27"/>
      <c r="V51" s="27" t="s">
        <v>154</v>
      </c>
      <c r="W51" s="28"/>
      <c r="X51" s="33"/>
      <c r="Y51" s="32"/>
      <c r="Z51" s="25"/>
      <c r="AA51" s="27"/>
      <c r="AB51" s="28"/>
      <c r="AC51" s="27"/>
      <c r="AD51" s="27"/>
      <c r="AE51" s="33"/>
      <c r="AG51" s="25"/>
      <c r="AH51" s="34"/>
      <c r="AI51" s="27"/>
      <c r="AJ51" s="27"/>
      <c r="AK51" s="27"/>
      <c r="AL51" s="25"/>
      <c r="AM51" s="34"/>
      <c r="AN51" s="27">
        <v>0.1</v>
      </c>
      <c r="AO51" s="27">
        <v>0.1</v>
      </c>
      <c r="AP51" s="36">
        <v>0.1</v>
      </c>
      <c r="AQ51" s="37"/>
      <c r="AR51" s="32"/>
      <c r="AS51" s="25" t="s">
        <v>79</v>
      </c>
      <c r="AT51" s="27" t="s">
        <v>52</v>
      </c>
      <c r="AU51" s="27"/>
      <c r="AW51" s="25"/>
      <c r="AX51" s="27" t="s">
        <v>325</v>
      </c>
      <c r="AY51" s="27"/>
      <c r="AZ51" s="32"/>
      <c r="BA51" s="41">
        <v>0</v>
      </c>
    </row>
    <row r="52" spans="1:53" ht="16" thickBot="1" x14ac:dyDescent="0.25">
      <c r="A52" s="25">
        <v>44</v>
      </c>
      <c r="B52" s="26">
        <v>45364</v>
      </c>
      <c r="C52" s="27" t="s">
        <v>227</v>
      </c>
      <c r="D52" s="25"/>
      <c r="E52" s="28"/>
      <c r="F52" s="27"/>
      <c r="G52" s="28"/>
      <c r="H52" s="27"/>
      <c r="I52" s="28"/>
      <c r="J52" s="202">
        <v>45357</v>
      </c>
      <c r="K52" s="29" t="s">
        <v>35</v>
      </c>
      <c r="L52" s="39"/>
      <c r="M52" s="31"/>
      <c r="N52" s="27" t="s">
        <v>272</v>
      </c>
      <c r="P52" s="32"/>
      <c r="Q52" s="27"/>
      <c r="R52" s="27"/>
      <c r="S52" s="27"/>
      <c r="T52" s="28"/>
      <c r="U52" s="27"/>
      <c r="V52" s="27" t="s">
        <v>154</v>
      </c>
      <c r="W52" s="28"/>
      <c r="X52" s="33"/>
      <c r="Y52" s="32"/>
      <c r="Z52" s="59"/>
      <c r="AA52" s="60"/>
      <c r="AB52" s="61"/>
      <c r="AC52" s="27"/>
      <c r="AD52" s="27"/>
      <c r="AE52" s="33"/>
      <c r="AG52" s="25"/>
      <c r="AH52" s="34"/>
      <c r="AI52" s="27"/>
      <c r="AJ52" s="27"/>
      <c r="AK52" s="27"/>
      <c r="AL52" s="25"/>
      <c r="AM52" s="34"/>
      <c r="AN52" s="27">
        <v>0.1</v>
      </c>
      <c r="AO52" s="27">
        <v>0.1</v>
      </c>
      <c r="AP52" s="36">
        <v>0.1</v>
      </c>
      <c r="AQ52" s="37"/>
      <c r="AR52" s="32"/>
      <c r="AS52" s="25" t="s">
        <v>79</v>
      </c>
      <c r="AT52" s="27" t="s">
        <v>52</v>
      </c>
      <c r="AU52" s="58" t="s">
        <v>81</v>
      </c>
      <c r="AW52" s="25"/>
      <c r="AX52" s="27" t="s">
        <v>325</v>
      </c>
      <c r="AY52" s="27"/>
      <c r="AZ52" s="32"/>
      <c r="BA52" s="41">
        <v>1</v>
      </c>
    </row>
    <row r="53" spans="1:53" x14ac:dyDescent="0.2">
      <c r="A53" s="25">
        <v>45</v>
      </c>
      <c r="B53" s="26">
        <v>45365</v>
      </c>
      <c r="C53" s="27" t="s">
        <v>200</v>
      </c>
      <c r="D53" s="25"/>
      <c r="E53" s="28"/>
      <c r="F53" s="27"/>
      <c r="G53" s="28"/>
      <c r="H53" s="27"/>
      <c r="I53" s="28"/>
      <c r="J53" s="202">
        <v>45357</v>
      </c>
      <c r="K53" s="29" t="s">
        <v>35</v>
      </c>
      <c r="L53" s="39"/>
      <c r="M53" s="31"/>
      <c r="N53" s="27" t="s">
        <v>272</v>
      </c>
      <c r="P53" s="32"/>
      <c r="Q53" s="25"/>
      <c r="R53" s="27"/>
      <c r="S53" s="27"/>
      <c r="T53" s="28"/>
      <c r="U53" s="27"/>
      <c r="V53" s="27" t="s">
        <v>154</v>
      </c>
      <c r="W53" s="28"/>
      <c r="X53" s="33"/>
      <c r="Y53" s="32"/>
      <c r="Z53" s="25"/>
      <c r="AA53" s="27"/>
      <c r="AB53" s="28"/>
      <c r="AC53" s="27"/>
      <c r="AD53" s="27"/>
      <c r="AE53" s="33"/>
      <c r="AG53" s="25"/>
      <c r="AH53" s="34"/>
      <c r="AI53" s="27"/>
      <c r="AJ53" s="27"/>
      <c r="AK53" s="27"/>
      <c r="AL53" s="25"/>
      <c r="AM53" s="34"/>
      <c r="AN53" s="27">
        <v>0.1</v>
      </c>
      <c r="AO53" s="27">
        <v>0.1</v>
      </c>
      <c r="AP53" s="36">
        <v>0.1</v>
      </c>
      <c r="AQ53" s="37"/>
      <c r="AR53" s="32"/>
      <c r="AS53" s="25" t="s">
        <v>82</v>
      </c>
      <c r="AT53" s="27" t="s">
        <v>52</v>
      </c>
      <c r="AW53" s="25"/>
      <c r="AX53" s="27" t="s">
        <v>325</v>
      </c>
      <c r="AY53" s="27"/>
      <c r="AZ53" s="32"/>
      <c r="BA53" s="41">
        <v>0</v>
      </c>
    </row>
    <row r="54" spans="1:53" x14ac:dyDescent="0.2">
      <c r="A54" s="25">
        <v>46</v>
      </c>
      <c r="B54" s="26">
        <v>45366</v>
      </c>
      <c r="C54" s="27" t="s">
        <v>200</v>
      </c>
      <c r="D54" s="25"/>
      <c r="E54" s="28"/>
      <c r="F54" s="27"/>
      <c r="G54" s="28"/>
      <c r="H54" s="27"/>
      <c r="I54" s="28"/>
      <c r="J54" s="202">
        <v>45357</v>
      </c>
      <c r="K54" s="29" t="s">
        <v>35</v>
      </c>
      <c r="L54" s="39"/>
      <c r="M54" s="31"/>
      <c r="N54" s="27" t="s">
        <v>272</v>
      </c>
      <c r="P54" s="32"/>
      <c r="Q54" s="25"/>
      <c r="R54" s="27"/>
      <c r="S54" s="27"/>
      <c r="T54" s="28"/>
      <c r="U54" s="27"/>
      <c r="V54" s="27" t="s">
        <v>154</v>
      </c>
      <c r="W54" s="28"/>
      <c r="X54" s="33"/>
      <c r="Y54" s="32"/>
      <c r="Z54" s="25"/>
      <c r="AA54" s="27"/>
      <c r="AB54" s="28"/>
      <c r="AC54" s="27"/>
      <c r="AD54" s="27"/>
      <c r="AE54" s="33"/>
      <c r="AG54" s="25"/>
      <c r="AH54" s="34"/>
      <c r="AI54" s="27"/>
      <c r="AJ54" s="27"/>
      <c r="AK54" s="27"/>
      <c r="AL54" s="25"/>
      <c r="AM54" s="34"/>
      <c r="AN54" s="27">
        <v>0.1</v>
      </c>
      <c r="AO54" s="27">
        <v>0.1</v>
      </c>
      <c r="AP54" s="36">
        <v>0.1</v>
      </c>
      <c r="AQ54" s="37"/>
      <c r="AR54" s="32"/>
      <c r="AS54" s="25" t="s">
        <v>82</v>
      </c>
      <c r="AT54" s="27" t="s">
        <v>52</v>
      </c>
      <c r="AU54" s="27"/>
      <c r="AW54" s="25"/>
      <c r="AX54" s="27" t="s">
        <v>325</v>
      </c>
      <c r="AY54" s="27"/>
      <c r="AZ54" s="32"/>
      <c r="BA54" s="41">
        <v>0</v>
      </c>
    </row>
    <row r="55" spans="1:53" x14ac:dyDescent="0.2">
      <c r="A55" s="25">
        <v>47</v>
      </c>
      <c r="B55" s="26">
        <v>45367</v>
      </c>
      <c r="C55" s="27" t="s">
        <v>200</v>
      </c>
      <c r="D55" s="25"/>
      <c r="E55" s="28"/>
      <c r="F55" s="27"/>
      <c r="G55" s="28"/>
      <c r="H55" s="27"/>
      <c r="I55" s="28"/>
      <c r="J55" s="202">
        <v>45357</v>
      </c>
      <c r="K55" s="29" t="s">
        <v>35</v>
      </c>
      <c r="L55" s="39" t="s">
        <v>359</v>
      </c>
      <c r="M55" s="31"/>
      <c r="N55" s="27" t="s">
        <v>272</v>
      </c>
      <c r="P55" s="32"/>
      <c r="Q55" s="25"/>
      <c r="R55" s="27"/>
      <c r="S55" s="27"/>
      <c r="T55" s="28"/>
      <c r="U55" s="27"/>
      <c r="V55" s="27" t="s">
        <v>154</v>
      </c>
      <c r="W55" s="28"/>
      <c r="X55" s="33"/>
      <c r="Y55" s="32"/>
      <c r="Z55" s="25"/>
      <c r="AA55" s="27"/>
      <c r="AB55" s="28"/>
      <c r="AC55" s="27"/>
      <c r="AD55" s="27"/>
      <c r="AE55" s="33"/>
      <c r="AG55" s="25"/>
      <c r="AH55" s="34"/>
      <c r="AI55" s="27"/>
      <c r="AJ55" s="27"/>
      <c r="AK55" s="27"/>
      <c r="AL55" s="25"/>
      <c r="AM55" s="34"/>
      <c r="AN55" s="27">
        <v>0.1</v>
      </c>
      <c r="AO55" s="27">
        <v>0.1</v>
      </c>
      <c r="AP55" s="36">
        <v>0.1</v>
      </c>
      <c r="AQ55" s="37"/>
      <c r="AR55" s="32"/>
      <c r="AS55" s="25" t="s">
        <v>82</v>
      </c>
      <c r="AT55" s="27" t="s">
        <v>52</v>
      </c>
      <c r="AU55" s="27"/>
      <c r="AW55" s="25"/>
      <c r="AX55" s="27" t="s">
        <v>325</v>
      </c>
      <c r="AY55" s="27"/>
      <c r="AZ55" s="32"/>
      <c r="BA55" s="41">
        <v>1</v>
      </c>
    </row>
    <row r="56" spans="1:53" x14ac:dyDescent="0.2">
      <c r="A56" s="25">
        <v>48</v>
      </c>
      <c r="B56" s="26">
        <v>45368</v>
      </c>
      <c r="C56" s="27"/>
      <c r="D56" s="25"/>
      <c r="E56" s="28"/>
      <c r="F56" s="27"/>
      <c r="G56" s="28"/>
      <c r="H56" s="27"/>
      <c r="I56" s="28"/>
      <c r="J56" s="202">
        <v>45357</v>
      </c>
      <c r="K56" s="29" t="s">
        <v>35</v>
      </c>
      <c r="M56" s="31"/>
      <c r="N56" s="27" t="s">
        <v>272</v>
      </c>
      <c r="P56" s="32"/>
      <c r="Q56" s="25"/>
      <c r="R56" s="27"/>
      <c r="S56" s="27"/>
      <c r="T56" s="28"/>
      <c r="U56" s="27"/>
      <c r="V56" s="27" t="s">
        <v>154</v>
      </c>
      <c r="W56" s="28"/>
      <c r="X56" s="33"/>
      <c r="Y56" s="32"/>
      <c r="Z56" s="25"/>
      <c r="AA56" s="27"/>
      <c r="AB56" s="28"/>
      <c r="AC56" s="27"/>
      <c r="AD56" s="27"/>
      <c r="AE56" s="33"/>
      <c r="AG56" s="25"/>
      <c r="AH56" s="34"/>
      <c r="AI56" s="27"/>
      <c r="AJ56" s="27"/>
      <c r="AK56" s="27"/>
      <c r="AL56" s="25"/>
      <c r="AM56" s="34"/>
      <c r="AN56" s="27"/>
      <c r="AO56" s="27"/>
      <c r="AP56" s="36"/>
      <c r="AQ56" s="37"/>
      <c r="AR56" s="32"/>
      <c r="AS56" s="25" t="s">
        <v>82</v>
      </c>
      <c r="AT56" s="27" t="s">
        <v>52</v>
      </c>
      <c r="AU56" s="27"/>
      <c r="AW56" s="25"/>
      <c r="AX56" s="27" t="s">
        <v>325</v>
      </c>
      <c r="AY56" s="27"/>
      <c r="AZ56" s="32"/>
      <c r="BA56" s="41"/>
    </row>
    <row r="57" spans="1:53" ht="16" thickBot="1" x14ac:dyDescent="0.25">
      <c r="A57" s="25">
        <v>49</v>
      </c>
      <c r="B57" s="26">
        <v>45369</v>
      </c>
      <c r="C57" s="27" t="s">
        <v>200</v>
      </c>
      <c r="D57" s="25"/>
      <c r="E57" s="28"/>
      <c r="F57" s="27"/>
      <c r="G57" s="28"/>
      <c r="H57" s="27"/>
      <c r="I57" s="28"/>
      <c r="J57" s="202">
        <v>45357</v>
      </c>
      <c r="K57" s="29" t="s">
        <v>35</v>
      </c>
      <c r="L57" s="39"/>
      <c r="M57" s="31"/>
      <c r="N57" s="27" t="s">
        <v>272</v>
      </c>
      <c r="P57" s="32"/>
      <c r="Q57" s="25"/>
      <c r="R57" s="27"/>
      <c r="S57" s="27"/>
      <c r="T57" s="28"/>
      <c r="U57" s="27"/>
      <c r="V57" s="27" t="s">
        <v>154</v>
      </c>
      <c r="W57" s="28"/>
      <c r="X57" s="33"/>
      <c r="Y57" s="32"/>
      <c r="Z57" s="25"/>
      <c r="AA57" s="27"/>
      <c r="AB57" s="28"/>
      <c r="AC57" s="27"/>
      <c r="AD57" s="27"/>
      <c r="AE57" s="33"/>
      <c r="AG57" s="25"/>
      <c r="AH57" s="34"/>
      <c r="AI57" s="27"/>
      <c r="AJ57" s="27"/>
      <c r="AK57" s="27"/>
      <c r="AL57" s="25"/>
      <c r="AM57" s="34"/>
      <c r="AN57" s="27">
        <v>0.1</v>
      </c>
      <c r="AO57" s="27">
        <v>0.1</v>
      </c>
      <c r="AP57" s="36">
        <v>0.1</v>
      </c>
      <c r="AQ57" s="37"/>
      <c r="AR57" s="32"/>
      <c r="AS57" s="25" t="s">
        <v>82</v>
      </c>
      <c r="AT57" s="27" t="s">
        <v>52</v>
      </c>
      <c r="AU57" s="27"/>
      <c r="AW57" s="25"/>
      <c r="AX57" s="27" t="s">
        <v>325</v>
      </c>
      <c r="AY57" s="27"/>
      <c r="AZ57" s="32"/>
      <c r="BA57" s="41">
        <v>0</v>
      </c>
    </row>
    <row r="58" spans="1:53" ht="16" thickBot="1" x14ac:dyDescent="0.25">
      <c r="A58" s="25">
        <v>50</v>
      </c>
      <c r="B58" s="26">
        <v>45370</v>
      </c>
      <c r="C58" s="27" t="s">
        <v>362</v>
      </c>
      <c r="D58" s="25"/>
      <c r="E58" s="28"/>
      <c r="F58" s="27"/>
      <c r="G58" s="28"/>
      <c r="H58" s="27"/>
      <c r="I58" s="28"/>
      <c r="J58" s="202">
        <v>45357</v>
      </c>
      <c r="K58" s="29" t="s">
        <v>35</v>
      </c>
      <c r="L58" s="44" t="s">
        <v>83</v>
      </c>
      <c r="M58" s="31"/>
      <c r="N58" s="27" t="s">
        <v>272</v>
      </c>
      <c r="O58" s="45" t="s">
        <v>84</v>
      </c>
      <c r="P58" s="46" t="s">
        <v>61</v>
      </c>
      <c r="Q58" s="25"/>
      <c r="R58" s="27"/>
      <c r="S58" s="27"/>
      <c r="T58" s="28"/>
      <c r="U58" s="27"/>
      <c r="V58" s="27" t="s">
        <v>154</v>
      </c>
      <c r="W58" s="28"/>
      <c r="X58" s="33"/>
      <c r="Y58" s="32"/>
      <c r="Z58" s="25"/>
      <c r="AA58" s="27"/>
      <c r="AB58" s="28"/>
      <c r="AC58" s="27"/>
      <c r="AD58" s="27"/>
      <c r="AE58" s="33"/>
      <c r="AG58" s="25"/>
      <c r="AH58" s="34"/>
      <c r="AI58" s="27"/>
      <c r="AJ58" s="27"/>
      <c r="AK58" s="27"/>
      <c r="AL58" s="25"/>
      <c r="AM58" s="34"/>
      <c r="AN58" s="27">
        <v>0.1</v>
      </c>
      <c r="AO58" s="27">
        <v>0.1</v>
      </c>
      <c r="AP58" s="36">
        <v>0.1</v>
      </c>
      <c r="AQ58" s="37"/>
      <c r="AR58" s="32"/>
      <c r="AS58" s="25" t="s">
        <v>86</v>
      </c>
      <c r="AT58" s="27" t="s">
        <v>87</v>
      </c>
      <c r="AU58" s="58" t="s">
        <v>88</v>
      </c>
      <c r="AW58" s="25"/>
      <c r="AX58" s="27" t="s">
        <v>325</v>
      </c>
      <c r="AY58" s="27"/>
      <c r="AZ58" s="32"/>
      <c r="BA58" s="41">
        <v>0</v>
      </c>
    </row>
    <row r="59" spans="1:53" ht="16" thickBot="1" x14ac:dyDescent="0.25">
      <c r="A59" s="25">
        <v>51</v>
      </c>
      <c r="B59" s="26">
        <v>45371</v>
      </c>
      <c r="C59" s="27" t="s">
        <v>200</v>
      </c>
      <c r="D59" s="25"/>
      <c r="E59" s="28"/>
      <c r="F59" s="27"/>
      <c r="G59" s="28"/>
      <c r="H59" s="27"/>
      <c r="I59" s="28"/>
      <c r="J59" s="27">
        <v>6</v>
      </c>
      <c r="K59" s="29" t="s">
        <v>35</v>
      </c>
      <c r="L59" s="88" t="s">
        <v>89</v>
      </c>
      <c r="M59" s="31"/>
      <c r="N59" s="27" t="s">
        <v>367</v>
      </c>
      <c r="P59" s="46"/>
      <c r="Q59" s="27"/>
      <c r="R59" s="27"/>
      <c r="S59" s="27"/>
      <c r="T59" s="28"/>
      <c r="U59" s="27"/>
      <c r="V59" s="27" t="s">
        <v>154</v>
      </c>
      <c r="W59" s="28"/>
      <c r="X59" s="33"/>
      <c r="Y59" s="32"/>
      <c r="Z59" s="25"/>
      <c r="AA59" s="27"/>
      <c r="AB59" s="28"/>
      <c r="AC59" s="27"/>
      <c r="AD59" s="27"/>
      <c r="AE59" s="33"/>
      <c r="AG59" s="25"/>
      <c r="AH59" s="34"/>
      <c r="AI59" s="27"/>
      <c r="AJ59" s="27"/>
      <c r="AK59" s="27"/>
      <c r="AL59" s="25"/>
      <c r="AM59" s="34"/>
      <c r="AN59" s="27">
        <v>0.1</v>
      </c>
      <c r="AO59" s="27">
        <v>0.1</v>
      </c>
      <c r="AP59" s="36">
        <v>0.1</v>
      </c>
      <c r="AQ59" s="37"/>
      <c r="AR59" s="32"/>
      <c r="AS59" s="25" t="s">
        <v>86</v>
      </c>
      <c r="AT59" s="27" t="s">
        <v>87</v>
      </c>
      <c r="AU59" s="27"/>
      <c r="AW59" s="25"/>
      <c r="AX59" s="27" t="s">
        <v>325</v>
      </c>
      <c r="AY59" s="27"/>
      <c r="AZ59" s="32"/>
      <c r="BA59" s="41">
        <v>0</v>
      </c>
    </row>
    <row r="60" spans="1:53" ht="16" thickBot="1" x14ac:dyDescent="0.25">
      <c r="A60" s="25">
        <v>52</v>
      </c>
      <c r="B60" s="26">
        <v>45372</v>
      </c>
      <c r="C60" s="27" t="s">
        <v>200</v>
      </c>
      <c r="D60" s="25"/>
      <c r="E60" s="28"/>
      <c r="F60" s="27"/>
      <c r="G60" s="28"/>
      <c r="H60" s="27"/>
      <c r="I60" s="28"/>
      <c r="J60" s="27">
        <v>6</v>
      </c>
      <c r="K60" s="29" t="s">
        <v>35</v>
      </c>
      <c r="L60" s="39" t="s">
        <v>368</v>
      </c>
      <c r="M60" s="31"/>
      <c r="N60" s="27" t="s">
        <v>367</v>
      </c>
      <c r="P60" s="32"/>
      <c r="Q60" s="25"/>
      <c r="R60" s="27"/>
      <c r="S60" s="27"/>
      <c r="T60" s="28"/>
      <c r="U60" s="27"/>
      <c r="V60" s="27" t="s">
        <v>154</v>
      </c>
      <c r="W60" s="28"/>
      <c r="X60" s="33"/>
      <c r="Y60" s="32"/>
      <c r="Z60" s="25"/>
      <c r="AA60" s="27"/>
      <c r="AB60" s="28"/>
      <c r="AC60" s="27"/>
      <c r="AD60" s="27"/>
      <c r="AE60" s="33"/>
      <c r="AG60" s="25"/>
      <c r="AH60" s="34"/>
      <c r="AI60" s="27"/>
      <c r="AJ60" s="27"/>
      <c r="AK60" s="27"/>
      <c r="AL60" s="25"/>
      <c r="AM60" s="34"/>
      <c r="AN60" s="27">
        <v>0.1</v>
      </c>
      <c r="AO60" s="27">
        <v>0.1</v>
      </c>
      <c r="AP60" s="36">
        <v>0.1</v>
      </c>
      <c r="AQ60" s="37"/>
      <c r="AR60" s="32"/>
      <c r="AS60" s="25" t="s">
        <v>86</v>
      </c>
      <c r="AT60" s="27" t="s">
        <v>87</v>
      </c>
      <c r="AW60" s="25"/>
      <c r="AX60" s="27" t="s">
        <v>325</v>
      </c>
      <c r="AY60" s="27"/>
      <c r="AZ60" s="32"/>
      <c r="BA60" s="41">
        <v>0</v>
      </c>
    </row>
    <row r="61" spans="1:53" ht="16" thickBot="1" x14ac:dyDescent="0.25">
      <c r="A61" s="25">
        <v>53</v>
      </c>
      <c r="B61" s="26">
        <v>45373</v>
      </c>
      <c r="C61" s="27" t="s">
        <v>200</v>
      </c>
      <c r="D61" s="25"/>
      <c r="E61" s="28"/>
      <c r="F61" s="27"/>
      <c r="G61" s="28"/>
      <c r="H61" s="27"/>
      <c r="I61" s="28"/>
      <c r="J61" s="27">
        <v>6</v>
      </c>
      <c r="K61" s="29" t="s">
        <v>35</v>
      </c>
      <c r="L61" s="39"/>
      <c r="M61" s="31"/>
      <c r="N61" s="27" t="s">
        <v>367</v>
      </c>
      <c r="P61" s="204" t="s">
        <v>366</v>
      </c>
      <c r="Q61" s="25"/>
      <c r="R61" s="27"/>
      <c r="S61" s="27"/>
      <c r="T61" s="28"/>
      <c r="U61" s="27"/>
      <c r="V61" s="27" t="s">
        <v>154</v>
      </c>
      <c r="W61" s="28"/>
      <c r="X61" s="33"/>
      <c r="Y61" s="32"/>
      <c r="Z61" s="25"/>
      <c r="AA61" s="27"/>
      <c r="AB61" s="28"/>
      <c r="AC61" s="27"/>
      <c r="AD61" s="27"/>
      <c r="AE61" s="33"/>
      <c r="AG61" s="25"/>
      <c r="AH61" s="34"/>
      <c r="AI61" s="27"/>
      <c r="AJ61" s="27"/>
      <c r="AK61" s="27"/>
      <c r="AL61" s="25"/>
      <c r="AM61" s="34"/>
      <c r="AN61" s="27">
        <v>0.1</v>
      </c>
      <c r="AO61" s="27">
        <v>0.1</v>
      </c>
      <c r="AP61" s="36">
        <v>0.1</v>
      </c>
      <c r="AQ61" s="37"/>
      <c r="AR61" s="32"/>
      <c r="AS61" s="25" t="s">
        <v>86</v>
      </c>
      <c r="AT61" s="27" t="s">
        <v>87</v>
      </c>
      <c r="AU61" s="27"/>
      <c r="AW61" s="25" t="s">
        <v>90</v>
      </c>
      <c r="AX61" s="27" t="s">
        <v>91</v>
      </c>
      <c r="AY61" s="89" t="s">
        <v>92</v>
      </c>
      <c r="AZ61" s="32"/>
      <c r="BA61" s="41">
        <v>1</v>
      </c>
    </row>
    <row r="62" spans="1:53" ht="16" thickBot="1" x14ac:dyDescent="0.25">
      <c r="A62" s="25">
        <v>54</v>
      </c>
      <c r="B62" s="26">
        <v>45374</v>
      </c>
      <c r="C62" s="27" t="s">
        <v>200</v>
      </c>
      <c r="D62" s="25"/>
      <c r="E62" s="28"/>
      <c r="F62" s="27"/>
      <c r="G62" s="28"/>
      <c r="H62" s="27"/>
      <c r="I62" s="28"/>
      <c r="J62" s="27">
        <v>6</v>
      </c>
      <c r="K62" s="29" t="s">
        <v>35</v>
      </c>
      <c r="L62" s="39"/>
      <c r="M62" s="31"/>
      <c r="N62" s="27" t="s">
        <v>367</v>
      </c>
      <c r="P62" s="32" t="s">
        <v>369</v>
      </c>
      <c r="Q62" s="25"/>
      <c r="R62" s="27"/>
      <c r="S62" s="27"/>
      <c r="T62" s="28"/>
      <c r="U62" s="27"/>
      <c r="V62" s="27" t="s">
        <v>154</v>
      </c>
      <c r="W62" s="28"/>
      <c r="X62" s="33"/>
      <c r="Y62" s="32"/>
      <c r="Z62" s="25"/>
      <c r="AA62" s="27"/>
      <c r="AB62" s="28"/>
      <c r="AC62" s="27"/>
      <c r="AD62" s="27"/>
      <c r="AE62" s="33"/>
      <c r="AG62" s="25"/>
      <c r="AH62" s="34"/>
      <c r="AI62" s="27"/>
      <c r="AJ62" s="27"/>
      <c r="AK62" s="27"/>
      <c r="AL62" s="25"/>
      <c r="AM62" s="34"/>
      <c r="AN62" s="27">
        <v>0.1</v>
      </c>
      <c r="AO62" s="27">
        <v>0.1</v>
      </c>
      <c r="AP62" s="36">
        <v>0.1</v>
      </c>
      <c r="AQ62" s="37"/>
      <c r="AR62" s="32"/>
      <c r="AS62" s="25" t="s">
        <v>86</v>
      </c>
      <c r="AT62" s="27" t="s">
        <v>87</v>
      </c>
      <c r="AU62" s="27"/>
      <c r="AW62" s="25" t="s">
        <v>90</v>
      </c>
      <c r="AX62" s="27" t="s">
        <v>91</v>
      </c>
      <c r="AY62" s="27"/>
      <c r="AZ62" s="32"/>
      <c r="BA62" s="41">
        <v>1</v>
      </c>
    </row>
    <row r="63" spans="1:53" ht="16" thickBot="1" x14ac:dyDescent="0.25">
      <c r="A63" s="25">
        <v>55</v>
      </c>
      <c r="B63" s="26">
        <v>45375</v>
      </c>
      <c r="C63" s="27" t="s">
        <v>232</v>
      </c>
      <c r="D63" s="25"/>
      <c r="E63" s="28"/>
      <c r="F63" s="27"/>
      <c r="G63" s="28"/>
      <c r="H63" s="27"/>
      <c r="I63" s="28"/>
      <c r="J63" s="27">
        <v>6</v>
      </c>
      <c r="K63" s="29" t="s">
        <v>35</v>
      </c>
      <c r="L63" s="39"/>
      <c r="M63" s="31"/>
      <c r="N63" s="27" t="s">
        <v>367</v>
      </c>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v>0.1</v>
      </c>
      <c r="AO63" s="27">
        <v>0.1</v>
      </c>
      <c r="AP63" s="36">
        <v>0.1</v>
      </c>
      <c r="AQ63" s="82" t="s">
        <v>93</v>
      </c>
      <c r="AR63" s="32"/>
      <c r="AS63" s="25" t="s">
        <v>86</v>
      </c>
      <c r="AT63" s="27" t="s">
        <v>87</v>
      </c>
      <c r="AW63" s="25" t="s">
        <v>90</v>
      </c>
      <c r="AX63" s="27" t="s">
        <v>91</v>
      </c>
      <c r="AY63" s="27"/>
      <c r="AZ63" s="32"/>
      <c r="BA63" s="41">
        <v>2</v>
      </c>
    </row>
    <row r="64" spans="1:53" x14ac:dyDescent="0.2">
      <c r="A64" s="25">
        <v>56</v>
      </c>
      <c r="B64" s="26">
        <v>45376</v>
      </c>
      <c r="C64" s="27" t="s">
        <v>232</v>
      </c>
      <c r="D64" s="25"/>
      <c r="E64" s="28"/>
      <c r="F64" s="27"/>
      <c r="G64" s="28"/>
      <c r="H64" s="27"/>
      <c r="I64" s="28"/>
      <c r="J64" s="27">
        <v>6</v>
      </c>
      <c r="K64" s="29" t="s">
        <v>35</v>
      </c>
      <c r="L64" s="39"/>
      <c r="M64" s="31"/>
      <c r="N64" s="27" t="s">
        <v>367</v>
      </c>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v>0.1</v>
      </c>
      <c r="AO64" s="27">
        <v>0.1</v>
      </c>
      <c r="AP64" s="36">
        <v>0.1</v>
      </c>
      <c r="AQ64" s="37"/>
      <c r="AR64" s="32"/>
      <c r="AS64" s="25" t="s">
        <v>86</v>
      </c>
      <c r="AT64" s="27" t="s">
        <v>87</v>
      </c>
      <c r="AU64" s="27"/>
      <c r="AW64" s="25" t="s">
        <v>90</v>
      </c>
      <c r="AX64" s="27" t="s">
        <v>91</v>
      </c>
      <c r="AY64" s="27"/>
      <c r="AZ64" s="32"/>
      <c r="BA64" s="41">
        <v>0</v>
      </c>
    </row>
    <row r="65" spans="1:53" ht="16" thickBot="1" x14ac:dyDescent="0.25">
      <c r="A65" s="25">
        <v>57</v>
      </c>
      <c r="B65" s="26">
        <v>45377</v>
      </c>
      <c r="C65" s="27" t="s">
        <v>227</v>
      </c>
      <c r="D65" s="25"/>
      <c r="E65" s="28"/>
      <c r="F65" s="27"/>
      <c r="G65" s="28"/>
      <c r="H65" s="27"/>
      <c r="I65" s="28"/>
      <c r="J65" s="27">
        <v>6</v>
      </c>
      <c r="K65" s="29" t="s">
        <v>35</v>
      </c>
      <c r="L65" s="39"/>
      <c r="M65" s="31"/>
      <c r="N65" s="27"/>
      <c r="P65" s="32" t="s">
        <v>371</v>
      </c>
      <c r="Q65" s="25"/>
      <c r="R65" s="27"/>
      <c r="S65" s="27"/>
      <c r="T65" s="28"/>
      <c r="U65" s="27"/>
      <c r="V65" s="27" t="s">
        <v>154</v>
      </c>
      <c r="W65" s="28"/>
      <c r="X65" s="33"/>
      <c r="Y65" s="32"/>
      <c r="Z65" s="25"/>
      <c r="AA65" s="27"/>
      <c r="AB65" s="28"/>
      <c r="AC65" s="27"/>
      <c r="AD65" s="27"/>
      <c r="AE65" s="33"/>
      <c r="AG65" s="25"/>
      <c r="AH65" s="34"/>
      <c r="AI65" s="27"/>
      <c r="AJ65" s="27"/>
      <c r="AK65" s="27"/>
      <c r="AL65" s="25"/>
      <c r="AM65" s="34"/>
      <c r="AN65" s="27">
        <v>0.1</v>
      </c>
      <c r="AO65" s="27">
        <v>0.1</v>
      </c>
      <c r="AP65" s="36">
        <v>0.1</v>
      </c>
      <c r="AQ65" s="37"/>
      <c r="AR65" s="32"/>
      <c r="AS65" s="25" t="s">
        <v>86</v>
      </c>
      <c r="AT65" s="27" t="s">
        <v>87</v>
      </c>
      <c r="AU65" s="27"/>
      <c r="AW65" s="25" t="s">
        <v>90</v>
      </c>
      <c r="AX65" s="27" t="s">
        <v>91</v>
      </c>
      <c r="AY65" s="27"/>
      <c r="AZ65" s="32" t="s">
        <v>372</v>
      </c>
      <c r="BA65" s="41">
        <v>1</v>
      </c>
    </row>
    <row r="66" spans="1:53" ht="16" thickBot="1" x14ac:dyDescent="0.25">
      <c r="A66" s="25">
        <v>58</v>
      </c>
      <c r="B66" s="26">
        <v>45378</v>
      </c>
      <c r="C66" s="27"/>
      <c r="D66" s="25"/>
      <c r="E66" s="28"/>
      <c r="F66" s="27"/>
      <c r="G66" s="28"/>
      <c r="H66" s="27"/>
      <c r="I66" s="28"/>
      <c r="J66" s="27">
        <v>6</v>
      </c>
      <c r="K66" s="29" t="s">
        <v>35</v>
      </c>
      <c r="L66" s="39"/>
      <c r="M66" s="31"/>
      <c r="N66" s="27"/>
      <c r="P66" s="32"/>
      <c r="Q66" s="25"/>
      <c r="R66" s="27"/>
      <c r="S66" s="27"/>
      <c r="T66" s="28"/>
      <c r="U66" s="27"/>
      <c r="V66" s="27" t="s">
        <v>154</v>
      </c>
      <c r="W66" s="28"/>
      <c r="X66" s="33"/>
      <c r="Y66" s="32"/>
      <c r="Z66" s="25"/>
      <c r="AA66" s="27"/>
      <c r="AB66" s="28"/>
      <c r="AC66" s="27"/>
      <c r="AD66" s="27"/>
      <c r="AE66" s="33"/>
      <c r="AG66" s="25"/>
      <c r="AH66" s="34"/>
      <c r="AI66" s="27"/>
      <c r="AJ66" s="27"/>
      <c r="AK66" s="27"/>
      <c r="AL66" s="25"/>
      <c r="AM66" s="34"/>
      <c r="AN66" s="27">
        <v>0.1</v>
      </c>
      <c r="AO66" s="27">
        <v>0.1</v>
      </c>
      <c r="AP66" s="36">
        <v>0.1</v>
      </c>
      <c r="AQ66" s="37"/>
      <c r="AR66" s="32"/>
      <c r="AS66" s="25" t="s">
        <v>86</v>
      </c>
      <c r="AT66" s="27" t="s">
        <v>87</v>
      </c>
      <c r="AU66" s="27"/>
      <c r="AW66" s="25" t="s">
        <v>90</v>
      </c>
      <c r="AX66" s="27" t="s">
        <v>91</v>
      </c>
      <c r="AY66" s="89" t="s">
        <v>94</v>
      </c>
      <c r="AZ66" s="32"/>
      <c r="BA66" s="41">
        <v>0</v>
      </c>
    </row>
    <row r="67" spans="1:53" ht="16" thickBot="1" x14ac:dyDescent="0.25">
      <c r="A67" s="25">
        <v>59</v>
      </c>
      <c r="B67" s="26">
        <v>45379</v>
      </c>
      <c r="C67" s="27"/>
      <c r="D67" s="25"/>
      <c r="E67" s="28"/>
      <c r="F67" s="27"/>
      <c r="G67" s="28"/>
      <c r="H67" s="27"/>
      <c r="I67" s="28"/>
      <c r="J67" s="27">
        <v>6</v>
      </c>
      <c r="K67" s="29" t="s">
        <v>35</v>
      </c>
      <c r="L67" s="39"/>
      <c r="M67" s="31"/>
      <c r="N67" s="27"/>
      <c r="P67" s="32"/>
      <c r="Q67" s="25"/>
      <c r="R67" s="27"/>
      <c r="S67" s="27"/>
      <c r="T67" s="28"/>
      <c r="U67" s="27"/>
      <c r="V67" s="27" t="s">
        <v>154</v>
      </c>
      <c r="W67" s="28"/>
      <c r="X67" s="33"/>
      <c r="Y67" s="32"/>
      <c r="Z67" s="25"/>
      <c r="AA67" s="27"/>
      <c r="AB67" s="28"/>
      <c r="AC67" s="27"/>
      <c r="AD67" s="27"/>
      <c r="AE67" s="33"/>
      <c r="AG67" s="25"/>
      <c r="AH67" s="34"/>
      <c r="AI67" s="27"/>
      <c r="AJ67" s="27"/>
      <c r="AK67" s="27"/>
      <c r="AL67" s="25"/>
      <c r="AM67" s="34"/>
      <c r="AN67" s="27">
        <v>0.1</v>
      </c>
      <c r="AO67" s="27">
        <v>0.1</v>
      </c>
      <c r="AP67" s="36">
        <v>0.1</v>
      </c>
      <c r="AQ67" s="37"/>
      <c r="AR67" s="32"/>
      <c r="AS67" s="25" t="s">
        <v>86</v>
      </c>
      <c r="AT67" s="27" t="s">
        <v>87</v>
      </c>
      <c r="AU67" s="27"/>
      <c r="AW67" s="25" t="s">
        <v>90</v>
      </c>
      <c r="AX67" s="27" t="s">
        <v>95</v>
      </c>
      <c r="AY67" s="27"/>
      <c r="AZ67" s="32"/>
      <c r="BA67" s="41">
        <v>1</v>
      </c>
    </row>
    <row r="68" spans="1:53" ht="16" thickBot="1" x14ac:dyDescent="0.25">
      <c r="A68" s="25">
        <v>60</v>
      </c>
      <c r="B68" s="26">
        <v>45380</v>
      </c>
      <c r="C68" s="27"/>
      <c r="D68" s="25"/>
      <c r="E68" s="28"/>
      <c r="F68" s="27"/>
      <c r="G68" s="28"/>
      <c r="H68" s="27"/>
      <c r="I68" s="28"/>
      <c r="J68" s="27">
        <v>6</v>
      </c>
      <c r="K68" s="29" t="s">
        <v>35</v>
      </c>
      <c r="L68" s="39"/>
      <c r="M68" s="31"/>
      <c r="N68" s="27"/>
      <c r="P68" s="32"/>
      <c r="Q68" s="25"/>
      <c r="R68" s="27"/>
      <c r="S68" s="27"/>
      <c r="T68" s="28"/>
      <c r="U68" s="27"/>
      <c r="V68" s="27" t="s">
        <v>154</v>
      </c>
      <c r="W68" s="28"/>
      <c r="X68" s="33"/>
      <c r="Y68" s="32"/>
      <c r="Z68" s="25"/>
      <c r="AA68" s="27"/>
      <c r="AB68" s="28"/>
      <c r="AC68" s="27"/>
      <c r="AD68" s="27"/>
      <c r="AE68" s="33"/>
      <c r="AG68" s="25"/>
      <c r="AH68" s="34"/>
      <c r="AI68" s="27"/>
      <c r="AJ68" s="27"/>
      <c r="AK68" s="27"/>
      <c r="AL68" s="25"/>
      <c r="AM68" s="34"/>
      <c r="AN68" s="27">
        <v>0.1</v>
      </c>
      <c r="AO68" s="27">
        <v>0.1</v>
      </c>
      <c r="AP68" s="36">
        <v>0.1</v>
      </c>
      <c r="AQ68" s="37"/>
      <c r="AR68" s="32"/>
      <c r="AS68" s="25" t="s">
        <v>86</v>
      </c>
      <c r="AT68" s="27" t="s">
        <v>87</v>
      </c>
      <c r="AU68" s="58" t="s">
        <v>97</v>
      </c>
      <c r="AW68" s="25" t="s">
        <v>90</v>
      </c>
      <c r="AX68" s="27" t="s">
        <v>95</v>
      </c>
      <c r="AY68" s="27"/>
      <c r="AZ68" s="32"/>
      <c r="BA68" s="41">
        <v>0</v>
      </c>
    </row>
    <row r="69" spans="1:53" x14ac:dyDescent="0.2">
      <c r="A69" s="25">
        <v>61</v>
      </c>
      <c r="B69" s="26">
        <v>45381</v>
      </c>
      <c r="C69" s="27"/>
      <c r="D69" s="25"/>
      <c r="E69" s="28"/>
      <c r="F69" s="27"/>
      <c r="G69" s="28"/>
      <c r="H69" s="27"/>
      <c r="I69" s="28"/>
      <c r="J69" s="27">
        <v>6</v>
      </c>
      <c r="K69" s="29" t="s">
        <v>35</v>
      </c>
      <c r="L69" s="39"/>
      <c r="M69" s="31"/>
      <c r="N69" s="27"/>
      <c r="P69" s="32"/>
      <c r="Q69" s="25"/>
      <c r="R69" s="27"/>
      <c r="S69" s="27"/>
      <c r="T69" s="28"/>
      <c r="U69" s="27"/>
      <c r="V69" s="27" t="s">
        <v>154</v>
      </c>
      <c r="W69" s="28"/>
      <c r="X69" s="33"/>
      <c r="Y69" s="32"/>
      <c r="Z69" s="25"/>
      <c r="AA69" s="27"/>
      <c r="AB69" s="28"/>
      <c r="AC69" s="27"/>
      <c r="AD69" s="27"/>
      <c r="AE69" s="33"/>
      <c r="AG69" s="25"/>
      <c r="AH69" s="34"/>
      <c r="AI69" s="27"/>
      <c r="AJ69" s="27"/>
      <c r="AK69" s="27"/>
      <c r="AL69" s="25"/>
      <c r="AM69" s="34"/>
      <c r="AN69" s="27">
        <v>0.2</v>
      </c>
      <c r="AO69" s="27">
        <v>0.2</v>
      </c>
      <c r="AP69" s="36">
        <v>0.2</v>
      </c>
      <c r="AQ69" s="37"/>
      <c r="AR69" s="32"/>
      <c r="AS69" s="25" t="s">
        <v>82</v>
      </c>
      <c r="AT69" s="27" t="s">
        <v>87</v>
      </c>
      <c r="AU69" s="27"/>
      <c r="AW69" s="25" t="s">
        <v>90</v>
      </c>
      <c r="AX69" s="27" t="s">
        <v>95</v>
      </c>
      <c r="AY69" s="27"/>
      <c r="AZ69" s="32"/>
      <c r="BA69" s="41">
        <v>0</v>
      </c>
    </row>
    <row r="70" spans="1:53" x14ac:dyDescent="0.2">
      <c r="A70" s="25">
        <v>62</v>
      </c>
      <c r="B70" s="26">
        <v>45382</v>
      </c>
      <c r="C70" s="27"/>
      <c r="D70" s="25"/>
      <c r="E70" s="28"/>
      <c r="F70" s="27"/>
      <c r="G70" s="28"/>
      <c r="H70" s="27"/>
      <c r="I70" s="28"/>
      <c r="J70" s="27">
        <v>6</v>
      </c>
      <c r="K70" s="29" t="s">
        <v>35</v>
      </c>
      <c r="L70" s="39"/>
      <c r="M70" s="31"/>
      <c r="N70" s="27"/>
      <c r="P70" s="32"/>
      <c r="Q70" s="25"/>
      <c r="R70" s="27"/>
      <c r="S70" s="27"/>
      <c r="T70" s="28"/>
      <c r="U70" s="27"/>
      <c r="V70" s="27" t="s">
        <v>154</v>
      </c>
      <c r="W70" s="28"/>
      <c r="X70" s="33"/>
      <c r="Y70" s="32"/>
      <c r="Z70" s="25"/>
      <c r="AA70" s="27"/>
      <c r="AB70" s="28"/>
      <c r="AC70" s="27"/>
      <c r="AD70" s="27"/>
      <c r="AE70" s="33"/>
      <c r="AG70" s="25"/>
      <c r="AH70" s="34"/>
      <c r="AI70" s="27"/>
      <c r="AJ70" s="27"/>
      <c r="AK70" s="27"/>
      <c r="AL70" s="25"/>
      <c r="AM70" s="34"/>
      <c r="AN70" s="27">
        <v>0.2</v>
      </c>
      <c r="AO70" s="27">
        <v>0.2</v>
      </c>
      <c r="AP70" s="36">
        <v>0.2</v>
      </c>
      <c r="AQ70" s="37"/>
      <c r="AR70" s="32"/>
      <c r="AS70" s="25" t="s">
        <v>82</v>
      </c>
      <c r="AT70" s="27" t="s">
        <v>87</v>
      </c>
      <c r="AU70" s="27"/>
      <c r="AW70" s="25" t="s">
        <v>90</v>
      </c>
      <c r="AX70" s="27" t="s">
        <v>95</v>
      </c>
      <c r="AY70" s="27"/>
      <c r="AZ70" s="32"/>
      <c r="BA70" s="41">
        <v>0</v>
      </c>
    </row>
    <row r="71" spans="1:53" x14ac:dyDescent="0.2">
      <c r="A71" s="25">
        <v>63</v>
      </c>
      <c r="B71" s="26">
        <v>45383</v>
      </c>
      <c r="C71" s="27"/>
      <c r="D71" s="25"/>
      <c r="E71" s="28"/>
      <c r="F71" s="27"/>
      <c r="G71" s="28"/>
      <c r="H71" s="27"/>
      <c r="I71" s="28"/>
      <c r="J71" s="27">
        <v>6</v>
      </c>
      <c r="K71" s="29" t="s">
        <v>35</v>
      </c>
      <c r="L71" s="39"/>
      <c r="M71" s="31" t="s">
        <v>373</v>
      </c>
      <c r="N71" s="27"/>
      <c r="P71" s="32"/>
      <c r="Q71" s="25"/>
      <c r="R71" s="27"/>
      <c r="S71" s="27"/>
      <c r="T71" s="28"/>
      <c r="U71" s="27"/>
      <c r="V71" s="27" t="s">
        <v>154</v>
      </c>
      <c r="W71" s="28"/>
      <c r="X71" s="33"/>
      <c r="Y71" s="32"/>
      <c r="Z71" s="25"/>
      <c r="AA71" s="27"/>
      <c r="AB71" s="28"/>
      <c r="AC71" s="27"/>
      <c r="AD71" s="27"/>
      <c r="AE71" s="33"/>
      <c r="AG71" s="25"/>
      <c r="AH71" s="34"/>
      <c r="AI71" s="27"/>
      <c r="AJ71" s="27"/>
      <c r="AK71" s="27"/>
      <c r="AL71" s="25"/>
      <c r="AM71" s="34"/>
      <c r="AN71" s="27">
        <v>0.2</v>
      </c>
      <c r="AO71" s="27">
        <v>0.2</v>
      </c>
      <c r="AP71" s="36">
        <v>0.2</v>
      </c>
      <c r="AQ71" s="37"/>
      <c r="AR71" s="32"/>
      <c r="AS71" s="25" t="s">
        <v>82</v>
      </c>
      <c r="AT71" s="27" t="s">
        <v>87</v>
      </c>
      <c r="AU71" s="27"/>
      <c r="AW71" s="25" t="s">
        <v>90</v>
      </c>
      <c r="AX71" s="27" t="s">
        <v>95</v>
      </c>
      <c r="AY71" s="27"/>
      <c r="AZ71" s="32"/>
      <c r="BA71" s="41">
        <v>0</v>
      </c>
    </row>
    <row r="72" spans="1:53" x14ac:dyDescent="0.2">
      <c r="A72" s="25">
        <v>64</v>
      </c>
      <c r="B72" s="26">
        <v>45384</v>
      </c>
      <c r="C72" s="27" t="s">
        <v>227</v>
      </c>
      <c r="D72" s="25"/>
      <c r="E72" s="28"/>
      <c r="F72" s="27"/>
      <c r="G72" s="28"/>
      <c r="H72" s="27"/>
      <c r="I72" s="28"/>
      <c r="J72" s="27">
        <v>6</v>
      </c>
      <c r="K72" s="29" t="s">
        <v>35</v>
      </c>
      <c r="L72" s="39"/>
      <c r="M72" s="31"/>
      <c r="N72" s="27"/>
      <c r="P72" s="32"/>
      <c r="Q72" s="25"/>
      <c r="R72" s="27"/>
      <c r="S72" s="27"/>
      <c r="T72" s="28"/>
      <c r="U72" s="27"/>
      <c r="V72" s="27" t="s">
        <v>154</v>
      </c>
      <c r="W72" s="28"/>
      <c r="X72" s="33"/>
      <c r="Y72" s="32"/>
      <c r="Z72" s="25"/>
      <c r="AA72" s="27"/>
      <c r="AB72" s="28"/>
      <c r="AC72" s="27"/>
      <c r="AD72" s="27"/>
      <c r="AE72" s="33"/>
      <c r="AG72" s="25"/>
      <c r="AH72" s="34"/>
      <c r="AI72" s="27"/>
      <c r="AJ72" s="27"/>
      <c r="AK72" s="27"/>
      <c r="AL72" s="25"/>
      <c r="AM72" s="34"/>
      <c r="AN72" s="27">
        <v>0.2</v>
      </c>
      <c r="AO72" s="27">
        <v>0.2</v>
      </c>
      <c r="AP72" s="36">
        <v>0.2</v>
      </c>
      <c r="AQ72" s="37"/>
      <c r="AR72" s="32"/>
      <c r="AS72" s="25" t="s">
        <v>82</v>
      </c>
      <c r="AT72" s="27" t="s">
        <v>87</v>
      </c>
      <c r="AU72" s="27"/>
      <c r="AV72" t="s">
        <v>374</v>
      </c>
      <c r="AW72" s="25" t="s">
        <v>90</v>
      </c>
      <c r="AX72" s="27" t="s">
        <v>95</v>
      </c>
      <c r="AY72" s="27"/>
      <c r="AZ72" s="32"/>
      <c r="BA72" s="41">
        <v>0</v>
      </c>
    </row>
    <row r="73" spans="1:53" x14ac:dyDescent="0.2">
      <c r="A73" s="25">
        <v>65</v>
      </c>
      <c r="B73" s="26">
        <v>45385</v>
      </c>
      <c r="C73" s="27" t="s">
        <v>232</v>
      </c>
      <c r="D73" s="25"/>
      <c r="E73" s="28"/>
      <c r="F73" s="27"/>
      <c r="G73" s="28"/>
      <c r="H73" s="27"/>
      <c r="I73" s="28"/>
      <c r="J73" s="27">
        <v>6</v>
      </c>
      <c r="K73" s="29" t="s">
        <v>35</v>
      </c>
      <c r="L73" s="39"/>
      <c r="M73" s="31"/>
      <c r="N73" s="27"/>
      <c r="P73" s="32"/>
      <c r="Q73" s="25"/>
      <c r="R73" s="27"/>
      <c r="S73" s="27"/>
      <c r="T73" s="28"/>
      <c r="U73" s="27"/>
      <c r="V73" s="27" t="s">
        <v>154</v>
      </c>
      <c r="W73" s="28"/>
      <c r="X73" s="33"/>
      <c r="Y73" s="32"/>
      <c r="Z73" s="25"/>
      <c r="AA73" s="27"/>
      <c r="AB73" s="28"/>
      <c r="AC73" s="27"/>
      <c r="AD73" s="27"/>
      <c r="AE73" s="33"/>
      <c r="AG73" s="25"/>
      <c r="AH73" s="34"/>
      <c r="AI73" s="27"/>
      <c r="AJ73" s="27"/>
      <c r="AK73" s="27"/>
      <c r="AL73" s="25"/>
      <c r="AM73" s="34"/>
      <c r="AN73" s="27">
        <v>0.2</v>
      </c>
      <c r="AO73" s="27">
        <v>0.2</v>
      </c>
      <c r="AP73" s="36">
        <v>0.2</v>
      </c>
      <c r="AQ73" s="37"/>
      <c r="AR73" s="32"/>
      <c r="AS73" s="25" t="s">
        <v>82</v>
      </c>
      <c r="AT73" s="27" t="s">
        <v>87</v>
      </c>
      <c r="AU73" s="27"/>
      <c r="AW73" s="25" t="s">
        <v>90</v>
      </c>
      <c r="AX73" s="27" t="s">
        <v>95</v>
      </c>
      <c r="AY73" s="27"/>
      <c r="AZ73" s="32"/>
      <c r="BA73" s="41">
        <v>0</v>
      </c>
    </row>
    <row r="74" spans="1:53" x14ac:dyDescent="0.2">
      <c r="A74" s="25">
        <v>66</v>
      </c>
      <c r="B74" s="26">
        <v>45386</v>
      </c>
      <c r="C74" s="27" t="s">
        <v>227</v>
      </c>
      <c r="D74" s="25"/>
      <c r="E74" s="28"/>
      <c r="F74" s="27"/>
      <c r="G74" s="28"/>
      <c r="H74" s="27"/>
      <c r="I74" s="28"/>
      <c r="J74" s="27">
        <v>6</v>
      </c>
      <c r="K74" s="29" t="s">
        <v>35</v>
      </c>
      <c r="L74" s="39"/>
      <c r="M74" s="31"/>
      <c r="N74" s="27"/>
      <c r="P74" s="32"/>
      <c r="Q74" s="25"/>
      <c r="R74" s="27"/>
      <c r="S74" s="27"/>
      <c r="T74" s="28"/>
      <c r="U74" s="27"/>
      <c r="V74" s="27" t="s">
        <v>154</v>
      </c>
      <c r="W74" s="28"/>
      <c r="X74" s="33"/>
      <c r="Y74" s="32"/>
      <c r="Z74" s="25"/>
      <c r="AA74" s="27"/>
      <c r="AB74" s="28"/>
      <c r="AC74" s="27"/>
      <c r="AD74" s="27"/>
      <c r="AE74" s="33"/>
      <c r="AG74" s="25"/>
      <c r="AH74" s="34"/>
      <c r="AI74" s="27"/>
      <c r="AJ74" s="27"/>
      <c r="AK74" s="27"/>
      <c r="AL74" s="25"/>
      <c r="AM74" s="34"/>
      <c r="AN74" s="27">
        <v>0.2</v>
      </c>
      <c r="AO74" s="27">
        <v>0.2</v>
      </c>
      <c r="AP74" s="36">
        <v>0.2</v>
      </c>
      <c r="AQ74" s="37"/>
      <c r="AR74" s="32"/>
      <c r="AS74" s="25" t="s">
        <v>82</v>
      </c>
      <c r="AT74" s="27" t="s">
        <v>87</v>
      </c>
      <c r="AU74" s="27"/>
      <c r="AW74" s="25" t="s">
        <v>90</v>
      </c>
      <c r="AX74" s="27" t="s">
        <v>95</v>
      </c>
      <c r="AY74" s="27"/>
      <c r="AZ74" s="32"/>
      <c r="BA74" s="41">
        <v>0</v>
      </c>
    </row>
    <row r="75" spans="1:53" x14ac:dyDescent="0.2">
      <c r="A75" s="25">
        <v>67</v>
      </c>
      <c r="B75" s="26">
        <v>45387</v>
      </c>
      <c r="C75" s="27" t="s">
        <v>200</v>
      </c>
      <c r="D75" s="25"/>
      <c r="E75" s="28"/>
      <c r="F75" s="27"/>
      <c r="G75" s="28"/>
      <c r="H75" s="27"/>
      <c r="I75" s="28"/>
      <c r="J75" s="27">
        <v>6</v>
      </c>
      <c r="K75" s="29" t="s">
        <v>35</v>
      </c>
      <c r="L75" s="39"/>
      <c r="M75" s="31"/>
      <c r="N75" s="27"/>
      <c r="P75" s="32"/>
      <c r="Q75" s="25"/>
      <c r="R75" s="27"/>
      <c r="S75" s="27"/>
      <c r="T75" s="28"/>
      <c r="U75" s="27"/>
      <c r="V75" s="27" t="s">
        <v>154</v>
      </c>
      <c r="W75" s="28"/>
      <c r="X75" s="33"/>
      <c r="Y75" s="32"/>
      <c r="Z75" s="25"/>
      <c r="AA75" s="27"/>
      <c r="AB75" s="28"/>
      <c r="AC75" s="27"/>
      <c r="AD75" s="27"/>
      <c r="AE75" s="33"/>
      <c r="AG75" s="25"/>
      <c r="AH75" s="34"/>
      <c r="AI75" s="27"/>
      <c r="AJ75" s="27"/>
      <c r="AK75" s="27"/>
      <c r="AL75" s="25"/>
      <c r="AM75" s="34"/>
      <c r="AN75" s="27">
        <v>0.2</v>
      </c>
      <c r="AO75" s="27">
        <v>0.2</v>
      </c>
      <c r="AP75" s="36">
        <v>0.2</v>
      </c>
      <c r="AQ75" s="37"/>
      <c r="AR75" s="32"/>
      <c r="AS75" s="25" t="s">
        <v>82</v>
      </c>
      <c r="AT75" s="27" t="s">
        <v>87</v>
      </c>
      <c r="AU75" s="27"/>
      <c r="AV75" t="s">
        <v>377</v>
      </c>
      <c r="AW75" s="25" t="s">
        <v>90</v>
      </c>
      <c r="AX75" s="27" t="s">
        <v>95</v>
      </c>
      <c r="AY75" s="27"/>
      <c r="AZ75" s="32"/>
      <c r="BA75" s="41">
        <v>0</v>
      </c>
    </row>
    <row r="76" spans="1:53" x14ac:dyDescent="0.2">
      <c r="A76" s="25">
        <v>68</v>
      </c>
      <c r="B76" s="26">
        <v>45388</v>
      </c>
      <c r="C76" s="27" t="s">
        <v>200</v>
      </c>
      <c r="D76" s="25"/>
      <c r="E76" s="28"/>
      <c r="F76" s="27"/>
      <c r="G76" s="28"/>
      <c r="H76" s="27"/>
      <c r="I76" s="28"/>
      <c r="J76" s="27">
        <v>6</v>
      </c>
      <c r="K76" s="29" t="s">
        <v>35</v>
      </c>
      <c r="L76" s="39"/>
      <c r="M76" s="31"/>
      <c r="N76" s="27"/>
      <c r="P76" s="32"/>
      <c r="Q76" s="25"/>
      <c r="R76" s="27"/>
      <c r="S76" s="27"/>
      <c r="T76" s="28"/>
      <c r="U76" s="27"/>
      <c r="V76" s="27" t="s">
        <v>154</v>
      </c>
      <c r="W76" s="28"/>
      <c r="X76" s="33"/>
      <c r="Y76" s="32"/>
      <c r="Z76" s="25"/>
      <c r="AA76" s="27"/>
      <c r="AB76" s="28"/>
      <c r="AC76" s="27"/>
      <c r="AD76" s="27"/>
      <c r="AE76" s="33"/>
      <c r="AG76" s="25"/>
      <c r="AH76" s="34"/>
      <c r="AI76" s="27"/>
      <c r="AJ76" s="27"/>
      <c r="AK76" s="27"/>
      <c r="AL76" s="25"/>
      <c r="AM76" s="34"/>
      <c r="AN76" s="27">
        <v>0.2</v>
      </c>
      <c r="AO76" s="27">
        <v>0.2</v>
      </c>
      <c r="AP76" s="36">
        <v>0.2</v>
      </c>
      <c r="AQ76" s="37"/>
      <c r="AR76" s="32"/>
      <c r="AS76" s="25" t="s">
        <v>82</v>
      </c>
      <c r="AT76" s="27" t="s">
        <v>87</v>
      </c>
      <c r="AU76" s="27"/>
      <c r="AW76" s="25" t="s">
        <v>90</v>
      </c>
      <c r="AX76" s="27" t="s">
        <v>95</v>
      </c>
      <c r="AY76" s="27"/>
      <c r="AZ76" s="32"/>
      <c r="BA76" s="41">
        <v>0</v>
      </c>
    </row>
    <row r="77" spans="1:53" x14ac:dyDescent="0.2">
      <c r="A77" s="25">
        <v>69</v>
      </c>
      <c r="B77" s="26">
        <v>45389</v>
      </c>
      <c r="C77" s="27" t="s">
        <v>232</v>
      </c>
      <c r="D77" s="25"/>
      <c r="E77" s="28"/>
      <c r="F77" s="27"/>
      <c r="G77" s="28"/>
      <c r="H77" s="27"/>
      <c r="I77" s="28"/>
      <c r="J77" s="27">
        <v>6</v>
      </c>
      <c r="K77" s="29" t="s">
        <v>35</v>
      </c>
      <c r="L77" s="39"/>
      <c r="M77" s="31"/>
      <c r="N77" s="27"/>
      <c r="P77" s="32"/>
      <c r="Q77" s="25"/>
      <c r="R77" s="27"/>
      <c r="S77" s="27"/>
      <c r="T77" s="28"/>
      <c r="U77" s="27"/>
      <c r="V77" s="27" t="s">
        <v>154</v>
      </c>
      <c r="W77" s="28"/>
      <c r="X77" s="33"/>
      <c r="Y77" s="32"/>
      <c r="Z77" s="25"/>
      <c r="AA77" s="27"/>
      <c r="AB77" s="28"/>
      <c r="AC77" s="27"/>
      <c r="AD77" s="27"/>
      <c r="AE77" s="33"/>
      <c r="AG77" s="25"/>
      <c r="AH77" s="34"/>
      <c r="AI77" s="27"/>
      <c r="AJ77" s="27"/>
      <c r="AK77" s="27"/>
      <c r="AL77" s="25"/>
      <c r="AM77" s="34"/>
      <c r="AN77" s="27">
        <v>0.2</v>
      </c>
      <c r="AO77" s="27">
        <v>0.2</v>
      </c>
      <c r="AP77" s="36">
        <v>0.2</v>
      </c>
      <c r="AQ77" s="37"/>
      <c r="AR77" s="32"/>
      <c r="AS77" s="25" t="s">
        <v>82</v>
      </c>
      <c r="AT77" s="27" t="s">
        <v>87</v>
      </c>
      <c r="AU77" s="27"/>
      <c r="AW77" s="25" t="s">
        <v>90</v>
      </c>
      <c r="AX77" s="27" t="s">
        <v>95</v>
      </c>
      <c r="AY77" s="27"/>
      <c r="AZ77" s="32"/>
      <c r="BA77" s="41">
        <v>0</v>
      </c>
    </row>
    <row r="78" spans="1:53" x14ac:dyDescent="0.2">
      <c r="A78" s="25">
        <v>70</v>
      </c>
      <c r="B78" s="26">
        <v>45390</v>
      </c>
      <c r="C78" s="27" t="s">
        <v>232</v>
      </c>
      <c r="D78" s="25"/>
      <c r="E78" s="28"/>
      <c r="F78" s="27"/>
      <c r="G78" s="28"/>
      <c r="H78" s="27"/>
      <c r="I78" s="28"/>
      <c r="J78" s="27">
        <v>6</v>
      </c>
      <c r="K78" s="29" t="s">
        <v>35</v>
      </c>
      <c r="L78" s="39"/>
      <c r="M78" s="31"/>
      <c r="N78" s="27"/>
      <c r="P78" s="32"/>
      <c r="Q78" s="25"/>
      <c r="R78" s="27"/>
      <c r="S78" s="27"/>
      <c r="T78" s="28"/>
      <c r="U78" s="27"/>
      <c r="V78" s="27" t="s">
        <v>154</v>
      </c>
      <c r="W78" s="28"/>
      <c r="X78" s="33"/>
      <c r="Y78" s="32"/>
      <c r="Z78" s="25"/>
      <c r="AA78" s="27"/>
      <c r="AB78" s="28"/>
      <c r="AC78" s="27"/>
      <c r="AD78" s="27"/>
      <c r="AE78" s="33"/>
      <c r="AG78" s="25"/>
      <c r="AH78" s="34"/>
      <c r="AI78" s="27"/>
      <c r="AJ78" s="27"/>
      <c r="AK78" s="27"/>
      <c r="AL78" s="25"/>
      <c r="AM78" s="34"/>
      <c r="AN78" s="27">
        <v>0.2</v>
      </c>
      <c r="AO78" s="27">
        <v>0.2</v>
      </c>
      <c r="AP78" s="36">
        <v>0.2</v>
      </c>
      <c r="AQ78" s="37"/>
      <c r="AR78" s="32"/>
      <c r="AS78" s="25" t="s">
        <v>82</v>
      </c>
      <c r="AT78" s="27" t="s">
        <v>87</v>
      </c>
      <c r="AU78" s="27"/>
      <c r="AW78" s="25" t="s">
        <v>90</v>
      </c>
      <c r="AX78" s="27" t="s">
        <v>95</v>
      </c>
      <c r="AY78" s="27"/>
      <c r="AZ78" s="32"/>
      <c r="BA78" s="41">
        <v>0</v>
      </c>
    </row>
    <row r="79" spans="1:53" x14ac:dyDescent="0.2">
      <c r="A79" s="25">
        <v>71</v>
      </c>
      <c r="B79" s="26">
        <v>45391</v>
      </c>
      <c r="C79" s="27" t="s">
        <v>227</v>
      </c>
      <c r="D79" s="25"/>
      <c r="E79" s="28"/>
      <c r="F79" s="27"/>
      <c r="G79" s="28"/>
      <c r="H79" s="27"/>
      <c r="I79" s="28"/>
      <c r="J79" s="27">
        <v>6</v>
      </c>
      <c r="K79" s="29" t="s">
        <v>35</v>
      </c>
      <c r="L79" s="39"/>
      <c r="M79" s="31"/>
      <c r="N79" s="27"/>
      <c r="P79" s="32"/>
      <c r="Q79" s="25"/>
      <c r="R79" s="27"/>
      <c r="S79" s="27"/>
      <c r="T79" s="28"/>
      <c r="U79" s="27"/>
      <c r="V79" s="27" t="s">
        <v>154</v>
      </c>
      <c r="W79" s="28"/>
      <c r="X79" s="33"/>
      <c r="Y79" s="32"/>
      <c r="Z79" s="25"/>
      <c r="AA79" s="27"/>
      <c r="AB79" s="28"/>
      <c r="AC79" s="27"/>
      <c r="AD79" s="27"/>
      <c r="AE79" s="33"/>
      <c r="AF79" s="32"/>
      <c r="AG79" s="90"/>
      <c r="AH79" s="91"/>
      <c r="AI79" s="27"/>
      <c r="AJ79" s="27"/>
      <c r="AK79" s="28"/>
      <c r="AL79" s="27"/>
      <c r="AM79" s="27"/>
      <c r="AN79" s="27">
        <v>0.2</v>
      </c>
      <c r="AO79" s="27">
        <v>0.2</v>
      </c>
      <c r="AP79" s="36">
        <v>0.2</v>
      </c>
      <c r="AQ79" s="37"/>
      <c r="AS79" s="25" t="s">
        <v>82</v>
      </c>
      <c r="AT79" s="27" t="s">
        <v>87</v>
      </c>
      <c r="AU79" s="27"/>
      <c r="AW79" s="25" t="s">
        <v>90</v>
      </c>
      <c r="AX79" s="27" t="s">
        <v>95</v>
      </c>
      <c r="AY79" s="27"/>
      <c r="AZ79" s="32"/>
      <c r="BA79" s="41">
        <v>1</v>
      </c>
    </row>
    <row r="80" spans="1:53" x14ac:dyDescent="0.2">
      <c r="A80" s="25">
        <v>72</v>
      </c>
      <c r="B80" s="26">
        <v>45392</v>
      </c>
      <c r="C80" s="27" t="s">
        <v>227</v>
      </c>
      <c r="D80" s="25"/>
      <c r="E80" s="28"/>
      <c r="F80" s="27"/>
      <c r="G80" s="28"/>
      <c r="H80" s="27"/>
      <c r="I80" s="28"/>
      <c r="J80" s="27">
        <v>6</v>
      </c>
      <c r="K80" s="29" t="s">
        <v>35</v>
      </c>
      <c r="L80" s="39"/>
      <c r="M80" s="31"/>
      <c r="N80" s="27"/>
      <c r="P80" s="32"/>
      <c r="Q80" s="25"/>
      <c r="R80" s="27"/>
      <c r="S80" s="27"/>
      <c r="T80" s="28"/>
      <c r="U80" s="27"/>
      <c r="V80" s="27"/>
      <c r="W80" s="28"/>
      <c r="X80" s="33"/>
      <c r="Y80" s="32" t="s">
        <v>384</v>
      </c>
      <c r="Z80" s="25"/>
      <c r="AA80" s="27"/>
      <c r="AB80" s="28"/>
      <c r="AC80" s="27"/>
      <c r="AD80" s="27"/>
      <c r="AE80" s="33"/>
      <c r="AF80" s="32"/>
      <c r="AG80" s="90"/>
      <c r="AH80" s="91"/>
      <c r="AI80" s="27"/>
      <c r="AJ80" s="27"/>
      <c r="AK80" s="28"/>
      <c r="AL80" s="27"/>
      <c r="AM80" s="27"/>
      <c r="AN80" s="27">
        <v>0.2</v>
      </c>
      <c r="AO80" s="27">
        <v>0.2</v>
      </c>
      <c r="AP80" s="36">
        <v>0.2</v>
      </c>
      <c r="AQ80" s="37"/>
      <c r="AS80" s="25" t="s">
        <v>82</v>
      </c>
      <c r="AT80" s="27" t="s">
        <v>87</v>
      </c>
      <c r="AU80" s="27"/>
      <c r="AW80" s="25" t="s">
        <v>90</v>
      </c>
      <c r="AX80" s="27" t="s">
        <v>95</v>
      </c>
      <c r="AY80" s="27"/>
      <c r="AZ80" s="32"/>
      <c r="BA80" s="41">
        <v>0</v>
      </c>
    </row>
    <row r="81" spans="1:53" x14ac:dyDescent="0.2">
      <c r="A81" s="25">
        <v>73</v>
      </c>
      <c r="B81" s="26">
        <v>45393</v>
      </c>
      <c r="C81" s="27" t="s">
        <v>227</v>
      </c>
      <c r="D81" s="25"/>
      <c r="E81" s="28"/>
      <c r="F81" s="27"/>
      <c r="G81" s="28"/>
      <c r="H81" s="27"/>
      <c r="I81" s="28"/>
      <c r="J81" s="27">
        <v>6</v>
      </c>
      <c r="K81" s="29" t="s">
        <v>35</v>
      </c>
      <c r="L81" s="173"/>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v>0.2</v>
      </c>
      <c r="AO81" s="27">
        <v>0.2</v>
      </c>
      <c r="AP81" s="36">
        <v>0.2</v>
      </c>
      <c r="AQ81" s="37"/>
      <c r="AS81" s="25" t="s">
        <v>386</v>
      </c>
      <c r="AT81" s="27" t="s">
        <v>87</v>
      </c>
      <c r="AU81" s="27"/>
      <c r="AW81" s="25" t="s">
        <v>90</v>
      </c>
      <c r="AX81" s="27" t="s">
        <v>95</v>
      </c>
      <c r="AY81" s="27"/>
      <c r="AZ81" s="32"/>
      <c r="BA81" s="41">
        <v>0</v>
      </c>
    </row>
    <row r="82" spans="1:53" x14ac:dyDescent="0.2">
      <c r="A82" s="25">
        <v>74</v>
      </c>
      <c r="B82" s="26">
        <v>45394</v>
      </c>
      <c r="C82" s="27" t="s">
        <v>200</v>
      </c>
      <c r="D82" s="25"/>
      <c r="E82" s="28"/>
      <c r="F82" s="27"/>
      <c r="G82" s="28"/>
      <c r="H82" s="27"/>
      <c r="I82" s="28"/>
      <c r="J82" s="27">
        <v>6</v>
      </c>
      <c r="K82" s="29" t="s">
        <v>35</v>
      </c>
      <c r="L82" s="173"/>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v>0.2</v>
      </c>
      <c r="AO82" s="27">
        <v>0.2</v>
      </c>
      <c r="AP82" s="36">
        <v>0.2</v>
      </c>
      <c r="AQ82" s="37"/>
      <c r="AS82" s="25" t="s">
        <v>386</v>
      </c>
      <c r="AT82" s="27" t="s">
        <v>87</v>
      </c>
      <c r="AU82" s="27"/>
      <c r="AW82" s="25" t="s">
        <v>90</v>
      </c>
      <c r="AX82" s="27" t="s">
        <v>95</v>
      </c>
      <c r="AY82" s="27"/>
      <c r="AZ82" s="32"/>
      <c r="BA82" s="41">
        <v>0</v>
      </c>
    </row>
    <row r="83" spans="1:53" x14ac:dyDescent="0.2">
      <c r="A83" s="25">
        <v>75</v>
      </c>
      <c r="B83" s="26">
        <v>45395</v>
      </c>
      <c r="C83" s="27" t="s">
        <v>200</v>
      </c>
      <c r="D83" s="25"/>
      <c r="E83" s="28"/>
      <c r="F83" s="27"/>
      <c r="G83" s="28"/>
      <c r="H83" s="27"/>
      <c r="I83" s="28"/>
      <c r="J83" s="27">
        <v>6</v>
      </c>
      <c r="K83" s="29" t="s">
        <v>35</v>
      </c>
      <c r="L83" s="173"/>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v>0.2</v>
      </c>
      <c r="AO83" s="27">
        <v>0.2</v>
      </c>
      <c r="AP83" s="36">
        <v>0.2</v>
      </c>
      <c r="AQ83" s="37"/>
      <c r="AR83" s="32"/>
      <c r="AS83" s="25" t="s">
        <v>386</v>
      </c>
      <c r="AT83" s="27" t="s">
        <v>87</v>
      </c>
      <c r="AU83" s="27"/>
      <c r="AW83" s="25" t="s">
        <v>90</v>
      </c>
      <c r="AX83" s="27" t="s">
        <v>95</v>
      </c>
      <c r="AY83" s="27"/>
      <c r="AZ83" s="32"/>
      <c r="BA83" s="41">
        <v>0</v>
      </c>
    </row>
    <row r="84" spans="1:53" x14ac:dyDescent="0.2">
      <c r="A84" s="25">
        <v>76</v>
      </c>
      <c r="B84" s="26">
        <v>45396</v>
      </c>
      <c r="C84" s="27" t="s">
        <v>232</v>
      </c>
      <c r="D84" s="25"/>
      <c r="E84" s="28"/>
      <c r="F84" s="27"/>
      <c r="G84" s="28"/>
      <c r="H84" s="27"/>
      <c r="I84" s="28"/>
      <c r="J84" s="27">
        <v>6</v>
      </c>
      <c r="K84" s="29" t="s">
        <v>35</v>
      </c>
      <c r="L84" s="173"/>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v>0.2</v>
      </c>
      <c r="AO84" s="27">
        <v>0.2</v>
      </c>
      <c r="AP84" s="36">
        <v>0.2</v>
      </c>
      <c r="AQ84" s="37"/>
      <c r="AR84" s="32"/>
      <c r="AS84" s="25" t="s">
        <v>386</v>
      </c>
      <c r="AT84" s="27" t="s">
        <v>87</v>
      </c>
      <c r="AU84" s="27"/>
      <c r="AW84" s="25" t="s">
        <v>90</v>
      </c>
      <c r="AX84" s="27" t="s">
        <v>95</v>
      </c>
      <c r="AY84" s="27"/>
      <c r="AZ84" s="32"/>
      <c r="BA84" s="41">
        <v>0</v>
      </c>
    </row>
    <row r="85" spans="1:53" x14ac:dyDescent="0.2">
      <c r="A85" s="25">
        <v>77</v>
      </c>
      <c r="B85" s="26">
        <v>45397</v>
      </c>
      <c r="C85" s="27" t="s">
        <v>232</v>
      </c>
      <c r="D85" s="25"/>
      <c r="E85" s="28"/>
      <c r="F85" s="27"/>
      <c r="G85" s="28"/>
      <c r="H85" s="27"/>
      <c r="I85" s="28"/>
      <c r="J85" s="27">
        <v>6</v>
      </c>
      <c r="K85" s="29" t="s">
        <v>35</v>
      </c>
      <c r="L85" s="173"/>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v>0.2</v>
      </c>
      <c r="AO85" s="27">
        <v>0.2</v>
      </c>
      <c r="AP85" s="36">
        <v>0.2</v>
      </c>
      <c r="AQ85" s="37"/>
      <c r="AR85" s="32"/>
      <c r="AS85" s="25" t="s">
        <v>386</v>
      </c>
      <c r="AT85" s="27" t="s">
        <v>87</v>
      </c>
      <c r="AU85" s="27"/>
      <c r="AW85" s="25" t="s">
        <v>90</v>
      </c>
      <c r="AX85" s="27" t="s">
        <v>95</v>
      </c>
      <c r="AY85" s="27"/>
      <c r="AZ85" s="32"/>
      <c r="BA85" s="41">
        <v>0</v>
      </c>
    </row>
    <row r="86" spans="1:53" x14ac:dyDescent="0.2">
      <c r="A86" s="25">
        <v>78</v>
      </c>
      <c r="B86" s="26">
        <v>45398</v>
      </c>
      <c r="C86" s="27" t="s">
        <v>200</v>
      </c>
      <c r="D86" s="25"/>
      <c r="E86" s="28"/>
      <c r="F86" s="27"/>
      <c r="G86" s="28"/>
      <c r="H86" s="27"/>
      <c r="I86" s="28"/>
      <c r="J86" s="27">
        <v>6</v>
      </c>
      <c r="K86" s="29" t="s">
        <v>35</v>
      </c>
      <c r="L86" s="173"/>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v>0.2</v>
      </c>
      <c r="AO86" s="27">
        <v>0.2</v>
      </c>
      <c r="AP86" s="36">
        <v>0.2</v>
      </c>
      <c r="AQ86" s="37"/>
      <c r="AR86" s="32"/>
      <c r="AS86" s="25" t="s">
        <v>386</v>
      </c>
      <c r="AT86" s="27" t="s">
        <v>87</v>
      </c>
      <c r="AU86" s="27"/>
      <c r="AW86" s="25" t="s">
        <v>90</v>
      </c>
      <c r="AX86" s="27" t="s">
        <v>95</v>
      </c>
      <c r="AY86" s="27"/>
      <c r="AZ86" s="32"/>
      <c r="BA86" s="41">
        <v>0</v>
      </c>
    </row>
    <row r="87" spans="1:53" x14ac:dyDescent="0.2">
      <c r="A87" s="25">
        <v>79</v>
      </c>
      <c r="B87" s="26">
        <v>45399</v>
      </c>
      <c r="C87" s="27" t="s">
        <v>227</v>
      </c>
      <c r="D87" s="25"/>
      <c r="E87" s="28"/>
      <c r="F87" s="27"/>
      <c r="G87" s="28"/>
      <c r="H87" s="27"/>
      <c r="I87" s="28"/>
      <c r="J87" s="27">
        <v>6</v>
      </c>
      <c r="K87" s="29" t="s">
        <v>35</v>
      </c>
      <c r="L87" s="173"/>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v>0.2</v>
      </c>
      <c r="AO87" s="27">
        <v>0.2</v>
      </c>
      <c r="AP87" s="36">
        <v>0.2</v>
      </c>
      <c r="AQ87" s="37"/>
      <c r="AR87" s="32"/>
      <c r="AS87" s="25" t="s">
        <v>386</v>
      </c>
      <c r="AT87" s="27" t="s">
        <v>87</v>
      </c>
      <c r="AU87" s="27"/>
      <c r="AW87" s="25" t="s">
        <v>90</v>
      </c>
      <c r="AX87" s="27" t="s">
        <v>95</v>
      </c>
      <c r="AY87" s="27"/>
      <c r="AZ87" s="32"/>
      <c r="BA87" s="41">
        <v>0</v>
      </c>
    </row>
    <row r="88" spans="1:53" x14ac:dyDescent="0.2">
      <c r="A88" s="25">
        <v>80</v>
      </c>
      <c r="B88" s="26">
        <v>45400</v>
      </c>
      <c r="C88" s="27" t="s">
        <v>399</v>
      </c>
      <c r="D88" s="25"/>
      <c r="E88" s="28"/>
      <c r="F88" s="27"/>
      <c r="G88" s="28"/>
      <c r="H88" s="27"/>
      <c r="I88" s="28"/>
      <c r="J88" s="27">
        <v>6</v>
      </c>
      <c r="K88" s="29" t="s">
        <v>35</v>
      </c>
      <c r="L88" s="173"/>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v>0.2</v>
      </c>
      <c r="AO88" s="27">
        <v>0.2</v>
      </c>
      <c r="AP88" s="36">
        <v>0.2</v>
      </c>
      <c r="AQ88" s="37"/>
      <c r="AR88" s="32"/>
      <c r="AS88" s="25" t="s">
        <v>386</v>
      </c>
      <c r="AT88" s="27" t="s">
        <v>87</v>
      </c>
      <c r="AU88" s="27"/>
      <c r="AW88" s="25" t="s">
        <v>90</v>
      </c>
      <c r="AX88" s="27" t="s">
        <v>95</v>
      </c>
      <c r="AY88" s="27"/>
      <c r="AZ88" s="32"/>
      <c r="BA88" s="41">
        <v>0</v>
      </c>
    </row>
    <row r="89" spans="1:53" x14ac:dyDescent="0.2">
      <c r="A89" s="25">
        <v>81</v>
      </c>
      <c r="B89" s="26">
        <v>45401</v>
      </c>
      <c r="C89" s="27" t="s">
        <v>200</v>
      </c>
      <c r="D89" s="25"/>
      <c r="E89" s="28"/>
      <c r="F89" s="27"/>
      <c r="G89" s="28"/>
      <c r="H89" s="27"/>
      <c r="I89" s="28"/>
      <c r="J89" s="27">
        <v>6</v>
      </c>
      <c r="K89" s="29" t="s">
        <v>35</v>
      </c>
      <c r="L89" s="173" t="s">
        <v>401</v>
      </c>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v>0.2</v>
      </c>
      <c r="AO89" s="27">
        <v>0.2</v>
      </c>
      <c r="AP89" s="36">
        <v>0.2</v>
      </c>
      <c r="AQ89" s="37"/>
      <c r="AR89" s="32"/>
      <c r="AS89" s="25" t="s">
        <v>96</v>
      </c>
      <c r="AT89" s="27" t="s">
        <v>87</v>
      </c>
      <c r="AU89" s="27" t="s">
        <v>187</v>
      </c>
      <c r="AW89" s="25" t="s">
        <v>90</v>
      </c>
      <c r="AX89" s="27" t="s">
        <v>95</v>
      </c>
      <c r="AY89" s="27"/>
      <c r="AZ89" s="32"/>
      <c r="BA89" s="41">
        <v>0</v>
      </c>
    </row>
    <row r="90" spans="1:53" x14ac:dyDescent="0.2">
      <c r="A90" s="25">
        <v>82</v>
      </c>
      <c r="B90" s="26">
        <v>45402</v>
      </c>
      <c r="C90" s="27" t="s">
        <v>200</v>
      </c>
      <c r="D90" s="25"/>
      <c r="E90" s="28"/>
      <c r="F90" s="27"/>
      <c r="G90" s="28"/>
      <c r="H90" s="27"/>
      <c r="I90" s="28"/>
      <c r="J90" s="27">
        <v>6</v>
      </c>
      <c r="K90" s="29" t="s">
        <v>35</v>
      </c>
      <c r="L90" s="39"/>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v>0.2</v>
      </c>
      <c r="AO90" s="27">
        <v>0.2</v>
      </c>
      <c r="AP90" s="36">
        <v>0.2</v>
      </c>
      <c r="AQ90" s="37"/>
      <c r="AR90" s="32"/>
      <c r="AS90" s="25" t="s">
        <v>96</v>
      </c>
      <c r="AT90" s="27" t="s">
        <v>87</v>
      </c>
      <c r="AU90" s="27"/>
      <c r="AW90" s="25" t="s">
        <v>90</v>
      </c>
      <c r="AX90" s="27" t="s">
        <v>95</v>
      </c>
      <c r="AY90" s="27"/>
      <c r="AZ90" s="32"/>
      <c r="BA90" s="41">
        <v>0</v>
      </c>
    </row>
    <row r="91" spans="1:53" x14ac:dyDescent="0.2">
      <c r="A91" s="25">
        <v>83</v>
      </c>
      <c r="B91" s="26">
        <v>45403</v>
      </c>
      <c r="C91" s="27" t="s">
        <v>232</v>
      </c>
      <c r="D91" s="25"/>
      <c r="E91" s="28"/>
      <c r="F91" s="27"/>
      <c r="G91" s="28"/>
      <c r="H91" s="27"/>
      <c r="I91" s="28"/>
      <c r="J91" s="27">
        <v>6</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v>0.2</v>
      </c>
      <c r="AO91" s="27">
        <v>0.2</v>
      </c>
      <c r="AP91" s="36">
        <v>0.2</v>
      </c>
      <c r="AQ91" s="37"/>
      <c r="AR91" s="32"/>
      <c r="AS91" s="25" t="s">
        <v>82</v>
      </c>
      <c r="AT91" s="27" t="s">
        <v>87</v>
      </c>
      <c r="AU91" s="27"/>
      <c r="AV91" t="s">
        <v>403</v>
      </c>
      <c r="AW91" s="25" t="s">
        <v>90</v>
      </c>
      <c r="AX91" s="27" t="s">
        <v>95</v>
      </c>
      <c r="AY91" s="27"/>
      <c r="AZ91" s="32"/>
      <c r="BA91" s="41">
        <v>0</v>
      </c>
    </row>
    <row r="92" spans="1:53" x14ac:dyDescent="0.2">
      <c r="A92" s="25">
        <v>84</v>
      </c>
      <c r="B92" s="26">
        <v>45404</v>
      </c>
      <c r="C92" s="27" t="s">
        <v>232</v>
      </c>
      <c r="D92" s="25"/>
      <c r="E92" s="28"/>
      <c r="F92" s="27"/>
      <c r="G92" s="28"/>
      <c r="H92" s="27"/>
      <c r="I92" s="28"/>
      <c r="J92" s="27">
        <v>6</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v>0.2</v>
      </c>
      <c r="AO92" s="27">
        <v>0.2</v>
      </c>
      <c r="AP92" s="36">
        <v>0.2</v>
      </c>
      <c r="AQ92" s="37"/>
      <c r="AR92" s="32"/>
      <c r="AS92" s="25" t="s">
        <v>96</v>
      </c>
      <c r="AT92" s="27" t="s">
        <v>87</v>
      </c>
      <c r="AU92" s="27"/>
      <c r="AV92" t="s">
        <v>406</v>
      </c>
      <c r="AW92" s="25" t="s">
        <v>90</v>
      </c>
      <c r="AX92" s="27" t="s">
        <v>95</v>
      </c>
      <c r="AY92" s="27"/>
      <c r="AZ92" s="32"/>
      <c r="BA92" s="41">
        <v>0</v>
      </c>
    </row>
    <row r="93" spans="1:53" x14ac:dyDescent="0.2">
      <c r="A93" s="25">
        <v>85</v>
      </c>
      <c r="B93" s="26">
        <v>45405</v>
      </c>
      <c r="C93" s="27" t="s">
        <v>232</v>
      </c>
      <c r="D93" s="25"/>
      <c r="E93" s="28"/>
      <c r="F93" s="27"/>
      <c r="G93" s="28"/>
      <c r="H93" s="27"/>
      <c r="I93" s="28"/>
      <c r="J93" s="27">
        <v>6</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v>0.2</v>
      </c>
      <c r="AO93" s="27">
        <v>0.2</v>
      </c>
      <c r="AP93" s="36">
        <v>0.2</v>
      </c>
      <c r="AQ93" s="37"/>
      <c r="AR93" s="32"/>
      <c r="AS93" s="25" t="s">
        <v>96</v>
      </c>
      <c r="AT93" s="27" t="s">
        <v>87</v>
      </c>
      <c r="AU93" s="27"/>
      <c r="AW93" s="25" t="s">
        <v>90</v>
      </c>
      <c r="AX93" s="27" t="s">
        <v>95</v>
      </c>
      <c r="AY93" s="27"/>
      <c r="AZ93" s="32"/>
      <c r="BA93" s="41">
        <v>0</v>
      </c>
    </row>
    <row r="94" spans="1:53" x14ac:dyDescent="0.2">
      <c r="A94" s="25">
        <v>86</v>
      </c>
      <c r="B94" s="26">
        <v>45406</v>
      </c>
      <c r="C94" s="27" t="s">
        <v>227</v>
      </c>
      <c r="D94" s="25"/>
      <c r="E94" s="28"/>
      <c r="F94" s="27"/>
      <c r="G94" s="28"/>
      <c r="H94" s="27"/>
      <c r="I94" s="28"/>
      <c r="J94" s="27">
        <v>6</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v>0.1</v>
      </c>
      <c r="AJ94" s="27">
        <v>0.1</v>
      </c>
      <c r="AK94" s="28">
        <v>0.1</v>
      </c>
      <c r="AL94" s="27"/>
      <c r="AM94" s="27"/>
      <c r="AN94" s="27">
        <v>0.1</v>
      </c>
      <c r="AO94" s="27">
        <v>0.1</v>
      </c>
      <c r="AP94" s="36">
        <v>0.1</v>
      </c>
      <c r="AQ94" s="37"/>
      <c r="AR94" s="32" t="s">
        <v>410</v>
      </c>
      <c r="AS94" s="25" t="s">
        <v>96</v>
      </c>
      <c r="AT94" s="27" t="s">
        <v>87</v>
      </c>
      <c r="AU94" s="27"/>
      <c r="AW94" s="25" t="s">
        <v>90</v>
      </c>
      <c r="AX94" s="27" t="s">
        <v>95</v>
      </c>
      <c r="AY94" s="27"/>
      <c r="AZ94" s="32"/>
      <c r="BA94" s="41">
        <v>0</v>
      </c>
    </row>
    <row r="95" spans="1:53" x14ac:dyDescent="0.2">
      <c r="A95" s="25">
        <v>87</v>
      </c>
      <c r="B95" s="26">
        <v>45407</v>
      </c>
      <c r="C95" s="27" t="s">
        <v>200</v>
      </c>
      <c r="D95" s="25"/>
      <c r="E95" s="28"/>
      <c r="F95" s="27"/>
      <c r="G95" s="28"/>
      <c r="H95" s="27"/>
      <c r="I95" s="28"/>
      <c r="J95" s="27">
        <v>6</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v>0.2</v>
      </c>
      <c r="AO95" s="27">
        <v>0.2</v>
      </c>
      <c r="AP95" s="36">
        <v>0.2</v>
      </c>
      <c r="AQ95" s="37"/>
      <c r="AR95" s="32"/>
      <c r="AS95" s="25" t="s">
        <v>96</v>
      </c>
      <c r="AT95" s="27" t="s">
        <v>87</v>
      </c>
      <c r="AU95" s="27"/>
      <c r="AW95" s="25" t="s">
        <v>90</v>
      </c>
      <c r="AX95" s="27" t="s">
        <v>95</v>
      </c>
      <c r="AY95" s="27"/>
      <c r="AZ95" s="32"/>
      <c r="BA95" s="41">
        <v>0</v>
      </c>
    </row>
    <row r="96" spans="1:53" x14ac:dyDescent="0.2">
      <c r="A96" s="25">
        <v>88</v>
      </c>
      <c r="B96" s="26">
        <v>45408</v>
      </c>
      <c r="C96" s="27" t="s">
        <v>200</v>
      </c>
      <c r="D96" s="25"/>
      <c r="E96" s="28"/>
      <c r="F96" s="27"/>
      <c r="G96" s="28"/>
      <c r="H96" s="27"/>
      <c r="I96" s="28"/>
      <c r="J96" s="27">
        <v>6</v>
      </c>
      <c r="K96" s="29" t="s">
        <v>35</v>
      </c>
      <c r="L96" s="39"/>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t="s">
        <v>96</v>
      </c>
      <c r="AT96" s="27" t="s">
        <v>87</v>
      </c>
      <c r="AU96" s="27"/>
      <c r="AW96" s="25" t="s">
        <v>90</v>
      </c>
      <c r="AX96" s="27" t="s">
        <v>95</v>
      </c>
      <c r="AY96" s="27"/>
      <c r="AZ96" s="32"/>
      <c r="BA96" s="41">
        <v>1</v>
      </c>
    </row>
    <row r="97" spans="1:53" x14ac:dyDescent="0.2">
      <c r="A97" s="25">
        <v>89</v>
      </c>
      <c r="B97" s="26">
        <v>45409</v>
      </c>
      <c r="C97" s="27" t="s">
        <v>200</v>
      </c>
      <c r="D97" s="25"/>
      <c r="E97" s="28"/>
      <c r="F97" s="27"/>
      <c r="G97" s="28"/>
      <c r="H97" s="27"/>
      <c r="I97" s="28"/>
      <c r="J97" s="27">
        <v>6</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t="s">
        <v>96</v>
      </c>
      <c r="AT97" s="27" t="s">
        <v>87</v>
      </c>
      <c r="AU97" s="27"/>
      <c r="AW97" s="25" t="s">
        <v>90</v>
      </c>
      <c r="AX97" s="27" t="s">
        <v>95</v>
      </c>
      <c r="AY97" s="27"/>
      <c r="AZ97" s="32"/>
      <c r="BA97" s="41"/>
    </row>
    <row r="98" spans="1:53" x14ac:dyDescent="0.2">
      <c r="A98" s="25">
        <v>90</v>
      </c>
      <c r="B98" s="26">
        <v>45410</v>
      </c>
      <c r="C98" s="27" t="s">
        <v>232</v>
      </c>
      <c r="D98" s="25"/>
      <c r="E98" s="28"/>
      <c r="F98" s="27"/>
      <c r="G98" s="28"/>
      <c r="H98" s="27"/>
      <c r="I98" s="28"/>
      <c r="J98" s="27">
        <v>6</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v>0.2</v>
      </c>
      <c r="AO98" s="27">
        <v>0.2</v>
      </c>
      <c r="AP98" s="36">
        <v>0.2</v>
      </c>
      <c r="AQ98" s="37"/>
      <c r="AR98" s="32"/>
      <c r="AS98" s="25" t="s">
        <v>96</v>
      </c>
      <c r="AT98" s="27" t="s">
        <v>87</v>
      </c>
      <c r="AU98" s="27"/>
      <c r="AW98" s="25" t="s">
        <v>90</v>
      </c>
      <c r="AX98" s="27" t="s">
        <v>95</v>
      </c>
      <c r="AY98" s="27"/>
      <c r="AZ98" s="32"/>
      <c r="BA98" s="41">
        <v>0</v>
      </c>
    </row>
    <row r="99" spans="1:53" x14ac:dyDescent="0.2">
      <c r="A99" s="25">
        <v>91</v>
      </c>
      <c r="B99" s="26">
        <v>45411</v>
      </c>
      <c r="C99" s="27" t="s">
        <v>232</v>
      </c>
      <c r="J99" s="27">
        <v>6</v>
      </c>
      <c r="AN99" s="27">
        <v>0.2</v>
      </c>
      <c r="AO99" s="27">
        <v>0.2</v>
      </c>
      <c r="AP99" s="36">
        <v>0.2</v>
      </c>
      <c r="AS99" s="25" t="s">
        <v>96</v>
      </c>
      <c r="AT99" s="27" t="s">
        <v>87</v>
      </c>
      <c r="AU99" s="27"/>
      <c r="AW99" s="25" t="s">
        <v>90</v>
      </c>
      <c r="AX99" s="27" t="s">
        <v>95</v>
      </c>
      <c r="BA99" s="41">
        <v>0</v>
      </c>
    </row>
    <row r="100" spans="1:53" x14ac:dyDescent="0.2">
      <c r="A100" s="25">
        <v>92</v>
      </c>
      <c r="B100" s="26">
        <v>45412</v>
      </c>
      <c r="C100" s="27" t="s">
        <v>232</v>
      </c>
      <c r="J100" s="27">
        <v>6</v>
      </c>
      <c r="AN100" s="27">
        <v>0.2</v>
      </c>
      <c r="AO100" s="27">
        <v>0.2</v>
      </c>
      <c r="AP100" s="36">
        <v>0.2</v>
      </c>
      <c r="AS100" s="25" t="s">
        <v>96</v>
      </c>
      <c r="AT100" s="27" t="s">
        <v>87</v>
      </c>
      <c r="AU100" s="27"/>
      <c r="AW100" s="25" t="s">
        <v>90</v>
      </c>
      <c r="AX100" s="27" t="s">
        <v>95</v>
      </c>
      <c r="BA100" s="41">
        <v>0</v>
      </c>
    </row>
    <row r="101" spans="1:53" x14ac:dyDescent="0.2">
      <c r="A101" s="25">
        <v>93</v>
      </c>
      <c r="B101" s="26">
        <v>45413</v>
      </c>
      <c r="C101" s="27" t="s">
        <v>227</v>
      </c>
      <c r="J101" s="27">
        <v>6</v>
      </c>
      <c r="AN101" s="27">
        <v>0.2</v>
      </c>
      <c r="AO101" s="27">
        <v>0.2</v>
      </c>
      <c r="AP101" s="36">
        <v>0.2</v>
      </c>
      <c r="AS101" s="25" t="s">
        <v>96</v>
      </c>
      <c r="AT101" s="27" t="s">
        <v>87</v>
      </c>
      <c r="AU101" s="27"/>
      <c r="AW101" s="25" t="s">
        <v>90</v>
      </c>
      <c r="AX101" s="27" t="s">
        <v>95</v>
      </c>
      <c r="BA101" s="41">
        <v>0</v>
      </c>
    </row>
    <row r="102" spans="1:53" x14ac:dyDescent="0.2">
      <c r="A102" s="25">
        <v>94</v>
      </c>
      <c r="B102" s="26">
        <v>45414</v>
      </c>
      <c r="C102" s="27" t="s">
        <v>200</v>
      </c>
      <c r="AN102" s="27">
        <v>0.2</v>
      </c>
      <c r="AO102" s="27">
        <v>0.2</v>
      </c>
      <c r="AP102" s="36">
        <v>0.2</v>
      </c>
      <c r="AS102" s="25" t="s">
        <v>96</v>
      </c>
      <c r="AT102" s="27" t="s">
        <v>87</v>
      </c>
      <c r="AU102" s="27"/>
      <c r="AW102" s="25" t="s">
        <v>90</v>
      </c>
      <c r="AX102" s="27" t="s">
        <v>95</v>
      </c>
      <c r="BA102" s="41">
        <v>0</v>
      </c>
    </row>
    <row r="103" spans="1:53" x14ac:dyDescent="0.2">
      <c r="A103" s="25">
        <v>95</v>
      </c>
      <c r="B103" s="26">
        <v>45415</v>
      </c>
      <c r="C103" s="27" t="s">
        <v>200</v>
      </c>
      <c r="L103" t="s">
        <v>422</v>
      </c>
      <c r="AN103" s="27">
        <v>0.2</v>
      </c>
      <c r="AO103" s="27">
        <v>0.2</v>
      </c>
      <c r="AP103" s="36">
        <v>0.2</v>
      </c>
      <c r="AS103" s="25" t="s">
        <v>96</v>
      </c>
      <c r="AT103" s="27" t="s">
        <v>87</v>
      </c>
      <c r="AU103" s="27"/>
      <c r="AW103" s="25" t="s">
        <v>90</v>
      </c>
      <c r="AX103" s="27" t="s">
        <v>95</v>
      </c>
      <c r="BA103" s="41">
        <v>0</v>
      </c>
    </row>
    <row r="104" spans="1:53" x14ac:dyDescent="0.2">
      <c r="A104" s="25">
        <v>96</v>
      </c>
      <c r="B104" s="26">
        <v>45416</v>
      </c>
      <c r="C104" s="27" t="s">
        <v>200</v>
      </c>
      <c r="AN104" s="27">
        <v>0.2</v>
      </c>
      <c r="AO104" s="27">
        <v>0.2</v>
      </c>
      <c r="AP104" s="36">
        <v>0.2</v>
      </c>
      <c r="AS104" s="25" t="s">
        <v>96</v>
      </c>
      <c r="AT104" s="27" t="s">
        <v>87</v>
      </c>
      <c r="AU104" s="27"/>
      <c r="AW104" s="25" t="s">
        <v>90</v>
      </c>
      <c r="AX104" s="27" t="s">
        <v>95</v>
      </c>
      <c r="BA104" s="27">
        <v>0</v>
      </c>
    </row>
    <row r="105" spans="1:53" x14ac:dyDescent="0.2">
      <c r="A105" s="25">
        <v>97</v>
      </c>
      <c r="B105" s="26">
        <v>45417</v>
      </c>
      <c r="C105" s="27" t="s">
        <v>232</v>
      </c>
      <c r="AN105" s="27">
        <v>0.2</v>
      </c>
      <c r="AO105" s="27">
        <v>0.2</v>
      </c>
      <c r="AP105" s="36">
        <v>0.2</v>
      </c>
      <c r="AS105" s="25" t="s">
        <v>96</v>
      </c>
      <c r="AT105" s="27" t="s">
        <v>87</v>
      </c>
      <c r="AU105" s="27"/>
      <c r="AW105" s="25" t="s">
        <v>90</v>
      </c>
      <c r="AX105" s="27" t="s">
        <v>95</v>
      </c>
      <c r="BA105" s="27">
        <v>0</v>
      </c>
    </row>
    <row r="106" spans="1:53" x14ac:dyDescent="0.2">
      <c r="A106" s="25">
        <v>98</v>
      </c>
      <c r="B106" s="26">
        <v>45418</v>
      </c>
      <c r="C106" s="27" t="s">
        <v>232</v>
      </c>
      <c r="K106" s="172"/>
      <c r="L106" t="s">
        <v>427</v>
      </c>
      <c r="AN106" s="27">
        <v>0.2</v>
      </c>
      <c r="AO106" s="27">
        <v>0.2</v>
      </c>
      <c r="AP106" s="36">
        <v>0.2</v>
      </c>
      <c r="AS106" s="25" t="s">
        <v>96</v>
      </c>
      <c r="AT106" s="27" t="s">
        <v>87</v>
      </c>
      <c r="AU106" s="27"/>
      <c r="AW106" s="25" t="s">
        <v>90</v>
      </c>
      <c r="AX106" s="27" t="s">
        <v>95</v>
      </c>
      <c r="BA106" s="27">
        <v>1</v>
      </c>
    </row>
    <row r="107" spans="1:53" x14ac:dyDescent="0.2">
      <c r="A107" s="25">
        <v>99</v>
      </c>
      <c r="B107" s="26">
        <v>45419</v>
      </c>
      <c r="C107" s="27" t="s">
        <v>232</v>
      </c>
      <c r="L107" t="s">
        <v>428</v>
      </c>
      <c r="AN107">
        <v>0.2</v>
      </c>
      <c r="AO107" s="27">
        <v>0.2</v>
      </c>
      <c r="AP107" s="36">
        <v>0.2</v>
      </c>
      <c r="AS107" s="25" t="s">
        <v>96</v>
      </c>
      <c r="AT107" s="27" t="s">
        <v>87</v>
      </c>
      <c r="AU107" s="27"/>
      <c r="AW107" s="25" t="s">
        <v>90</v>
      </c>
      <c r="AX107" s="27" t="s">
        <v>95</v>
      </c>
      <c r="BA107" s="27">
        <v>0</v>
      </c>
    </row>
    <row r="108" spans="1:53" x14ac:dyDescent="0.2">
      <c r="A108" s="25">
        <v>100</v>
      </c>
      <c r="B108" s="26">
        <v>45420</v>
      </c>
      <c r="C108" s="27" t="s">
        <v>227</v>
      </c>
      <c r="AN108" s="27">
        <v>0.2</v>
      </c>
      <c r="AO108" s="27">
        <v>0.2</v>
      </c>
      <c r="AP108" s="36">
        <v>0.2</v>
      </c>
      <c r="AS108" s="25" t="s">
        <v>96</v>
      </c>
      <c r="AT108" s="27" t="s">
        <v>87</v>
      </c>
      <c r="AU108" s="27"/>
      <c r="AW108" s="25" t="s">
        <v>90</v>
      </c>
      <c r="AX108" s="27" t="s">
        <v>95</v>
      </c>
      <c r="BA108" s="27">
        <v>0</v>
      </c>
    </row>
    <row r="109" spans="1:53" x14ac:dyDescent="0.2">
      <c r="A109" s="25">
        <v>101</v>
      </c>
      <c r="B109" s="26">
        <v>45421</v>
      </c>
      <c r="C109" s="27" t="s">
        <v>227</v>
      </c>
      <c r="AN109" s="27">
        <v>0.2</v>
      </c>
      <c r="AO109" s="27">
        <v>0.2</v>
      </c>
      <c r="AP109" s="36">
        <v>2</v>
      </c>
      <c r="AS109" s="25" t="s">
        <v>96</v>
      </c>
      <c r="AT109" s="27" t="s">
        <v>87</v>
      </c>
      <c r="AU109" s="27"/>
      <c r="AW109" s="25" t="s">
        <v>90</v>
      </c>
      <c r="AX109" s="27" t="s">
        <v>95</v>
      </c>
      <c r="BA109" s="27">
        <v>0</v>
      </c>
    </row>
    <row r="110" spans="1:53" x14ac:dyDescent="0.2">
      <c r="A110" s="25">
        <v>102</v>
      </c>
      <c r="B110" s="26">
        <v>45422</v>
      </c>
      <c r="C110" s="27" t="s">
        <v>200</v>
      </c>
      <c r="AN110" s="27">
        <v>0.2</v>
      </c>
      <c r="AO110" s="27">
        <v>0.2</v>
      </c>
      <c r="AP110" s="36">
        <v>0.2</v>
      </c>
      <c r="AS110" s="25" t="s">
        <v>96</v>
      </c>
      <c r="AT110" s="27" t="s">
        <v>87</v>
      </c>
      <c r="AU110" s="27"/>
      <c r="AW110" s="25" t="s">
        <v>90</v>
      </c>
      <c r="AX110" s="27" t="s">
        <v>95</v>
      </c>
      <c r="BA110" s="27">
        <v>0</v>
      </c>
    </row>
    <row r="111" spans="1:53" x14ac:dyDescent="0.2">
      <c r="A111" s="25">
        <v>103</v>
      </c>
      <c r="B111" s="26">
        <v>45423</v>
      </c>
      <c r="C111" s="27" t="s">
        <v>200</v>
      </c>
      <c r="J111" t="s">
        <v>436</v>
      </c>
      <c r="AS111" s="25" t="s">
        <v>96</v>
      </c>
      <c r="AT111" s="27" t="s">
        <v>87</v>
      </c>
      <c r="AU111" s="27"/>
      <c r="AW111" s="25" t="s">
        <v>90</v>
      </c>
      <c r="AX111" s="27" t="s">
        <v>95</v>
      </c>
    </row>
    <row r="112" spans="1:53" x14ac:dyDescent="0.2">
      <c r="A112" s="25">
        <v>104</v>
      </c>
      <c r="B112" s="26">
        <v>45424</v>
      </c>
      <c r="C112" s="27"/>
      <c r="AS112" s="25" t="s">
        <v>96</v>
      </c>
      <c r="AT112" s="27" t="s">
        <v>87</v>
      </c>
      <c r="AU112" s="27"/>
      <c r="AW112" s="25" t="s">
        <v>90</v>
      </c>
      <c r="AX112" s="27" t="s">
        <v>95</v>
      </c>
    </row>
    <row r="113" spans="1:50" x14ac:dyDescent="0.2">
      <c r="A113" s="25">
        <v>105</v>
      </c>
      <c r="B113" s="26">
        <v>45425</v>
      </c>
      <c r="C113" s="27"/>
      <c r="AS113" s="25" t="s">
        <v>96</v>
      </c>
      <c r="AT113" s="27" t="s">
        <v>87</v>
      </c>
      <c r="AU113" s="27"/>
      <c r="AW113" s="25" t="s">
        <v>90</v>
      </c>
      <c r="AX113" s="27" t="s">
        <v>95</v>
      </c>
    </row>
    <row r="114" spans="1:50" x14ac:dyDescent="0.2">
      <c r="A114" s="25">
        <v>106</v>
      </c>
      <c r="B114" s="26">
        <v>45426</v>
      </c>
    </row>
    <row r="115" spans="1:50" x14ac:dyDescent="0.2">
      <c r="A115" s="25">
        <v>107</v>
      </c>
      <c r="B115" s="26">
        <v>45427</v>
      </c>
      <c r="C115" s="27"/>
    </row>
    <row r="116" spans="1:50" x14ac:dyDescent="0.2">
      <c r="A116" s="25">
        <v>108</v>
      </c>
      <c r="B116" s="26">
        <v>45428</v>
      </c>
      <c r="C116" s="27"/>
    </row>
    <row r="117" spans="1:50" x14ac:dyDescent="0.2">
      <c r="A117" s="25">
        <v>109</v>
      </c>
      <c r="B117" s="26">
        <v>45429</v>
      </c>
      <c r="C117" s="27"/>
    </row>
    <row r="118" spans="1:50" x14ac:dyDescent="0.2">
      <c r="A118" s="25">
        <v>110</v>
      </c>
      <c r="B118" s="26">
        <v>45430</v>
      </c>
      <c r="C118" s="27"/>
    </row>
    <row r="119" spans="1:50" x14ac:dyDescent="0.2">
      <c r="A119" s="25">
        <v>111</v>
      </c>
      <c r="B119" s="26">
        <v>45431</v>
      </c>
      <c r="C119" s="27"/>
    </row>
    <row r="120" spans="1:50" s="173" customFormat="1" x14ac:dyDescent="0.2">
      <c r="A120" s="173">
        <v>112</v>
      </c>
      <c r="B120" s="26">
        <v>45432</v>
      </c>
    </row>
    <row r="121" spans="1:50" x14ac:dyDescent="0.2">
      <c r="A121" s="25">
        <v>113</v>
      </c>
      <c r="B121" s="26">
        <v>45433</v>
      </c>
      <c r="C121" s="27"/>
    </row>
    <row r="122" spans="1:50" x14ac:dyDescent="0.2">
      <c r="A122" s="25">
        <v>114</v>
      </c>
      <c r="B122" s="26">
        <v>45434</v>
      </c>
      <c r="C122" s="27"/>
    </row>
    <row r="123" spans="1:50" x14ac:dyDescent="0.2">
      <c r="A123" s="25">
        <v>115</v>
      </c>
      <c r="B123" s="26">
        <v>45435</v>
      </c>
      <c r="C123" s="27"/>
    </row>
  </sheetData>
  <mergeCells count="52">
    <mergeCell ref="X12:X19"/>
    <mergeCell ref="AV5:AV7"/>
    <mergeCell ref="AW5:AW7"/>
    <mergeCell ref="AG5:AG6"/>
    <mergeCell ref="X5:X7"/>
    <mergeCell ref="O28:O48"/>
    <mergeCell ref="AR5:AR7"/>
    <mergeCell ref="AS5:AS7"/>
    <mergeCell ref="AT5:AT7"/>
    <mergeCell ref="AU5:AU7"/>
    <mergeCell ref="AH5:AH7"/>
    <mergeCell ref="AI5:AK6"/>
    <mergeCell ref="AL5:AL7"/>
    <mergeCell ref="AM5:AM6"/>
    <mergeCell ref="AN5:AP6"/>
    <mergeCell ref="AQ5:AQ7"/>
    <mergeCell ref="Y5:Y7"/>
    <mergeCell ref="Z5:AB6"/>
    <mergeCell ref="AC5:AD6"/>
    <mergeCell ref="AE5:AE7"/>
    <mergeCell ref="AF5:AF7"/>
    <mergeCell ref="H5:I6"/>
    <mergeCell ref="J5:J7"/>
    <mergeCell ref="K5:K7"/>
    <mergeCell ref="L5:L7"/>
    <mergeCell ref="M5:M7"/>
    <mergeCell ref="N5:N7"/>
    <mergeCell ref="AS2:AV4"/>
    <mergeCell ref="AW2:AZ4"/>
    <mergeCell ref="BA2:BA4"/>
    <mergeCell ref="AG4:AK4"/>
    <mergeCell ref="AM4:AP4"/>
    <mergeCell ref="AG2:AP3"/>
    <mergeCell ref="O5:O7"/>
    <mergeCell ref="P5:P7"/>
    <mergeCell ref="Q5:Q7"/>
    <mergeCell ref="R5:T6"/>
    <mergeCell ref="U5:W6"/>
    <mergeCell ref="AX5:AX7"/>
    <mergeCell ref="AY5:AY7"/>
    <mergeCell ref="AZ5:AZ7"/>
    <mergeCell ref="BA5:BA7"/>
    <mergeCell ref="A5:A7"/>
    <mergeCell ref="B5:B7"/>
    <mergeCell ref="C5:C7"/>
    <mergeCell ref="D5:E6"/>
    <mergeCell ref="F5:G6"/>
    <mergeCell ref="A2:C4"/>
    <mergeCell ref="D2:M4"/>
    <mergeCell ref="N2:P4"/>
    <mergeCell ref="Q2:Y4"/>
    <mergeCell ref="Z2:AF4"/>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92334-48AF-46C2-A5B1-365AA8BCBC15}">
  <dimension ref="A1:BB124"/>
  <sheetViews>
    <sheetView topLeftCell="A14" zoomScale="85" zoomScaleNormal="85" workbookViewId="0">
      <pane xSplit="1" topLeftCell="B1" activePane="topRight" state="frozen"/>
      <selection pane="topRight" activeCell="M44" sqref="M44"/>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0.33203125"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22.33203125"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13.83203125" customWidth="1"/>
    <col min="50" max="50" width="26.5" bestFit="1" customWidth="1"/>
    <col min="51" max="51" width="24.1640625" bestFit="1" customWidth="1"/>
    <col min="52" max="52" width="41.1640625" bestFit="1" customWidth="1"/>
    <col min="53" max="53" width="18.83203125" bestFit="1" customWidth="1"/>
  </cols>
  <sheetData>
    <row r="1" spans="1:53" x14ac:dyDescent="0.2">
      <c r="A1" t="s">
        <v>382</v>
      </c>
    </row>
    <row r="2" spans="1:53" ht="16" thickBot="1" x14ac:dyDescent="0.25">
      <c r="A2" t="s">
        <v>305</v>
      </c>
    </row>
    <row r="3" spans="1:53" ht="23" x14ac:dyDescent="0.2">
      <c r="A3" s="209" t="s">
        <v>0</v>
      </c>
      <c r="B3" s="210"/>
      <c r="C3" s="210"/>
      <c r="D3" s="215" t="s">
        <v>1</v>
      </c>
      <c r="E3" s="215"/>
      <c r="F3" s="215"/>
      <c r="G3" s="215"/>
      <c r="H3" s="215"/>
      <c r="I3" s="215"/>
      <c r="J3" s="215"/>
      <c r="K3" s="215"/>
      <c r="L3" s="215"/>
      <c r="M3" s="215"/>
      <c r="N3" s="218" t="s">
        <v>2</v>
      </c>
      <c r="O3" s="218"/>
      <c r="P3" s="219"/>
      <c r="Q3" s="224" t="s">
        <v>3</v>
      </c>
      <c r="R3" s="225"/>
      <c r="S3" s="225"/>
      <c r="T3" s="225"/>
      <c r="U3" s="225"/>
      <c r="V3" s="225"/>
      <c r="W3" s="225"/>
      <c r="X3" s="225"/>
      <c r="Y3" s="226"/>
      <c r="Z3" s="230" t="s">
        <v>4</v>
      </c>
      <c r="AA3" s="231"/>
      <c r="AB3" s="231"/>
      <c r="AC3" s="231"/>
      <c r="AD3" s="231"/>
      <c r="AE3" s="231"/>
      <c r="AF3" s="232"/>
      <c r="AG3" s="271" t="s">
        <v>5</v>
      </c>
      <c r="AH3" s="271"/>
      <c r="AI3" s="271"/>
      <c r="AJ3" s="271"/>
      <c r="AK3" s="271"/>
      <c r="AL3" s="271"/>
      <c r="AM3" s="271"/>
      <c r="AN3" s="271"/>
      <c r="AO3" s="271"/>
      <c r="AP3" s="271"/>
      <c r="AQ3" s="1"/>
      <c r="AR3" s="2"/>
      <c r="AS3" s="251" t="s">
        <v>6</v>
      </c>
      <c r="AT3" s="252"/>
      <c r="AU3" s="252"/>
      <c r="AV3" s="252"/>
      <c r="AW3" s="257" t="s">
        <v>7</v>
      </c>
      <c r="AX3" s="258"/>
      <c r="AY3" s="258"/>
      <c r="AZ3" s="259"/>
      <c r="BA3" s="266" t="s">
        <v>8</v>
      </c>
    </row>
    <row r="4" spans="1:53" ht="23" x14ac:dyDescent="0.2">
      <c r="A4" s="211"/>
      <c r="B4" s="212"/>
      <c r="C4" s="212"/>
      <c r="D4" s="216"/>
      <c r="E4" s="216"/>
      <c r="F4" s="216"/>
      <c r="G4" s="216"/>
      <c r="H4" s="216"/>
      <c r="I4" s="216"/>
      <c r="J4" s="216"/>
      <c r="K4" s="216"/>
      <c r="L4" s="216"/>
      <c r="M4" s="216"/>
      <c r="N4" s="220"/>
      <c r="O4" s="220"/>
      <c r="P4" s="221"/>
      <c r="Q4" s="227"/>
      <c r="R4" s="228"/>
      <c r="S4" s="228"/>
      <c r="T4" s="228"/>
      <c r="U4" s="228"/>
      <c r="V4" s="228"/>
      <c r="W4" s="228"/>
      <c r="X4" s="228"/>
      <c r="Y4" s="229"/>
      <c r="Z4" s="233"/>
      <c r="AA4" s="234"/>
      <c r="AB4" s="234"/>
      <c r="AC4" s="234"/>
      <c r="AD4" s="234"/>
      <c r="AE4" s="234"/>
      <c r="AF4" s="235"/>
      <c r="AG4" s="272"/>
      <c r="AH4" s="272"/>
      <c r="AI4" s="272"/>
      <c r="AJ4" s="272"/>
      <c r="AK4" s="272"/>
      <c r="AL4" s="272"/>
      <c r="AM4" s="272"/>
      <c r="AN4" s="272"/>
      <c r="AO4" s="272"/>
      <c r="AP4" s="272"/>
      <c r="AQ4" s="3"/>
      <c r="AR4" s="4"/>
      <c r="AS4" s="253"/>
      <c r="AT4" s="254"/>
      <c r="AU4" s="254"/>
      <c r="AV4" s="254"/>
      <c r="AW4" s="260"/>
      <c r="AX4" s="261"/>
      <c r="AY4" s="261"/>
      <c r="AZ4" s="262"/>
      <c r="BA4" s="267"/>
    </row>
    <row r="5" spans="1:53" ht="21" thickBot="1" x14ac:dyDescent="0.25">
      <c r="A5" s="213"/>
      <c r="B5" s="214"/>
      <c r="C5" s="214"/>
      <c r="D5" s="217"/>
      <c r="E5" s="217"/>
      <c r="F5" s="217"/>
      <c r="G5" s="217"/>
      <c r="H5" s="217"/>
      <c r="I5" s="217"/>
      <c r="J5" s="217"/>
      <c r="K5" s="217"/>
      <c r="L5" s="217"/>
      <c r="M5" s="217"/>
      <c r="N5" s="222"/>
      <c r="O5" s="222"/>
      <c r="P5" s="223"/>
      <c r="Q5" s="227"/>
      <c r="R5" s="228"/>
      <c r="S5" s="228"/>
      <c r="T5" s="228"/>
      <c r="U5" s="228"/>
      <c r="V5" s="228"/>
      <c r="W5" s="228"/>
      <c r="X5" s="228"/>
      <c r="Y5" s="229"/>
      <c r="Z5" s="233"/>
      <c r="AA5" s="234"/>
      <c r="AB5" s="234"/>
      <c r="AC5" s="234"/>
      <c r="AD5" s="234"/>
      <c r="AE5" s="234"/>
      <c r="AF5" s="235"/>
      <c r="AG5" s="269" t="s">
        <v>9</v>
      </c>
      <c r="AH5" s="269"/>
      <c r="AI5" s="269"/>
      <c r="AJ5" s="269"/>
      <c r="AK5" s="270"/>
      <c r="AL5" s="5"/>
      <c r="AM5" s="269" t="s">
        <v>10</v>
      </c>
      <c r="AN5" s="269"/>
      <c r="AO5" s="269"/>
      <c r="AP5" s="270"/>
      <c r="AQ5" s="6"/>
      <c r="AR5" s="7"/>
      <c r="AS5" s="255"/>
      <c r="AT5" s="256"/>
      <c r="AU5" s="256"/>
      <c r="AV5" s="256"/>
      <c r="AW5" s="263"/>
      <c r="AX5" s="264"/>
      <c r="AY5" s="264"/>
      <c r="AZ5" s="265"/>
      <c r="BA5" s="268"/>
    </row>
    <row r="6" spans="1:53" x14ac:dyDescent="0.2">
      <c r="A6" s="236" t="s">
        <v>11</v>
      </c>
      <c r="B6" s="239" t="s">
        <v>12</v>
      </c>
      <c r="C6" s="239" t="s">
        <v>13</v>
      </c>
      <c r="D6" s="242" t="s">
        <v>14</v>
      </c>
      <c r="E6" s="243"/>
      <c r="F6" s="246" t="s">
        <v>15</v>
      </c>
      <c r="G6" s="243"/>
      <c r="H6" s="292" t="s">
        <v>16</v>
      </c>
      <c r="I6" s="293"/>
      <c r="J6" s="296" t="s">
        <v>17</v>
      </c>
      <c r="K6" s="299" t="s">
        <v>18</v>
      </c>
      <c r="L6" s="292" t="s">
        <v>19</v>
      </c>
      <c r="M6" s="303" t="s">
        <v>20</v>
      </c>
      <c r="N6" s="248" t="s">
        <v>21</v>
      </c>
      <c r="O6" s="248" t="s">
        <v>19</v>
      </c>
      <c r="P6" s="248" t="s">
        <v>20</v>
      </c>
      <c r="Q6" s="273" t="s">
        <v>22</v>
      </c>
      <c r="R6" s="276" t="s">
        <v>23</v>
      </c>
      <c r="S6" s="276"/>
      <c r="T6" s="277"/>
      <c r="U6" s="280" t="s">
        <v>24</v>
      </c>
      <c r="V6" s="280"/>
      <c r="W6" s="281"/>
      <c r="X6" s="353" t="s">
        <v>19</v>
      </c>
      <c r="Y6" s="330" t="s">
        <v>20</v>
      </c>
      <c r="Z6" s="333" t="s">
        <v>23</v>
      </c>
      <c r="AA6" s="334"/>
      <c r="AB6" s="335"/>
      <c r="AC6" s="339" t="s">
        <v>24</v>
      </c>
      <c r="AD6" s="339"/>
      <c r="AE6" s="339" t="s">
        <v>19</v>
      </c>
      <c r="AF6" s="342" t="s">
        <v>20</v>
      </c>
      <c r="AG6" s="351" t="s">
        <v>25</v>
      </c>
      <c r="AH6" s="318" t="s">
        <v>26</v>
      </c>
      <c r="AI6" s="321" t="s">
        <v>24</v>
      </c>
      <c r="AJ6" s="321"/>
      <c r="AK6" s="321"/>
      <c r="AL6" s="323" t="s">
        <v>27</v>
      </c>
      <c r="AM6" s="325" t="s">
        <v>25</v>
      </c>
      <c r="AN6" s="321" t="s">
        <v>24</v>
      </c>
      <c r="AO6" s="321"/>
      <c r="AP6" s="309"/>
      <c r="AQ6" s="327" t="s">
        <v>19</v>
      </c>
      <c r="AR6" s="309" t="s">
        <v>20</v>
      </c>
      <c r="AS6" s="312" t="s">
        <v>28</v>
      </c>
      <c r="AT6" s="315" t="s">
        <v>29</v>
      </c>
      <c r="AU6" s="315" t="s">
        <v>19</v>
      </c>
      <c r="AV6" s="315" t="s">
        <v>20</v>
      </c>
      <c r="AW6" s="348" t="s">
        <v>30</v>
      </c>
      <c r="AX6" s="284" t="s">
        <v>29</v>
      </c>
      <c r="AY6" s="284" t="s">
        <v>19</v>
      </c>
      <c r="AZ6" s="287" t="s">
        <v>20</v>
      </c>
      <c r="BA6" s="290" t="s">
        <v>31</v>
      </c>
    </row>
    <row r="7" spans="1:53" x14ac:dyDescent="0.2">
      <c r="A7" s="237"/>
      <c r="B7" s="240"/>
      <c r="C7" s="240"/>
      <c r="D7" s="244"/>
      <c r="E7" s="245"/>
      <c r="F7" s="247"/>
      <c r="G7" s="245"/>
      <c r="H7" s="294"/>
      <c r="I7" s="295"/>
      <c r="J7" s="297"/>
      <c r="K7" s="300"/>
      <c r="L7" s="294"/>
      <c r="M7" s="304"/>
      <c r="N7" s="249"/>
      <c r="O7" s="249"/>
      <c r="P7" s="249"/>
      <c r="Q7" s="274"/>
      <c r="R7" s="278"/>
      <c r="S7" s="278"/>
      <c r="T7" s="279"/>
      <c r="U7" s="282"/>
      <c r="V7" s="282"/>
      <c r="W7" s="283"/>
      <c r="X7" s="354"/>
      <c r="Y7" s="331"/>
      <c r="Z7" s="336"/>
      <c r="AA7" s="337"/>
      <c r="AB7" s="338"/>
      <c r="AC7" s="340"/>
      <c r="AD7" s="340"/>
      <c r="AE7" s="340"/>
      <c r="AF7" s="343"/>
      <c r="AG7" s="352"/>
      <c r="AH7" s="319"/>
      <c r="AI7" s="322"/>
      <c r="AJ7" s="322"/>
      <c r="AK7" s="322"/>
      <c r="AL7" s="324"/>
      <c r="AM7" s="326"/>
      <c r="AN7" s="322"/>
      <c r="AO7" s="322"/>
      <c r="AP7" s="310"/>
      <c r="AQ7" s="328"/>
      <c r="AR7" s="310"/>
      <c r="AS7" s="313"/>
      <c r="AT7" s="316"/>
      <c r="AU7" s="316"/>
      <c r="AV7" s="316"/>
      <c r="AW7" s="349"/>
      <c r="AX7" s="285"/>
      <c r="AY7" s="285"/>
      <c r="AZ7" s="288"/>
      <c r="BA7" s="290"/>
    </row>
    <row r="8" spans="1:53" ht="57" thickBot="1" x14ac:dyDescent="0.25">
      <c r="A8" s="238"/>
      <c r="B8" s="241"/>
      <c r="C8" s="241"/>
      <c r="D8" s="8" t="s">
        <v>32</v>
      </c>
      <c r="E8" s="9" t="s">
        <v>33</v>
      </c>
      <c r="F8" s="10" t="s">
        <v>32</v>
      </c>
      <c r="G8" s="9" t="s">
        <v>33</v>
      </c>
      <c r="H8" s="11" t="s">
        <v>32</v>
      </c>
      <c r="I8" s="12" t="s">
        <v>33</v>
      </c>
      <c r="J8" s="298"/>
      <c r="K8" s="301"/>
      <c r="L8" s="302"/>
      <c r="M8" s="305"/>
      <c r="N8" s="250"/>
      <c r="O8" s="250"/>
      <c r="P8" s="250"/>
      <c r="Q8" s="275"/>
      <c r="R8" s="13" t="s">
        <v>32</v>
      </c>
      <c r="S8" s="13" t="s">
        <v>34</v>
      </c>
      <c r="T8" s="14" t="s">
        <v>33</v>
      </c>
      <c r="U8" s="15" t="s">
        <v>32</v>
      </c>
      <c r="V8" s="15" t="s">
        <v>34</v>
      </c>
      <c r="W8" s="16" t="s">
        <v>33</v>
      </c>
      <c r="X8" s="355"/>
      <c r="Y8" s="332"/>
      <c r="Z8" s="17" t="s">
        <v>32</v>
      </c>
      <c r="AA8" s="18" t="s">
        <v>34</v>
      </c>
      <c r="AB8" s="19" t="s">
        <v>33</v>
      </c>
      <c r="AC8" s="20" t="s">
        <v>32</v>
      </c>
      <c r="AD8" s="20" t="s">
        <v>34</v>
      </c>
      <c r="AE8" s="341"/>
      <c r="AF8" s="344"/>
      <c r="AG8" s="21" t="s">
        <v>34</v>
      </c>
      <c r="AH8" s="320"/>
      <c r="AI8" s="22" t="s">
        <v>32</v>
      </c>
      <c r="AJ8" s="22" t="s">
        <v>34</v>
      </c>
      <c r="AK8" s="22" t="s">
        <v>33</v>
      </c>
      <c r="AL8" s="324"/>
      <c r="AM8" s="23" t="s">
        <v>33</v>
      </c>
      <c r="AN8" s="22" t="s">
        <v>32</v>
      </c>
      <c r="AO8" s="22" t="s">
        <v>34</v>
      </c>
      <c r="AP8" s="24" t="s">
        <v>33</v>
      </c>
      <c r="AQ8" s="329"/>
      <c r="AR8" s="311"/>
      <c r="AS8" s="314"/>
      <c r="AT8" s="317"/>
      <c r="AU8" s="317"/>
      <c r="AV8" s="317"/>
      <c r="AW8" s="350"/>
      <c r="AX8" s="286"/>
      <c r="AY8" s="286"/>
      <c r="AZ8" s="289"/>
      <c r="BA8" s="291"/>
    </row>
    <row r="9" spans="1:53" ht="16" thickBot="1" x14ac:dyDescent="0.25">
      <c r="A9" s="25">
        <v>0</v>
      </c>
      <c r="B9" s="26">
        <v>45386</v>
      </c>
      <c r="C9" s="27" t="s">
        <v>227</v>
      </c>
      <c r="D9" s="25"/>
      <c r="E9" s="28"/>
      <c r="F9" s="27"/>
      <c r="G9" s="28"/>
      <c r="H9" s="27"/>
      <c r="I9" s="28"/>
      <c r="J9" s="27">
        <v>4</v>
      </c>
      <c r="K9" s="29" t="s">
        <v>35</v>
      </c>
      <c r="L9" s="30" t="s">
        <v>160</v>
      </c>
      <c r="M9" s="31" t="s">
        <v>376</v>
      </c>
      <c r="N9" s="27"/>
      <c r="P9" s="32"/>
      <c r="Q9" s="25"/>
      <c r="R9" s="27"/>
      <c r="S9" s="27"/>
      <c r="T9" s="28"/>
      <c r="U9" s="27"/>
      <c r="V9" s="27"/>
      <c r="W9" s="28"/>
      <c r="X9" s="33"/>
      <c r="Y9" s="32"/>
      <c r="Z9" s="25"/>
      <c r="AA9" s="27"/>
      <c r="AB9" s="28"/>
      <c r="AC9" s="27"/>
      <c r="AD9" s="27"/>
      <c r="AE9" s="33"/>
      <c r="AG9" s="25"/>
      <c r="AH9" s="34"/>
      <c r="AI9" s="27"/>
      <c r="AJ9" s="27"/>
      <c r="AK9" s="27"/>
      <c r="AL9" s="25"/>
      <c r="AM9" s="35"/>
      <c r="AN9" s="27"/>
      <c r="AO9" s="27"/>
      <c r="AP9" s="36"/>
      <c r="AQ9" s="37"/>
      <c r="AR9" s="32"/>
      <c r="AS9" s="25"/>
      <c r="AT9" s="27"/>
      <c r="AU9" s="27"/>
      <c r="AW9" s="25"/>
      <c r="AX9" s="27"/>
      <c r="AY9" s="27"/>
      <c r="AZ9" s="32"/>
      <c r="BA9" s="38"/>
    </row>
    <row r="10" spans="1:53" ht="16" thickBot="1" x14ac:dyDescent="0.25">
      <c r="A10" s="25">
        <v>1</v>
      </c>
      <c r="B10" s="26">
        <v>45387</v>
      </c>
      <c r="C10" s="27" t="s">
        <v>200</v>
      </c>
      <c r="D10" s="25"/>
      <c r="E10" s="28"/>
      <c r="F10" s="27"/>
      <c r="G10" s="28"/>
      <c r="H10" s="27"/>
      <c r="I10" s="28"/>
      <c r="J10" s="27">
        <v>4</v>
      </c>
      <c r="K10" s="29" t="s">
        <v>35</v>
      </c>
      <c r="L10" s="39"/>
      <c r="M10" s="31" t="s">
        <v>378</v>
      </c>
      <c r="N10" s="27"/>
      <c r="P10" s="32"/>
      <c r="Q10" s="40"/>
      <c r="R10" s="27"/>
      <c r="S10" s="27"/>
      <c r="T10" s="28"/>
      <c r="U10" s="27"/>
      <c r="V10" s="27"/>
      <c r="W10" s="28"/>
      <c r="X10" s="33"/>
      <c r="Y10" s="32"/>
      <c r="Z10" s="25"/>
      <c r="AA10" s="27"/>
      <c r="AB10" s="28"/>
      <c r="AC10" s="27"/>
      <c r="AD10" s="27"/>
      <c r="AE10" s="33"/>
      <c r="AG10" s="25"/>
      <c r="AH10" s="34"/>
      <c r="AI10" s="27"/>
      <c r="AJ10" s="27"/>
      <c r="AK10" s="27"/>
      <c r="AL10" s="25"/>
      <c r="AM10" s="34"/>
      <c r="AN10" s="27"/>
      <c r="AO10" s="27"/>
      <c r="AP10" s="36"/>
      <c r="AQ10" s="37"/>
      <c r="AR10" s="32"/>
      <c r="AS10" s="25"/>
      <c r="AT10" s="27"/>
      <c r="AU10" s="27"/>
      <c r="AW10" s="25"/>
      <c r="AX10" s="27"/>
      <c r="AY10" s="27"/>
      <c r="AZ10" s="32"/>
      <c r="BA10" s="41"/>
    </row>
    <row r="11" spans="1:53" ht="16" thickBot="1" x14ac:dyDescent="0.25">
      <c r="A11" s="25">
        <v>2</v>
      </c>
      <c r="B11" s="26">
        <v>45388</v>
      </c>
      <c r="C11" s="27" t="s">
        <v>200</v>
      </c>
      <c r="D11" s="25"/>
      <c r="E11" s="28"/>
      <c r="F11" s="27"/>
      <c r="G11" s="28"/>
      <c r="H11" s="27"/>
      <c r="I11" s="28"/>
      <c r="J11" s="27">
        <v>4</v>
      </c>
      <c r="K11" s="29" t="s">
        <v>35</v>
      </c>
      <c r="L11" s="39"/>
      <c r="M11" s="31" t="s">
        <v>379</v>
      </c>
      <c r="N11" s="27"/>
      <c r="O11" s="42"/>
      <c r="Q11" s="43" t="s">
        <v>37</v>
      </c>
      <c r="R11" s="27"/>
      <c r="S11" s="27"/>
      <c r="T11" s="28"/>
      <c r="U11" s="27"/>
      <c r="V11" s="27"/>
      <c r="W11" s="28"/>
      <c r="X11" s="33"/>
      <c r="Y11" s="32"/>
      <c r="Z11" s="25"/>
      <c r="AA11" s="27"/>
      <c r="AB11" s="28"/>
      <c r="AC11" s="27"/>
      <c r="AD11" s="27"/>
      <c r="AE11" s="33"/>
      <c r="AG11" s="25"/>
      <c r="AH11" s="34"/>
      <c r="AI11" s="27"/>
      <c r="AJ11" s="27"/>
      <c r="AK11" s="27"/>
      <c r="AL11" s="25"/>
      <c r="AM11" s="34"/>
      <c r="AN11" s="27"/>
      <c r="AO11" s="27"/>
      <c r="AP11" s="36"/>
      <c r="AQ11" s="37"/>
      <c r="AR11" s="32"/>
      <c r="AS11" s="25"/>
      <c r="AT11" s="27"/>
      <c r="AU11" s="27"/>
      <c r="AW11" s="25"/>
      <c r="AX11" s="27"/>
      <c r="AY11" s="27"/>
      <c r="AZ11" s="32"/>
      <c r="BA11" s="41"/>
    </row>
    <row r="12" spans="1:53" ht="16" thickBot="1" x14ac:dyDescent="0.25">
      <c r="A12" s="25">
        <v>3</v>
      </c>
      <c r="B12" s="26">
        <v>45389</v>
      </c>
      <c r="C12" s="27" t="s">
        <v>232</v>
      </c>
      <c r="D12" s="25"/>
      <c r="E12" s="28"/>
      <c r="F12" s="27"/>
      <c r="G12" s="28"/>
      <c r="H12" s="27"/>
      <c r="I12" s="28"/>
      <c r="J12" s="27">
        <v>6</v>
      </c>
      <c r="K12" s="29" t="s">
        <v>35</v>
      </c>
      <c r="L12" s="44" t="s">
        <v>287</v>
      </c>
      <c r="M12" s="31" t="s">
        <v>353</v>
      </c>
      <c r="N12" s="27" t="s">
        <v>240</v>
      </c>
      <c r="O12" s="45" t="s">
        <v>41</v>
      </c>
      <c r="P12" s="46"/>
      <c r="Q12" s="25"/>
      <c r="R12" s="27"/>
      <c r="S12" s="27"/>
      <c r="T12" s="28"/>
      <c r="U12" s="27">
        <v>5</v>
      </c>
      <c r="V12" s="27"/>
      <c r="W12" s="28">
        <v>5</v>
      </c>
      <c r="X12" s="47" t="s">
        <v>43</v>
      </c>
      <c r="Y12" s="32"/>
      <c r="Z12" s="25"/>
      <c r="AA12" s="27"/>
      <c r="AB12" s="28"/>
      <c r="AC12" s="27">
        <v>3</v>
      </c>
      <c r="AD12" s="27">
        <v>2</v>
      </c>
      <c r="AE12" s="48" t="s">
        <v>342</v>
      </c>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4</v>
      </c>
      <c r="B13" s="26">
        <v>45390</v>
      </c>
      <c r="C13" s="27" t="s">
        <v>232</v>
      </c>
      <c r="D13" s="25"/>
      <c r="E13" s="28"/>
      <c r="F13" s="27"/>
      <c r="G13" s="28"/>
      <c r="H13" s="27"/>
      <c r="I13" s="28"/>
      <c r="J13" s="27">
        <v>6</v>
      </c>
      <c r="K13" s="29" t="s">
        <v>35</v>
      </c>
      <c r="L13" s="39"/>
      <c r="M13" s="31"/>
      <c r="N13" s="27" t="s">
        <v>240</v>
      </c>
      <c r="O13" t="s">
        <v>46</v>
      </c>
      <c r="P13" s="32"/>
      <c r="Q13" s="25"/>
      <c r="R13" s="27"/>
      <c r="S13" s="27"/>
      <c r="T13" s="28"/>
      <c r="U13" s="27">
        <v>5</v>
      </c>
      <c r="V13" s="27"/>
      <c r="W13" s="28">
        <v>5</v>
      </c>
      <c r="X13" s="345" t="s">
        <v>47</v>
      </c>
      <c r="Y13" s="32"/>
      <c r="Z13" s="25"/>
      <c r="AA13" s="27"/>
      <c r="AB13" s="28"/>
      <c r="AC13" s="27">
        <v>3</v>
      </c>
      <c r="AD13" s="27">
        <v>2</v>
      </c>
      <c r="AE13" s="33"/>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5</v>
      </c>
      <c r="B14" s="26">
        <v>45391</v>
      </c>
      <c r="C14" s="27" t="s">
        <v>227</v>
      </c>
      <c r="D14" s="25"/>
      <c r="E14" s="28"/>
      <c r="F14" s="27"/>
      <c r="G14" s="28"/>
      <c r="H14" s="27"/>
      <c r="I14" s="28"/>
      <c r="J14" s="27">
        <v>6</v>
      </c>
      <c r="K14" s="29" t="s">
        <v>35</v>
      </c>
      <c r="L14" s="39"/>
      <c r="M14" s="31"/>
      <c r="N14" s="27" t="s">
        <v>240</v>
      </c>
      <c r="P14" s="32"/>
      <c r="Q14" s="25"/>
      <c r="R14" s="27"/>
      <c r="S14" s="27"/>
      <c r="T14" s="28"/>
      <c r="U14" s="27">
        <v>5</v>
      </c>
      <c r="V14" s="27"/>
      <c r="W14" s="28">
        <v>5</v>
      </c>
      <c r="X14" s="346"/>
      <c r="Y14" s="32"/>
      <c r="Z14" s="25"/>
      <c r="AA14" s="27"/>
      <c r="AB14" s="28"/>
      <c r="AC14" s="27">
        <v>3</v>
      </c>
      <c r="AD14" s="27">
        <v>2</v>
      </c>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6</v>
      </c>
      <c r="B15" s="26">
        <v>45392</v>
      </c>
      <c r="C15" s="27" t="s">
        <v>227</v>
      </c>
      <c r="D15" s="25"/>
      <c r="E15" s="28"/>
      <c r="F15" s="27"/>
      <c r="G15" s="28"/>
      <c r="H15" s="27"/>
      <c r="I15" s="28"/>
      <c r="J15" s="27">
        <v>6</v>
      </c>
      <c r="K15" s="29" t="s">
        <v>35</v>
      </c>
      <c r="L15" s="39"/>
      <c r="M15" s="31"/>
      <c r="N15" s="27" t="s">
        <v>240</v>
      </c>
      <c r="P15" s="32"/>
      <c r="Q15" s="25"/>
      <c r="R15" s="27"/>
      <c r="S15" s="27"/>
      <c r="T15" s="28"/>
      <c r="U15" s="27">
        <v>5</v>
      </c>
      <c r="V15" s="27"/>
      <c r="W15" s="28">
        <v>5</v>
      </c>
      <c r="X15" s="346"/>
      <c r="Y15" s="32"/>
      <c r="Z15" s="25"/>
      <c r="AA15" s="27"/>
      <c r="AB15" s="28"/>
      <c r="AC15" s="27">
        <v>3</v>
      </c>
      <c r="AD15" s="27">
        <v>2</v>
      </c>
      <c r="AE15" s="33"/>
      <c r="AG15" s="25"/>
      <c r="AH15" s="34"/>
      <c r="AI15" s="27"/>
      <c r="AJ15" s="27"/>
      <c r="AK15" s="27"/>
      <c r="AL15" s="25"/>
      <c r="AM15" s="34"/>
      <c r="AN15" s="27"/>
      <c r="AO15" s="27"/>
      <c r="AP15" s="36"/>
      <c r="AQ15" s="37"/>
      <c r="AR15" s="32"/>
      <c r="AS15" s="25"/>
      <c r="AT15" s="27"/>
      <c r="AU15" s="27"/>
      <c r="AW15" s="25"/>
      <c r="AX15" s="27"/>
      <c r="AY15" s="27"/>
      <c r="AZ15" s="32"/>
      <c r="BA15" s="41"/>
    </row>
    <row r="16" spans="1:53" x14ac:dyDescent="0.2">
      <c r="A16" s="25">
        <v>7</v>
      </c>
      <c r="B16" s="26">
        <v>45393</v>
      </c>
      <c r="C16" s="27" t="s">
        <v>227</v>
      </c>
      <c r="D16" s="25"/>
      <c r="E16" s="28"/>
      <c r="F16" s="27"/>
      <c r="G16" s="28"/>
      <c r="H16" s="27"/>
      <c r="I16" s="28"/>
      <c r="J16" s="27">
        <v>6</v>
      </c>
      <c r="K16" s="29" t="s">
        <v>35</v>
      </c>
      <c r="L16" s="39"/>
      <c r="M16" s="31"/>
      <c r="N16" s="27" t="s">
        <v>240</v>
      </c>
      <c r="P16" s="32"/>
      <c r="Q16" s="25"/>
      <c r="R16" s="27"/>
      <c r="S16" s="27"/>
      <c r="T16" s="28"/>
      <c r="U16" s="27">
        <v>5</v>
      </c>
      <c r="V16" s="27"/>
      <c r="W16" s="28">
        <v>5</v>
      </c>
      <c r="X16" s="346"/>
      <c r="Y16" s="32"/>
      <c r="Z16" s="25"/>
      <c r="AA16" s="27"/>
      <c r="AB16" s="28"/>
      <c r="AC16" s="27">
        <v>3</v>
      </c>
      <c r="AD16" s="27">
        <v>2</v>
      </c>
      <c r="AE16" s="33"/>
      <c r="AG16" s="25"/>
      <c r="AH16" s="34"/>
      <c r="AI16" s="27"/>
      <c r="AJ16" s="27"/>
      <c r="AK16" s="27"/>
      <c r="AL16" s="25"/>
      <c r="AM16" s="34"/>
      <c r="AN16" s="27"/>
      <c r="AO16" s="27"/>
      <c r="AP16" s="36"/>
      <c r="AQ16" s="37"/>
      <c r="AR16" s="32"/>
      <c r="AS16" s="25"/>
      <c r="AT16" s="27"/>
      <c r="AU16" s="27"/>
      <c r="AW16" s="25"/>
      <c r="AX16" s="27"/>
      <c r="AY16" s="27"/>
      <c r="AZ16" s="32"/>
      <c r="BA16" s="41"/>
    </row>
    <row r="17" spans="1:54" x14ac:dyDescent="0.2">
      <c r="A17" s="25">
        <v>8</v>
      </c>
      <c r="B17" s="26">
        <v>45394</v>
      </c>
      <c r="C17" s="27" t="s">
        <v>200</v>
      </c>
      <c r="D17" s="25"/>
      <c r="E17" s="28"/>
      <c r="F17" s="27"/>
      <c r="G17" s="28"/>
      <c r="H17" s="27"/>
      <c r="I17" s="28"/>
      <c r="J17" s="27">
        <v>6</v>
      </c>
      <c r="K17" s="29" t="s">
        <v>35</v>
      </c>
      <c r="L17" s="39"/>
      <c r="M17" s="31"/>
      <c r="N17" s="27" t="s">
        <v>240</v>
      </c>
      <c r="P17" s="32"/>
      <c r="Q17" s="25"/>
      <c r="R17" s="27"/>
      <c r="S17" s="27"/>
      <c r="T17" s="28"/>
      <c r="U17" s="27">
        <v>5</v>
      </c>
      <c r="V17" s="27"/>
      <c r="W17" s="28">
        <v>5</v>
      </c>
      <c r="X17" s="346"/>
      <c r="Y17" s="32"/>
      <c r="Z17" s="25"/>
      <c r="AA17" s="27"/>
      <c r="AB17" s="28"/>
      <c r="AC17" s="27">
        <v>3</v>
      </c>
      <c r="AD17" s="27">
        <v>2</v>
      </c>
      <c r="AE17" s="33"/>
      <c r="AG17" s="25"/>
      <c r="AH17" s="34"/>
      <c r="AI17" s="27"/>
      <c r="AJ17" s="27"/>
      <c r="AK17" s="27"/>
      <c r="AL17" s="25"/>
      <c r="AM17" s="34"/>
      <c r="AN17" s="27"/>
      <c r="AO17" s="27"/>
      <c r="AP17" s="36"/>
      <c r="AQ17" s="37"/>
      <c r="AR17" s="32"/>
      <c r="AS17" s="25"/>
      <c r="AT17" s="27"/>
      <c r="AU17" s="27"/>
      <c r="AW17" s="25"/>
      <c r="AX17" s="27"/>
      <c r="AY17" s="27"/>
      <c r="AZ17" s="32"/>
      <c r="BA17" s="41"/>
    </row>
    <row r="18" spans="1:54" ht="16" thickBot="1" x14ac:dyDescent="0.25">
      <c r="A18" s="25">
        <v>9</v>
      </c>
      <c r="B18" s="26">
        <v>45395</v>
      </c>
      <c r="C18" s="27" t="s">
        <v>200</v>
      </c>
      <c r="D18" s="25"/>
      <c r="E18" s="28"/>
      <c r="F18" s="27"/>
      <c r="G18" s="28"/>
      <c r="H18" s="27"/>
      <c r="I18" s="28"/>
      <c r="J18" s="27">
        <v>6</v>
      </c>
      <c r="K18" s="29" t="s">
        <v>35</v>
      </c>
      <c r="L18" s="39"/>
      <c r="M18" s="31"/>
      <c r="N18" s="27" t="s">
        <v>240</v>
      </c>
      <c r="P18" s="32"/>
      <c r="Q18" s="25"/>
      <c r="R18" s="27"/>
      <c r="S18" s="27"/>
      <c r="T18" s="28"/>
      <c r="U18" s="27">
        <v>5</v>
      </c>
      <c r="V18" s="27"/>
      <c r="W18" s="28">
        <v>5</v>
      </c>
      <c r="X18" s="346"/>
      <c r="Y18" s="32"/>
      <c r="Z18" s="25"/>
      <c r="AA18" s="27"/>
      <c r="AB18" s="28"/>
      <c r="AC18" s="27">
        <v>3</v>
      </c>
      <c r="AD18" s="27">
        <v>2</v>
      </c>
      <c r="AE18" s="33"/>
      <c r="AG18" s="25"/>
      <c r="AH18" s="34"/>
      <c r="AI18" s="27"/>
      <c r="AJ18" s="27"/>
      <c r="AK18" s="27"/>
      <c r="AL18" s="25"/>
      <c r="AM18" s="34"/>
      <c r="AN18" s="27"/>
      <c r="AO18" s="27"/>
      <c r="AP18" s="36"/>
      <c r="AQ18" s="37"/>
      <c r="AR18" s="32"/>
      <c r="AS18" s="25"/>
      <c r="AT18" s="27"/>
      <c r="AU18" s="27"/>
      <c r="AW18" s="25"/>
      <c r="AX18" s="27"/>
      <c r="AY18" s="27"/>
      <c r="AZ18" s="32"/>
      <c r="BA18" s="41"/>
    </row>
    <row r="19" spans="1:54" ht="16" thickBot="1" x14ac:dyDescent="0.25">
      <c r="A19" s="25">
        <v>10</v>
      </c>
      <c r="B19" s="26">
        <v>45396</v>
      </c>
      <c r="C19" s="27" t="s">
        <v>232</v>
      </c>
      <c r="D19" s="25"/>
      <c r="E19" s="28"/>
      <c r="F19" s="27"/>
      <c r="G19" s="28"/>
      <c r="H19" s="27"/>
      <c r="I19" s="28"/>
      <c r="J19" s="27">
        <v>6</v>
      </c>
      <c r="K19" s="29" t="s">
        <v>35</v>
      </c>
      <c r="L19" s="39"/>
      <c r="M19" s="31" t="s">
        <v>392</v>
      </c>
      <c r="N19" s="27" t="s">
        <v>240</v>
      </c>
      <c r="O19" s="49"/>
      <c r="P19" s="32"/>
      <c r="Q19" s="25"/>
      <c r="R19" s="27"/>
      <c r="S19" s="27"/>
      <c r="T19" s="28"/>
      <c r="U19" s="27">
        <v>5</v>
      </c>
      <c r="V19" s="27"/>
      <c r="W19" s="28">
        <v>5</v>
      </c>
      <c r="X19" s="346"/>
      <c r="Y19" s="32"/>
      <c r="Z19" s="25"/>
      <c r="AA19" s="27"/>
      <c r="AB19" s="28"/>
      <c r="AC19" s="27">
        <v>5</v>
      </c>
      <c r="AD19" s="27">
        <v>5</v>
      </c>
      <c r="AE19" s="50" t="s">
        <v>343</v>
      </c>
      <c r="AG19" s="25"/>
      <c r="AH19" s="34"/>
      <c r="AI19" s="27"/>
      <c r="AJ19" s="27"/>
      <c r="AK19" s="27"/>
      <c r="AL19" s="25"/>
      <c r="AM19" s="34"/>
      <c r="AN19" s="27"/>
      <c r="AO19" s="27"/>
      <c r="AP19" s="36"/>
      <c r="AQ19" s="37"/>
      <c r="AR19" s="32"/>
      <c r="AS19" s="25"/>
      <c r="AT19" s="27"/>
      <c r="AU19" s="27"/>
      <c r="AW19" s="25"/>
      <c r="AX19" s="27"/>
      <c r="AY19" s="27"/>
      <c r="AZ19" s="32"/>
      <c r="BA19" s="41" t="s">
        <v>393</v>
      </c>
      <c r="BB19" t="s">
        <v>394</v>
      </c>
    </row>
    <row r="20" spans="1:54" ht="16" thickBot="1" x14ac:dyDescent="0.25">
      <c r="A20" s="25">
        <v>11</v>
      </c>
      <c r="B20" s="26">
        <v>45397</v>
      </c>
      <c r="C20" s="27" t="s">
        <v>232</v>
      </c>
      <c r="D20" s="25"/>
      <c r="E20" s="28"/>
      <c r="F20" s="27"/>
      <c r="G20" s="28"/>
      <c r="H20" s="27"/>
      <c r="I20" s="28"/>
      <c r="J20" s="27">
        <v>6</v>
      </c>
      <c r="K20" s="29" t="s">
        <v>35</v>
      </c>
      <c r="L20" s="52"/>
      <c r="M20" s="31" t="s">
        <v>396</v>
      </c>
      <c r="N20" s="27" t="s">
        <v>240</v>
      </c>
      <c r="P20" s="32"/>
      <c r="Q20" s="25"/>
      <c r="R20" s="27"/>
      <c r="S20" s="27"/>
      <c r="T20" s="28"/>
      <c r="U20" s="27">
        <v>5</v>
      </c>
      <c r="V20" s="27"/>
      <c r="W20" s="28">
        <v>5</v>
      </c>
      <c r="X20" s="347"/>
      <c r="Y20" s="32"/>
      <c r="Z20" s="25"/>
      <c r="AA20" s="27"/>
      <c r="AB20" s="28"/>
      <c r="AC20" s="27">
        <v>5</v>
      </c>
      <c r="AD20" s="27">
        <v>5</v>
      </c>
      <c r="AE20" s="33"/>
      <c r="AF20" s="32"/>
      <c r="AG20" s="25"/>
      <c r="AH20" s="34"/>
      <c r="AI20" s="27"/>
      <c r="AJ20" s="27"/>
      <c r="AK20" s="27"/>
      <c r="AL20" s="25"/>
      <c r="AM20" s="34"/>
      <c r="AN20" s="27"/>
      <c r="AO20" s="27"/>
      <c r="AP20" s="36"/>
      <c r="AQ20" s="37"/>
      <c r="AR20" s="32"/>
      <c r="AS20" s="25"/>
      <c r="AT20" s="27"/>
      <c r="AU20" s="27"/>
      <c r="AW20" s="25"/>
      <c r="AX20" s="27"/>
      <c r="AY20" s="27"/>
      <c r="AZ20" s="32"/>
      <c r="BA20" s="41"/>
    </row>
    <row r="21" spans="1:54" ht="16" thickBot="1" x14ac:dyDescent="0.25">
      <c r="A21" s="25">
        <v>12</v>
      </c>
      <c r="B21" s="26">
        <v>45398</v>
      </c>
      <c r="C21" s="27" t="s">
        <v>200</v>
      </c>
      <c r="D21" s="25"/>
      <c r="E21" s="28"/>
      <c r="F21" s="27"/>
      <c r="G21" s="28"/>
      <c r="H21" s="27"/>
      <c r="I21" s="28"/>
      <c r="J21" s="27">
        <v>6</v>
      </c>
      <c r="K21" s="29" t="s">
        <v>35</v>
      </c>
      <c r="L21" s="53"/>
      <c r="M21" s="31" t="s">
        <v>398</v>
      </c>
      <c r="N21" s="27" t="s">
        <v>240</v>
      </c>
      <c r="P21" s="32"/>
      <c r="Q21" s="25"/>
      <c r="R21" s="27"/>
      <c r="S21" s="27"/>
      <c r="T21" s="28"/>
      <c r="U21" s="27">
        <v>1</v>
      </c>
      <c r="V21" s="27"/>
      <c r="W21" s="28">
        <v>1</v>
      </c>
      <c r="X21" s="54" t="s">
        <v>49</v>
      </c>
      <c r="Y21" s="32"/>
      <c r="Z21" s="25"/>
      <c r="AA21" s="27"/>
      <c r="AB21" s="28"/>
      <c r="AC21" s="27">
        <v>10</v>
      </c>
      <c r="AD21" s="27">
        <v>5</v>
      </c>
      <c r="AE21" s="50" t="s">
        <v>344</v>
      </c>
      <c r="AG21" s="25"/>
      <c r="AH21" s="34"/>
      <c r="AI21" s="27"/>
      <c r="AJ21" s="27"/>
      <c r="AK21" s="27"/>
      <c r="AL21" s="25"/>
      <c r="AM21" s="34"/>
      <c r="AN21" s="27"/>
      <c r="AO21" s="27"/>
      <c r="AP21" s="36"/>
      <c r="AQ21" s="37"/>
      <c r="AR21" s="32"/>
      <c r="AS21" s="25"/>
      <c r="AT21" s="27"/>
      <c r="AU21" s="27"/>
      <c r="AW21" s="25"/>
      <c r="AX21" s="27"/>
      <c r="AY21" s="27"/>
      <c r="AZ21" s="32"/>
      <c r="BA21" s="41"/>
    </row>
    <row r="22" spans="1:54" ht="16" thickBot="1" x14ac:dyDescent="0.25">
      <c r="A22" s="25">
        <v>13</v>
      </c>
      <c r="B22" s="26">
        <v>45399</v>
      </c>
      <c r="C22" s="27" t="s">
        <v>227</v>
      </c>
      <c r="D22" s="25"/>
      <c r="E22" s="28"/>
      <c r="F22" s="27"/>
      <c r="G22" s="28"/>
      <c r="H22" s="27"/>
      <c r="I22" s="28"/>
      <c r="J22" s="27">
        <v>6</v>
      </c>
      <c r="K22" s="29" t="s">
        <v>35</v>
      </c>
      <c r="L22" s="39"/>
      <c r="M22" s="31"/>
      <c r="N22" s="27" t="s">
        <v>240</v>
      </c>
      <c r="P22" s="32"/>
      <c r="Q22" s="25"/>
      <c r="R22" s="27"/>
      <c r="S22" s="27"/>
      <c r="T22" s="28"/>
      <c r="U22" s="27">
        <v>1</v>
      </c>
      <c r="V22" s="27"/>
      <c r="W22" s="28">
        <v>1</v>
      </c>
      <c r="X22" s="33"/>
      <c r="Y22" s="32"/>
      <c r="Z22" s="55"/>
      <c r="AA22" s="56"/>
      <c r="AB22" s="57"/>
      <c r="AC22" s="27">
        <v>10</v>
      </c>
      <c r="AD22" s="27">
        <v>5</v>
      </c>
      <c r="AE22" s="33"/>
      <c r="AG22" s="25"/>
      <c r="AH22" s="34"/>
      <c r="AI22" s="27"/>
      <c r="AJ22" s="27"/>
      <c r="AK22" s="27"/>
      <c r="AL22" s="25"/>
      <c r="AM22" s="34"/>
      <c r="AN22" s="27"/>
      <c r="AO22" s="27"/>
      <c r="AP22" s="36"/>
      <c r="AQ22" s="37"/>
      <c r="AR22" s="32"/>
      <c r="AS22" s="25"/>
      <c r="AT22" s="27"/>
      <c r="AU22" s="201"/>
      <c r="AW22" s="25"/>
      <c r="AX22" s="27"/>
      <c r="AY22" s="27"/>
      <c r="AZ22" s="32"/>
      <c r="BA22" s="41"/>
    </row>
    <row r="23" spans="1:54" ht="16" thickBot="1" x14ac:dyDescent="0.25">
      <c r="A23" s="25">
        <v>14</v>
      </c>
      <c r="B23" s="26">
        <v>45400</v>
      </c>
      <c r="C23" s="27" t="s">
        <v>399</v>
      </c>
      <c r="D23" s="25"/>
      <c r="E23" s="28"/>
      <c r="F23" s="27"/>
      <c r="G23" s="28"/>
      <c r="H23" s="27"/>
      <c r="I23" s="28"/>
      <c r="J23" s="27">
        <v>6</v>
      </c>
      <c r="K23" s="29" t="s">
        <v>35</v>
      </c>
      <c r="L23" s="39"/>
      <c r="M23" s="31"/>
      <c r="N23" s="27" t="s">
        <v>240</v>
      </c>
      <c r="P23" s="32"/>
      <c r="Q23" s="25"/>
      <c r="R23" s="27"/>
      <c r="S23" s="27"/>
      <c r="T23" s="28"/>
      <c r="U23" s="27">
        <v>1</v>
      </c>
      <c r="V23" s="27"/>
      <c r="W23" s="28">
        <v>1</v>
      </c>
      <c r="X23" s="33"/>
      <c r="Y23" s="32"/>
      <c r="Z23" s="59"/>
      <c r="AA23" s="60"/>
      <c r="AB23" s="61"/>
      <c r="AC23" s="27">
        <v>10</v>
      </c>
      <c r="AD23" s="27">
        <v>5</v>
      </c>
      <c r="AE23" s="33"/>
      <c r="AG23" s="25"/>
      <c r="AH23" s="34"/>
      <c r="AI23" s="27"/>
      <c r="AJ23" s="27"/>
      <c r="AK23" s="27"/>
      <c r="AL23" s="25"/>
      <c r="AM23" s="34"/>
      <c r="AN23" s="27"/>
      <c r="AO23" s="27"/>
      <c r="AP23" s="36"/>
      <c r="AQ23" s="37"/>
      <c r="AR23" s="32"/>
      <c r="AS23" s="25"/>
      <c r="AT23" s="27"/>
      <c r="AW23" s="25"/>
      <c r="AX23" s="27"/>
      <c r="AY23" s="27"/>
      <c r="AZ23" s="32"/>
      <c r="BA23" s="62"/>
    </row>
    <row r="24" spans="1:54" ht="16" thickBot="1" x14ac:dyDescent="0.25">
      <c r="A24" s="25">
        <v>15</v>
      </c>
      <c r="B24" s="26">
        <v>45401</v>
      </c>
      <c r="C24" s="27" t="s">
        <v>200</v>
      </c>
      <c r="D24" s="25"/>
      <c r="E24" s="28"/>
      <c r="F24" s="27"/>
      <c r="G24" s="28"/>
      <c r="H24" s="27"/>
      <c r="I24" s="28"/>
      <c r="J24" s="27">
        <v>6</v>
      </c>
      <c r="K24" s="29" t="s">
        <v>35</v>
      </c>
      <c r="L24" s="39"/>
      <c r="M24" s="31"/>
      <c r="N24" s="27" t="s">
        <v>240</v>
      </c>
      <c r="P24" s="32"/>
      <c r="Q24" s="25"/>
      <c r="R24" s="27"/>
      <c r="S24" s="27"/>
      <c r="T24" s="28"/>
      <c r="U24" s="27">
        <v>1</v>
      </c>
      <c r="V24" s="27"/>
      <c r="W24" s="28">
        <v>1</v>
      </c>
      <c r="X24" s="33"/>
      <c r="Y24" s="32"/>
      <c r="Z24" s="25"/>
      <c r="AA24" s="27"/>
      <c r="AB24" s="28"/>
      <c r="AC24" s="27">
        <v>10</v>
      </c>
      <c r="AD24" s="27">
        <v>5</v>
      </c>
      <c r="AE24" s="33"/>
      <c r="AG24" s="25"/>
      <c r="AH24" s="34"/>
      <c r="AI24" s="27"/>
      <c r="AJ24" s="27"/>
      <c r="AK24" s="27"/>
      <c r="AL24" s="25"/>
      <c r="AM24" s="34"/>
      <c r="AN24" s="27"/>
      <c r="AO24" s="27"/>
      <c r="AP24" s="36"/>
      <c r="AQ24" s="37"/>
      <c r="AR24" s="32"/>
      <c r="AS24" s="25"/>
      <c r="AT24" s="27"/>
      <c r="AU24" s="201"/>
      <c r="AW24" s="25"/>
      <c r="AX24" s="27"/>
      <c r="AY24" s="27"/>
      <c r="AZ24" s="32"/>
      <c r="BA24" s="41"/>
    </row>
    <row r="25" spans="1:54" ht="16" thickBot="1" x14ac:dyDescent="0.25">
      <c r="A25" s="25">
        <v>16</v>
      </c>
      <c r="B25" s="26">
        <v>45402</v>
      </c>
      <c r="C25" s="27" t="s">
        <v>200</v>
      </c>
      <c r="D25" s="25"/>
      <c r="E25" s="28"/>
      <c r="F25" s="27"/>
      <c r="G25" s="28"/>
      <c r="H25" s="27"/>
      <c r="I25" s="28"/>
      <c r="J25" s="27">
        <v>6</v>
      </c>
      <c r="K25" s="29" t="s">
        <v>35</v>
      </c>
      <c r="L25" s="44" t="s">
        <v>288</v>
      </c>
      <c r="M25" s="31"/>
      <c r="N25" s="27" t="s">
        <v>240</v>
      </c>
      <c r="P25" s="32"/>
      <c r="Q25" s="25"/>
      <c r="R25" s="27"/>
      <c r="S25" s="27"/>
      <c r="T25" s="28"/>
      <c r="U25" s="27">
        <v>1</v>
      </c>
      <c r="V25" s="27"/>
      <c r="W25" s="28">
        <v>1</v>
      </c>
      <c r="X25" s="63" t="s">
        <v>60</v>
      </c>
      <c r="Y25" s="46" t="s">
        <v>61</v>
      </c>
      <c r="AB25" s="28"/>
      <c r="AC25" s="27">
        <v>10</v>
      </c>
      <c r="AD25" s="27">
        <v>5</v>
      </c>
      <c r="AE25" s="33"/>
      <c r="AG25" s="25"/>
      <c r="AH25" s="34"/>
      <c r="AI25" s="27"/>
      <c r="AJ25" s="27"/>
      <c r="AK25" s="27"/>
      <c r="AL25" s="25"/>
      <c r="AM25" s="34"/>
      <c r="AN25" s="27"/>
      <c r="AO25" s="27"/>
      <c r="AP25" s="36"/>
      <c r="AQ25" s="64"/>
      <c r="AR25" s="65"/>
      <c r="AS25" s="25"/>
      <c r="AT25" s="27"/>
      <c r="AU25" s="27"/>
      <c r="AW25" s="25"/>
      <c r="AX25" s="27"/>
      <c r="AY25" s="27"/>
      <c r="AZ25" s="32"/>
      <c r="BA25" s="41"/>
    </row>
    <row r="26" spans="1:54" x14ac:dyDescent="0.2">
      <c r="A26" s="25">
        <v>17</v>
      </c>
      <c r="B26" s="26">
        <v>45403</v>
      </c>
      <c r="C26" s="27" t="s">
        <v>200</v>
      </c>
      <c r="D26" s="25"/>
      <c r="E26" s="28"/>
      <c r="F26" s="27"/>
      <c r="G26" s="28"/>
      <c r="H26" s="27"/>
      <c r="I26" s="28"/>
      <c r="J26" s="27">
        <v>6</v>
      </c>
      <c r="K26" s="29" t="s">
        <v>35</v>
      </c>
      <c r="L26" s="39"/>
      <c r="M26" s="31"/>
      <c r="N26" s="27" t="s">
        <v>240</v>
      </c>
      <c r="P26" s="32"/>
      <c r="Q26" s="25"/>
      <c r="R26" s="27"/>
      <c r="S26" s="27"/>
      <c r="T26" s="28"/>
      <c r="U26" s="27">
        <v>5</v>
      </c>
      <c r="V26" s="27">
        <v>1</v>
      </c>
      <c r="W26" s="28"/>
      <c r="X26" s="33" t="s">
        <v>155</v>
      </c>
      <c r="Y26" s="32" t="s">
        <v>402</v>
      </c>
      <c r="Z26" s="25"/>
      <c r="AA26" s="27"/>
      <c r="AB26" s="28"/>
      <c r="AC26" s="27">
        <v>10</v>
      </c>
      <c r="AD26" s="27">
        <v>5</v>
      </c>
      <c r="AE26" s="33"/>
      <c r="AG26" s="25"/>
      <c r="AH26" s="34"/>
      <c r="AI26" s="27"/>
      <c r="AJ26" s="27"/>
      <c r="AK26" s="27"/>
      <c r="AL26" s="25"/>
      <c r="AM26" s="34"/>
      <c r="AN26" s="27"/>
      <c r="AO26" s="27"/>
      <c r="AP26" s="36"/>
      <c r="AQ26" s="37"/>
      <c r="AR26" s="32"/>
      <c r="AS26" s="25"/>
      <c r="AT26" s="27"/>
      <c r="AU26" s="27"/>
      <c r="AW26" s="25"/>
      <c r="AX26" s="27"/>
      <c r="AY26" s="27"/>
      <c r="AZ26" s="32"/>
      <c r="BA26" s="41"/>
    </row>
    <row r="27" spans="1:54" ht="16" thickBot="1" x14ac:dyDescent="0.25">
      <c r="A27" s="25">
        <v>18</v>
      </c>
      <c r="B27" s="26">
        <v>45404</v>
      </c>
      <c r="C27" s="27" t="s">
        <v>232</v>
      </c>
      <c r="D27" s="25"/>
      <c r="E27" s="28"/>
      <c r="F27" s="27"/>
      <c r="G27" s="28"/>
      <c r="H27" s="27"/>
      <c r="I27" s="28"/>
      <c r="J27" s="27">
        <v>6</v>
      </c>
      <c r="K27" s="29" t="s">
        <v>35</v>
      </c>
      <c r="L27" s="39"/>
      <c r="M27" s="31"/>
      <c r="N27" s="27" t="s">
        <v>240</v>
      </c>
      <c r="P27" s="66"/>
      <c r="Q27" s="25"/>
      <c r="R27" s="27"/>
      <c r="S27" s="27"/>
      <c r="T27" s="28"/>
      <c r="U27" s="27"/>
      <c r="V27" s="27" t="s">
        <v>154</v>
      </c>
      <c r="W27" s="28"/>
      <c r="X27" s="33"/>
      <c r="Y27" s="32"/>
      <c r="Z27" s="25"/>
      <c r="AA27" s="27"/>
      <c r="AB27" s="28"/>
      <c r="AC27" s="27">
        <v>10</v>
      </c>
      <c r="AD27" s="27">
        <v>5</v>
      </c>
      <c r="AE27" s="33"/>
      <c r="AG27" s="25"/>
      <c r="AH27" s="34"/>
      <c r="AI27" s="27">
        <v>2.5000000000000001E-2</v>
      </c>
      <c r="AJ27" s="27"/>
      <c r="AK27" s="27">
        <v>2.5000000000000001E-2</v>
      </c>
      <c r="AL27" s="25"/>
      <c r="AM27" s="34"/>
      <c r="AN27" s="27"/>
      <c r="AO27" s="27"/>
      <c r="AP27" s="36"/>
      <c r="AQ27" s="67" t="s">
        <v>65</v>
      </c>
      <c r="AR27" s="46" t="s">
        <v>350</v>
      </c>
      <c r="AS27" s="25"/>
      <c r="AT27" s="27"/>
      <c r="AW27" s="25"/>
      <c r="AX27" s="27"/>
      <c r="AY27" s="27"/>
      <c r="AZ27" s="32"/>
      <c r="BA27" s="41"/>
    </row>
    <row r="28" spans="1:54" ht="16" thickBot="1" x14ac:dyDescent="0.25">
      <c r="A28" s="25">
        <v>19</v>
      </c>
      <c r="B28" s="26">
        <v>45405</v>
      </c>
      <c r="C28" s="27" t="s">
        <v>232</v>
      </c>
      <c r="D28" s="25"/>
      <c r="E28" s="28"/>
      <c r="F28" s="27"/>
      <c r="G28" s="28"/>
      <c r="H28" s="27"/>
      <c r="I28" s="28"/>
      <c r="J28" s="27">
        <v>6</v>
      </c>
      <c r="K28" s="29" t="s">
        <v>35</v>
      </c>
      <c r="L28" s="39"/>
      <c r="M28" s="31"/>
      <c r="N28" s="27" t="s">
        <v>240</v>
      </c>
      <c r="P28" s="32"/>
      <c r="Q28" s="25"/>
      <c r="R28" s="27"/>
      <c r="S28" s="27"/>
      <c r="T28" s="28"/>
      <c r="U28" s="27"/>
      <c r="V28" s="27" t="s">
        <v>154</v>
      </c>
      <c r="W28" s="28"/>
      <c r="X28" s="33"/>
      <c r="Y28" s="32"/>
      <c r="Z28" s="25"/>
      <c r="AA28" s="27"/>
      <c r="AB28" s="28"/>
      <c r="AC28" s="27">
        <v>10</v>
      </c>
      <c r="AD28" s="27">
        <v>5</v>
      </c>
      <c r="AE28" s="33"/>
      <c r="AG28" s="25"/>
      <c r="AH28" s="34"/>
      <c r="AI28" s="27">
        <v>2.5000000000000001E-2</v>
      </c>
      <c r="AJ28" s="27"/>
      <c r="AK28" s="27">
        <v>2.5000000000000001E-2</v>
      </c>
      <c r="AL28" s="25"/>
      <c r="AM28" s="34"/>
      <c r="AN28" s="27"/>
      <c r="AO28" s="27"/>
      <c r="AP28" s="36"/>
      <c r="AQ28" s="203"/>
      <c r="AR28" s="32" t="s">
        <v>64</v>
      </c>
      <c r="AS28" s="25"/>
      <c r="AT28" s="27"/>
      <c r="AU28" s="27"/>
      <c r="AW28" s="25"/>
      <c r="AX28" s="27"/>
      <c r="AY28" s="27"/>
      <c r="AZ28" s="32"/>
      <c r="BA28" s="62"/>
    </row>
    <row r="29" spans="1:54" x14ac:dyDescent="0.2">
      <c r="A29" s="25">
        <v>20</v>
      </c>
      <c r="B29" s="26">
        <v>45406</v>
      </c>
      <c r="C29" s="27" t="s">
        <v>232</v>
      </c>
      <c r="D29" s="25"/>
      <c r="E29" s="28"/>
      <c r="F29" s="27"/>
      <c r="G29" s="28"/>
      <c r="H29" s="27"/>
      <c r="I29" s="28"/>
      <c r="J29" s="27">
        <v>6</v>
      </c>
      <c r="K29" s="29" t="s">
        <v>35</v>
      </c>
      <c r="L29" s="39"/>
      <c r="M29" s="197" t="s">
        <v>409</v>
      </c>
      <c r="N29" s="27" t="s">
        <v>240</v>
      </c>
      <c r="O29" s="306" t="s">
        <v>66</v>
      </c>
      <c r="P29" s="32"/>
      <c r="Q29" s="25"/>
      <c r="R29" s="27"/>
      <c r="S29" s="27"/>
      <c r="T29" s="28"/>
      <c r="U29" s="27"/>
      <c r="V29" s="27" t="s">
        <v>154</v>
      </c>
      <c r="W29" s="28"/>
      <c r="X29" s="33"/>
      <c r="Y29" s="32"/>
      <c r="Z29" s="25"/>
      <c r="AA29" s="27"/>
      <c r="AB29" s="28"/>
      <c r="AC29" s="27">
        <v>10</v>
      </c>
      <c r="AD29" s="27">
        <v>5</v>
      </c>
      <c r="AE29" s="33"/>
      <c r="AG29" s="25"/>
      <c r="AH29" s="34"/>
      <c r="AI29" s="27">
        <v>2.5000000000000001E-2</v>
      </c>
      <c r="AJ29" s="27"/>
      <c r="AK29" s="27">
        <v>2.5000000000000001E-2</v>
      </c>
      <c r="AL29" s="25"/>
      <c r="AM29" s="34"/>
      <c r="AN29" s="27"/>
      <c r="AO29" s="27"/>
      <c r="AP29" s="36"/>
      <c r="AQ29" s="37"/>
      <c r="AR29" s="32" t="s">
        <v>64</v>
      </c>
      <c r="AS29" s="25"/>
      <c r="AT29" s="27"/>
      <c r="AU29" s="27"/>
      <c r="AW29" s="25"/>
      <c r="AX29" s="27"/>
      <c r="AY29" s="27"/>
      <c r="AZ29" s="32"/>
      <c r="BA29" s="41">
        <v>53</v>
      </c>
      <c r="BB29" t="s">
        <v>408</v>
      </c>
    </row>
    <row r="30" spans="1:54" ht="16" thickBot="1" x14ac:dyDescent="0.25">
      <c r="A30" s="70">
        <v>21</v>
      </c>
      <c r="B30" s="26">
        <v>45407</v>
      </c>
      <c r="C30" s="71" t="s">
        <v>227</v>
      </c>
      <c r="D30" s="70"/>
      <c r="E30" s="72"/>
      <c r="F30" s="71"/>
      <c r="G30" s="72"/>
      <c r="H30" s="71"/>
      <c r="I30" s="72"/>
      <c r="J30" s="27">
        <v>6</v>
      </c>
      <c r="K30" s="29" t="s">
        <v>35</v>
      </c>
      <c r="L30" s="39"/>
      <c r="M30" s="198"/>
      <c r="N30" s="27" t="s">
        <v>240</v>
      </c>
      <c r="O30" s="307"/>
      <c r="P30" s="74"/>
      <c r="Q30" s="70"/>
      <c r="R30" s="71"/>
      <c r="S30" s="71"/>
      <c r="T30" s="72"/>
      <c r="U30" s="71"/>
      <c r="V30" s="71" t="s">
        <v>154</v>
      </c>
      <c r="W30" s="72"/>
      <c r="X30" s="33"/>
      <c r="Y30" s="75"/>
      <c r="Z30" s="70"/>
      <c r="AA30" s="71"/>
      <c r="AB30" s="72"/>
      <c r="AC30" s="27">
        <v>10</v>
      </c>
      <c r="AD30" s="71">
        <v>5</v>
      </c>
      <c r="AE30" s="33"/>
      <c r="AF30" s="76"/>
      <c r="AG30" s="70"/>
      <c r="AH30" s="77"/>
      <c r="AI30" s="27">
        <v>0.05</v>
      </c>
      <c r="AJ30" s="27"/>
      <c r="AK30" s="27">
        <v>0.05</v>
      </c>
      <c r="AL30" s="70"/>
      <c r="AM30" s="77"/>
      <c r="AN30" s="27"/>
      <c r="AO30" s="71"/>
      <c r="AP30" s="78"/>
      <c r="AQ30" s="37"/>
      <c r="AR30" s="32" t="s">
        <v>64</v>
      </c>
      <c r="AS30" s="70"/>
      <c r="AT30" s="27"/>
      <c r="AU30" s="71"/>
      <c r="AV30" s="76"/>
      <c r="AW30" s="70"/>
      <c r="AX30" s="71"/>
      <c r="AY30" s="71"/>
      <c r="AZ30" s="75"/>
      <c r="BA30" s="79"/>
    </row>
    <row r="31" spans="1:54" ht="16" thickBot="1" x14ac:dyDescent="0.25">
      <c r="A31" s="25">
        <v>22</v>
      </c>
      <c r="B31" s="26">
        <v>45408</v>
      </c>
      <c r="C31" s="27" t="s">
        <v>200</v>
      </c>
      <c r="D31" s="25"/>
      <c r="E31" s="28"/>
      <c r="F31" s="27"/>
      <c r="G31" s="28"/>
      <c r="H31" s="27"/>
      <c r="I31" s="28"/>
      <c r="J31" s="27">
        <v>6</v>
      </c>
      <c r="K31" s="29" t="s">
        <v>35</v>
      </c>
      <c r="L31" s="39"/>
      <c r="M31" s="197"/>
      <c r="N31" s="27" t="s">
        <v>240</v>
      </c>
      <c r="O31" s="307"/>
      <c r="P31" s="46"/>
      <c r="Q31" s="43"/>
      <c r="R31" s="27"/>
      <c r="S31" s="27"/>
      <c r="T31" s="28"/>
      <c r="U31" s="27"/>
      <c r="V31" s="27" t="s">
        <v>154</v>
      </c>
      <c r="W31" s="28"/>
      <c r="X31" s="33"/>
      <c r="Y31" s="32"/>
      <c r="Z31" s="60"/>
      <c r="AA31" s="60"/>
      <c r="AB31" s="61"/>
      <c r="AC31" s="27">
        <v>10</v>
      </c>
      <c r="AD31" s="27">
        <v>5</v>
      </c>
      <c r="AE31" s="33"/>
      <c r="AG31" s="25"/>
      <c r="AH31" s="34"/>
      <c r="AI31" s="27">
        <v>0.05</v>
      </c>
      <c r="AJ31" s="27"/>
      <c r="AK31" s="27">
        <v>0.05</v>
      </c>
      <c r="AL31" s="25"/>
      <c r="AM31" s="34"/>
      <c r="AN31" s="27"/>
      <c r="AO31" s="27"/>
      <c r="AP31" s="36"/>
      <c r="AQ31" s="37"/>
      <c r="AR31" s="32" t="s">
        <v>64</v>
      </c>
      <c r="AS31" s="25"/>
      <c r="AT31" s="27"/>
      <c r="AU31" s="27"/>
      <c r="AW31" s="25"/>
      <c r="AX31" s="27"/>
      <c r="AY31" s="27"/>
      <c r="AZ31" s="32"/>
      <c r="BA31" s="80" t="s">
        <v>68</v>
      </c>
    </row>
    <row r="32" spans="1:54" ht="16" thickBot="1" x14ac:dyDescent="0.25">
      <c r="A32" s="25">
        <v>23</v>
      </c>
      <c r="B32" s="26">
        <v>45409</v>
      </c>
      <c r="C32" s="27" t="s">
        <v>200</v>
      </c>
      <c r="D32" s="25"/>
      <c r="E32" s="28"/>
      <c r="F32" s="27"/>
      <c r="G32" s="28"/>
      <c r="H32" s="27"/>
      <c r="I32" s="28"/>
      <c r="J32" s="27">
        <v>6</v>
      </c>
      <c r="K32" s="29" t="s">
        <v>35</v>
      </c>
      <c r="L32" s="39"/>
      <c r="M32" s="31"/>
      <c r="N32" s="27" t="s">
        <v>240</v>
      </c>
      <c r="O32" s="307"/>
      <c r="P32" s="32"/>
      <c r="Q32" s="25"/>
      <c r="R32" s="27"/>
      <c r="S32" s="27"/>
      <c r="T32" s="28"/>
      <c r="U32" s="27"/>
      <c r="V32" s="27" t="s">
        <v>154</v>
      </c>
      <c r="W32" s="28"/>
      <c r="X32" s="33"/>
      <c r="Y32" s="32"/>
      <c r="Z32" s="25"/>
      <c r="AA32" s="27"/>
      <c r="AB32" s="28"/>
      <c r="AC32" s="27">
        <v>10</v>
      </c>
      <c r="AD32" s="27">
        <v>5</v>
      </c>
      <c r="AE32" s="33"/>
      <c r="AG32" s="25"/>
      <c r="AH32" s="34"/>
      <c r="AI32" s="27"/>
      <c r="AJ32" s="27"/>
      <c r="AK32" s="27"/>
      <c r="AL32" s="25"/>
      <c r="AM32" s="34"/>
      <c r="AN32" s="27"/>
      <c r="AO32" s="27"/>
      <c r="AP32" s="36"/>
      <c r="AQ32" s="37"/>
      <c r="AR32" s="32" t="s">
        <v>64</v>
      </c>
      <c r="AS32" s="25"/>
      <c r="AT32" s="27"/>
      <c r="AU32" s="201"/>
      <c r="AW32" s="25"/>
      <c r="AX32" s="27"/>
      <c r="AY32" s="27"/>
      <c r="AZ32" s="32"/>
      <c r="BA32" s="41"/>
    </row>
    <row r="33" spans="1:54" ht="16" thickBot="1" x14ac:dyDescent="0.25">
      <c r="A33" s="25">
        <v>24</v>
      </c>
      <c r="B33" s="26">
        <v>45410</v>
      </c>
      <c r="C33" s="27" t="s">
        <v>232</v>
      </c>
      <c r="D33" s="25"/>
      <c r="E33" s="28"/>
      <c r="F33" s="27"/>
      <c r="G33" s="28"/>
      <c r="H33" s="27"/>
      <c r="I33" s="28"/>
      <c r="J33" s="27">
        <v>6</v>
      </c>
      <c r="K33" s="29" t="s">
        <v>35</v>
      </c>
      <c r="L33" s="44" t="s">
        <v>289</v>
      </c>
      <c r="M33" s="31" t="s">
        <v>412</v>
      </c>
      <c r="N33" s="27" t="s">
        <v>240</v>
      </c>
      <c r="O33" s="307"/>
      <c r="P33" s="32"/>
      <c r="Q33" s="25"/>
      <c r="R33" s="27"/>
      <c r="S33" s="27"/>
      <c r="T33" s="28"/>
      <c r="U33" s="27"/>
      <c r="V33" s="27" t="s">
        <v>154</v>
      </c>
      <c r="W33" s="28"/>
      <c r="X33" s="33"/>
      <c r="Y33" s="32"/>
      <c r="Z33" s="25"/>
      <c r="AA33" s="27"/>
      <c r="AB33" s="28"/>
      <c r="AC33" s="27">
        <v>10</v>
      </c>
      <c r="AD33" s="27">
        <v>5</v>
      </c>
      <c r="AF33" s="46" t="s">
        <v>290</v>
      </c>
      <c r="AG33" s="25"/>
      <c r="AH33" s="34"/>
      <c r="AI33" s="27">
        <v>0.05</v>
      </c>
      <c r="AJ33" s="27"/>
      <c r="AK33" s="27">
        <v>0.05</v>
      </c>
      <c r="AL33" s="25"/>
      <c r="AM33" s="34"/>
      <c r="AN33" s="27"/>
      <c r="AO33" s="27"/>
      <c r="AP33" s="36"/>
      <c r="AQ33" s="37"/>
      <c r="AR33" s="46" t="s">
        <v>351</v>
      </c>
      <c r="AS33" s="25"/>
      <c r="AT33" s="27"/>
      <c r="AU33" s="58" t="s">
        <v>295</v>
      </c>
      <c r="AV33" t="s">
        <v>258</v>
      </c>
      <c r="AW33" s="25"/>
      <c r="AX33" s="27"/>
      <c r="AY33" s="27"/>
      <c r="AZ33" s="32"/>
      <c r="BA33" s="41" t="s">
        <v>413</v>
      </c>
      <c r="BB33" t="s">
        <v>414</v>
      </c>
    </row>
    <row r="34" spans="1:54" ht="16" thickBot="1" x14ac:dyDescent="0.25">
      <c r="A34" s="25">
        <v>25</v>
      </c>
      <c r="B34" s="26">
        <v>45411</v>
      </c>
      <c r="C34" s="27" t="s">
        <v>232</v>
      </c>
      <c r="D34" s="25"/>
      <c r="E34" s="28"/>
      <c r="F34" s="27"/>
      <c r="G34" s="28"/>
      <c r="H34" s="27"/>
      <c r="I34" s="28"/>
      <c r="J34" s="27">
        <v>6</v>
      </c>
      <c r="K34" s="29" t="s">
        <v>35</v>
      </c>
      <c r="L34" s="39"/>
      <c r="M34" s="31"/>
      <c r="N34" s="27" t="s">
        <v>240</v>
      </c>
      <c r="O34" s="307"/>
      <c r="P34" s="81"/>
      <c r="Q34" s="43"/>
      <c r="R34" s="27"/>
      <c r="S34" s="27"/>
      <c r="T34" s="28"/>
      <c r="U34" s="27"/>
      <c r="V34" s="27" t="s">
        <v>154</v>
      </c>
      <c r="W34" s="28"/>
      <c r="X34" s="33"/>
      <c r="Y34" s="32"/>
      <c r="Z34" s="27"/>
      <c r="AA34" s="27"/>
      <c r="AB34" s="28"/>
      <c r="AC34" s="27"/>
      <c r="AD34" s="27"/>
      <c r="AE34" s="27"/>
      <c r="AG34" s="25"/>
      <c r="AH34" s="34"/>
      <c r="AI34" s="27">
        <v>0.05</v>
      </c>
      <c r="AJ34" s="27">
        <v>0.05</v>
      </c>
      <c r="AK34" s="27">
        <v>0.05</v>
      </c>
      <c r="AL34" s="25"/>
      <c r="AM34" s="34"/>
      <c r="AN34" s="27"/>
      <c r="AO34" s="27"/>
      <c r="AP34" s="36"/>
      <c r="AQ34" s="37"/>
      <c r="AR34" s="32" t="s">
        <v>75</v>
      </c>
      <c r="AS34" s="25" t="s">
        <v>72</v>
      </c>
      <c r="AT34" s="27" t="s">
        <v>52</v>
      </c>
      <c r="AW34" s="25"/>
      <c r="AX34" s="27"/>
      <c r="AY34" s="27"/>
      <c r="AZ34" s="32"/>
      <c r="BA34" s="41">
        <v>6</v>
      </c>
    </row>
    <row r="35" spans="1:54" ht="16" thickBot="1" x14ac:dyDescent="0.25">
      <c r="A35" s="25">
        <v>26</v>
      </c>
      <c r="B35" s="26">
        <v>45412</v>
      </c>
      <c r="C35" s="27" t="s">
        <v>232</v>
      </c>
      <c r="D35" s="25"/>
      <c r="E35" s="28"/>
      <c r="F35" s="27"/>
      <c r="G35" s="28"/>
      <c r="H35" s="27"/>
      <c r="I35" s="28"/>
      <c r="J35" s="27">
        <v>6</v>
      </c>
      <c r="K35" s="29" t="s">
        <v>35</v>
      </c>
      <c r="L35" s="39"/>
      <c r="M35" s="31"/>
      <c r="N35" s="27" t="s">
        <v>240</v>
      </c>
      <c r="O35" s="307"/>
      <c r="P35" s="32"/>
      <c r="Q35" s="25"/>
      <c r="R35" s="27"/>
      <c r="S35" s="27"/>
      <c r="T35" s="28"/>
      <c r="U35" s="27"/>
      <c r="V35" s="27" t="s">
        <v>154</v>
      </c>
      <c r="W35" s="28"/>
      <c r="X35" s="33"/>
      <c r="Y35" s="32"/>
      <c r="Z35" s="25"/>
      <c r="AA35" s="27"/>
      <c r="AB35" s="28"/>
      <c r="AC35" s="27"/>
      <c r="AD35" s="27"/>
      <c r="AE35" s="33"/>
      <c r="AG35" s="25"/>
      <c r="AH35" s="34"/>
      <c r="AI35" s="27">
        <v>0.05</v>
      </c>
      <c r="AJ35" s="27">
        <v>0.05</v>
      </c>
      <c r="AK35" s="27">
        <v>0.05</v>
      </c>
      <c r="AL35" s="25"/>
      <c r="AM35" s="34"/>
      <c r="AN35" s="27"/>
      <c r="AO35" s="27"/>
      <c r="AP35" s="36"/>
      <c r="AQ35" s="37"/>
      <c r="AR35" s="32" t="s">
        <v>75</v>
      </c>
      <c r="AS35" s="25" t="s">
        <v>72</v>
      </c>
      <c r="AT35" s="27" t="s">
        <v>52</v>
      </c>
      <c r="AW35" s="25"/>
      <c r="AX35" s="27"/>
      <c r="AY35" s="27"/>
      <c r="AZ35" s="32"/>
      <c r="BA35" s="41">
        <v>4</v>
      </c>
    </row>
    <row r="36" spans="1:54" ht="16" thickBot="1" x14ac:dyDescent="0.25">
      <c r="A36" s="25">
        <v>27</v>
      </c>
      <c r="B36" s="26">
        <v>45413</v>
      </c>
      <c r="C36" s="27" t="s">
        <v>227</v>
      </c>
      <c r="D36" s="25"/>
      <c r="E36" s="28"/>
      <c r="F36" s="27"/>
      <c r="G36" s="28"/>
      <c r="H36" s="27"/>
      <c r="I36" s="28"/>
      <c r="J36" s="27">
        <v>6</v>
      </c>
      <c r="K36" s="29" t="s">
        <v>35</v>
      </c>
      <c r="L36" s="39"/>
      <c r="M36" s="31"/>
      <c r="N36" s="27" t="s">
        <v>240</v>
      </c>
      <c r="O36" s="307"/>
      <c r="P36" s="32"/>
      <c r="Q36" s="25"/>
      <c r="R36" s="27"/>
      <c r="S36" s="27"/>
      <c r="T36" s="28"/>
      <c r="U36" s="27"/>
      <c r="V36" s="27" t="s">
        <v>154</v>
      </c>
      <c r="W36" s="28"/>
      <c r="X36" s="33"/>
      <c r="Y36" s="32"/>
      <c r="Z36" s="25"/>
      <c r="AA36" s="27"/>
      <c r="AB36" s="28"/>
      <c r="AC36" s="27"/>
      <c r="AD36" s="27"/>
      <c r="AE36" s="33"/>
      <c r="AG36" s="25"/>
      <c r="AH36" s="34"/>
      <c r="AI36" s="27">
        <v>0.05</v>
      </c>
      <c r="AJ36" s="27">
        <v>0.05</v>
      </c>
      <c r="AK36" s="27">
        <v>0.05</v>
      </c>
      <c r="AL36" s="25"/>
      <c r="AM36" s="34"/>
      <c r="AN36" s="27">
        <v>2.5000000000000001E-2</v>
      </c>
      <c r="AO36" s="27"/>
      <c r="AP36" s="36">
        <v>2.5000000000000001E-2</v>
      </c>
      <c r="AQ36" s="82" t="s">
        <v>292</v>
      </c>
      <c r="AR36" s="32" t="s">
        <v>352</v>
      </c>
      <c r="AS36" s="25" t="s">
        <v>72</v>
      </c>
      <c r="AT36" s="27" t="s">
        <v>52</v>
      </c>
      <c r="AU36" s="27"/>
      <c r="AW36" s="25"/>
      <c r="AX36" s="27"/>
      <c r="AY36" s="27"/>
      <c r="AZ36" s="32"/>
      <c r="BA36" s="41">
        <v>5</v>
      </c>
    </row>
    <row r="37" spans="1:54" x14ac:dyDescent="0.2">
      <c r="A37" s="25">
        <v>28</v>
      </c>
      <c r="B37" s="26">
        <v>45414</v>
      </c>
      <c r="C37" s="27" t="s">
        <v>200</v>
      </c>
      <c r="D37" s="25"/>
      <c r="E37" s="28"/>
      <c r="F37" s="27"/>
      <c r="G37" s="28"/>
      <c r="H37" s="27"/>
      <c r="I37" s="28"/>
      <c r="J37" s="27">
        <v>6</v>
      </c>
      <c r="K37" s="29" t="s">
        <v>35</v>
      </c>
      <c r="L37" s="39"/>
      <c r="M37" s="31"/>
      <c r="N37" s="27" t="s">
        <v>240</v>
      </c>
      <c r="O37" s="307"/>
      <c r="P37" s="32"/>
      <c r="Q37" s="25"/>
      <c r="R37" s="27"/>
      <c r="S37" s="27"/>
      <c r="T37" s="28"/>
      <c r="U37" s="27"/>
      <c r="V37" s="27" t="s">
        <v>154</v>
      </c>
      <c r="W37" s="28"/>
      <c r="Y37" s="32"/>
      <c r="Z37" s="25"/>
      <c r="AA37" s="27"/>
      <c r="AB37" s="28"/>
      <c r="AC37" s="27"/>
      <c r="AD37" s="27"/>
      <c r="AE37" s="33"/>
      <c r="AG37" s="25"/>
      <c r="AH37" s="34"/>
      <c r="AI37" s="27">
        <v>0.05</v>
      </c>
      <c r="AJ37" s="27">
        <v>0.05</v>
      </c>
      <c r="AK37" s="27">
        <v>0.05</v>
      </c>
      <c r="AL37" s="25"/>
      <c r="AM37" s="34"/>
      <c r="AN37" s="27">
        <v>2.5000000000000001E-2</v>
      </c>
      <c r="AO37" s="27"/>
      <c r="AP37" s="36">
        <v>2.5000000000000001E-2</v>
      </c>
      <c r="AR37" s="32" t="s">
        <v>293</v>
      </c>
      <c r="AS37" s="25" t="s">
        <v>72</v>
      </c>
      <c r="AT37" s="27" t="s">
        <v>52</v>
      </c>
      <c r="AU37" s="27"/>
      <c r="AW37" s="25"/>
      <c r="AX37" s="27"/>
      <c r="AY37" s="27"/>
      <c r="AZ37" s="32"/>
      <c r="BA37" s="41">
        <v>8</v>
      </c>
    </row>
    <row r="38" spans="1:54" ht="17.25" customHeight="1" thickBot="1" x14ac:dyDescent="0.25">
      <c r="A38" s="25">
        <v>29</v>
      </c>
      <c r="B38" s="26">
        <v>45415</v>
      </c>
      <c r="C38" s="27" t="s">
        <v>200</v>
      </c>
      <c r="D38" s="25"/>
      <c r="E38" s="28"/>
      <c r="F38" s="27"/>
      <c r="G38" s="28"/>
      <c r="H38" s="27"/>
      <c r="I38" s="28"/>
      <c r="J38" s="27">
        <v>6</v>
      </c>
      <c r="K38" s="29" t="s">
        <v>345</v>
      </c>
      <c r="L38" s="39"/>
      <c r="M38" s="31" t="s">
        <v>423</v>
      </c>
      <c r="N38" s="27" t="s">
        <v>240</v>
      </c>
      <c r="O38" s="307"/>
      <c r="P38" s="32"/>
      <c r="Q38" s="25"/>
      <c r="R38" s="27"/>
      <c r="S38" s="27"/>
      <c r="T38" s="28"/>
      <c r="U38" s="27"/>
      <c r="V38" s="27" t="s">
        <v>154</v>
      </c>
      <c r="W38" s="28"/>
      <c r="X38" s="33"/>
      <c r="Y38" s="32"/>
      <c r="Z38" s="25"/>
      <c r="AA38" s="27"/>
      <c r="AB38" s="28"/>
      <c r="AC38" s="27"/>
      <c r="AD38" s="27"/>
      <c r="AE38" s="33"/>
      <c r="AG38" s="25"/>
      <c r="AH38" s="34"/>
      <c r="AI38" s="27">
        <v>0.05</v>
      </c>
      <c r="AJ38" s="27">
        <v>0.05</v>
      </c>
      <c r="AK38" s="27">
        <v>0.05</v>
      </c>
      <c r="AL38" s="25"/>
      <c r="AM38" s="34"/>
      <c r="AN38" s="27">
        <v>2.5000000000000001E-2</v>
      </c>
      <c r="AO38" s="27"/>
      <c r="AP38" s="36">
        <v>2.5000000000000001E-2</v>
      </c>
      <c r="AQ38" s="37"/>
      <c r="AR38" s="32" t="s">
        <v>293</v>
      </c>
      <c r="AS38" s="25" t="s">
        <v>72</v>
      </c>
      <c r="AT38" s="27" t="s">
        <v>52</v>
      </c>
      <c r="AU38" s="27"/>
      <c r="AW38" s="25"/>
      <c r="AX38" s="27"/>
      <c r="AY38" s="27"/>
      <c r="AZ38" s="32"/>
      <c r="BA38" s="41">
        <v>1</v>
      </c>
    </row>
    <row r="39" spans="1:54" s="87" customFormat="1" ht="16" thickBot="1" x14ac:dyDescent="0.25">
      <c r="A39" s="25">
        <v>30</v>
      </c>
      <c r="B39" s="26">
        <v>45416</v>
      </c>
      <c r="C39" s="27" t="s">
        <v>200</v>
      </c>
      <c r="D39" s="25"/>
      <c r="E39" s="28"/>
      <c r="F39" s="27"/>
      <c r="G39" s="28"/>
      <c r="H39" s="27"/>
      <c r="I39" s="28"/>
      <c r="J39" s="27">
        <v>6</v>
      </c>
      <c r="K39" s="29" t="s">
        <v>346</v>
      </c>
      <c r="L39" s="39"/>
      <c r="M39" s="31"/>
      <c r="N39" s="27" t="s">
        <v>240</v>
      </c>
      <c r="O39" s="307"/>
      <c r="Q39" s="83"/>
      <c r="R39" s="83"/>
      <c r="S39" s="83"/>
      <c r="T39" s="83"/>
      <c r="U39" s="83"/>
      <c r="V39" s="83" t="s">
        <v>154</v>
      </c>
      <c r="W39" s="83"/>
      <c r="X39" s="83"/>
      <c r="Z39" s="83"/>
      <c r="AA39" s="83"/>
      <c r="AB39" s="83"/>
      <c r="AC39" s="83"/>
      <c r="AD39" s="83"/>
      <c r="AE39" s="83"/>
      <c r="AG39" s="83"/>
      <c r="AH39" s="83"/>
      <c r="AI39" s="83"/>
      <c r="AJ39" s="83"/>
      <c r="AK39" s="83"/>
      <c r="AL39" s="83"/>
      <c r="AM39" s="83"/>
      <c r="AN39" s="83">
        <v>0.05</v>
      </c>
      <c r="AO39" s="83">
        <v>0.05</v>
      </c>
      <c r="AP39" s="83">
        <v>0.05</v>
      </c>
      <c r="AR39" s="190" t="s">
        <v>294</v>
      </c>
      <c r="AS39" s="83" t="s">
        <v>72</v>
      </c>
      <c r="AT39" s="83" t="s">
        <v>52</v>
      </c>
      <c r="AU39" s="83"/>
      <c r="AW39" s="83"/>
      <c r="AX39" s="83"/>
      <c r="AY39" s="83"/>
      <c r="BA39" s="83">
        <v>8</v>
      </c>
    </row>
    <row r="40" spans="1:54" x14ac:dyDescent="0.2">
      <c r="A40" s="25">
        <v>31</v>
      </c>
      <c r="B40" s="26">
        <v>45417</v>
      </c>
      <c r="C40" s="27" t="s">
        <v>232</v>
      </c>
      <c r="D40" s="25"/>
      <c r="E40" s="28"/>
      <c r="F40" s="27"/>
      <c r="G40" s="28"/>
      <c r="H40" s="27"/>
      <c r="I40" s="28"/>
      <c r="J40" s="202">
        <v>45357</v>
      </c>
      <c r="K40" s="29" t="s">
        <v>347</v>
      </c>
      <c r="L40" s="39"/>
      <c r="M40" s="31" t="s">
        <v>425</v>
      </c>
      <c r="N40" s="27" t="s">
        <v>272</v>
      </c>
      <c r="O40" s="307"/>
      <c r="P40" s="32"/>
      <c r="Q40" s="25"/>
      <c r="R40" s="27"/>
      <c r="S40" s="27"/>
      <c r="T40" s="28"/>
      <c r="U40" s="27"/>
      <c r="V40" s="27" t="s">
        <v>154</v>
      </c>
      <c r="W40" s="28"/>
      <c r="X40" s="33"/>
      <c r="Y40" s="32"/>
      <c r="Z40" s="25"/>
      <c r="AA40" s="27"/>
      <c r="AB40" s="28"/>
      <c r="AC40" s="27"/>
      <c r="AD40" s="27"/>
      <c r="AE40" s="33"/>
      <c r="AG40" s="25"/>
      <c r="AH40" s="34"/>
      <c r="AI40" s="27"/>
      <c r="AJ40" s="27"/>
      <c r="AK40" s="27"/>
      <c r="AL40" s="25"/>
      <c r="AM40" s="34"/>
      <c r="AN40" s="27">
        <v>0.05</v>
      </c>
      <c r="AO40" s="27">
        <v>0.05</v>
      </c>
      <c r="AP40" s="36">
        <v>0.05</v>
      </c>
      <c r="AQ40" s="37"/>
      <c r="AR40" s="66"/>
      <c r="AS40" s="25" t="s">
        <v>72</v>
      </c>
      <c r="AT40" s="27" t="s">
        <v>52</v>
      </c>
      <c r="AU40" s="27"/>
      <c r="AW40" s="25"/>
      <c r="AX40" s="27"/>
      <c r="AY40" s="27"/>
      <c r="AZ40" s="32"/>
      <c r="BA40" s="41">
        <v>3</v>
      </c>
    </row>
    <row r="41" spans="1:54" x14ac:dyDescent="0.2">
      <c r="A41" s="25">
        <v>32</v>
      </c>
      <c r="B41" s="26">
        <v>45418</v>
      </c>
      <c r="C41" s="27" t="s">
        <v>232</v>
      </c>
      <c r="D41" s="25"/>
      <c r="E41" s="28"/>
      <c r="F41" s="27"/>
      <c r="G41" s="28"/>
      <c r="H41" s="27"/>
      <c r="I41" s="28"/>
      <c r="J41" s="202">
        <v>45357</v>
      </c>
      <c r="K41" s="29" t="s">
        <v>35</v>
      </c>
      <c r="L41" s="39"/>
      <c r="M41" s="31"/>
      <c r="N41" s="27" t="s">
        <v>272</v>
      </c>
      <c r="O41" s="307"/>
      <c r="P41" s="32"/>
      <c r="Q41" s="25"/>
      <c r="R41" s="27"/>
      <c r="S41" s="27"/>
      <c r="T41" s="28"/>
      <c r="U41" s="27"/>
      <c r="V41" s="27" t="s">
        <v>154</v>
      </c>
      <c r="W41" s="28"/>
      <c r="X41" s="33"/>
      <c r="Y41" s="32"/>
      <c r="Z41" s="25"/>
      <c r="AA41" s="27"/>
      <c r="AB41" s="28"/>
      <c r="AC41" s="27"/>
      <c r="AD41" s="27"/>
      <c r="AE41" s="33"/>
      <c r="AG41" s="25"/>
      <c r="AH41" s="34"/>
      <c r="AI41" s="27"/>
      <c r="AJ41" s="27"/>
      <c r="AK41" s="27"/>
      <c r="AL41" s="25"/>
      <c r="AM41" s="34"/>
      <c r="AN41" s="27">
        <v>0.05</v>
      </c>
      <c r="AO41" s="27">
        <v>0.05</v>
      </c>
      <c r="AP41" s="36">
        <v>0.05</v>
      </c>
      <c r="AQ41" s="37"/>
      <c r="AR41" s="32"/>
      <c r="AS41" s="25" t="s">
        <v>72</v>
      </c>
      <c r="AT41" s="27" t="s">
        <v>52</v>
      </c>
      <c r="AU41" s="27"/>
      <c r="AW41" s="25"/>
      <c r="AX41" s="27"/>
      <c r="AY41" s="27"/>
      <c r="AZ41" s="32"/>
      <c r="BA41" s="41">
        <v>4</v>
      </c>
    </row>
    <row r="42" spans="1:54" x14ac:dyDescent="0.2">
      <c r="A42" s="25">
        <v>33</v>
      </c>
      <c r="B42" s="26">
        <v>45419</v>
      </c>
      <c r="C42" s="27" t="s">
        <v>232</v>
      </c>
      <c r="D42" s="25"/>
      <c r="E42" s="28"/>
      <c r="F42" s="27"/>
      <c r="G42" s="28"/>
      <c r="H42" s="27"/>
      <c r="I42" s="28"/>
      <c r="J42" s="202">
        <v>45357</v>
      </c>
      <c r="K42" s="29" t="s">
        <v>35</v>
      </c>
      <c r="L42" s="39"/>
      <c r="M42" s="31"/>
      <c r="N42" s="27" t="s">
        <v>272</v>
      </c>
      <c r="O42" s="307"/>
      <c r="P42" s="32"/>
      <c r="Q42" s="25"/>
      <c r="R42" s="27"/>
      <c r="S42" s="27"/>
      <c r="T42" s="28"/>
      <c r="U42" s="27"/>
      <c r="V42" s="27" t="s">
        <v>154</v>
      </c>
      <c r="W42" s="28"/>
      <c r="X42" s="33"/>
      <c r="Y42" s="32"/>
      <c r="Z42" s="25"/>
      <c r="AA42" s="27"/>
      <c r="AB42" s="28"/>
      <c r="AC42" s="27"/>
      <c r="AD42" s="27"/>
      <c r="AE42" s="33"/>
      <c r="AG42" s="25"/>
      <c r="AH42" s="34"/>
      <c r="AI42" s="27"/>
      <c r="AJ42" s="27"/>
      <c r="AK42" s="27"/>
      <c r="AL42" s="25"/>
      <c r="AM42" s="34"/>
      <c r="AN42" s="27">
        <v>0.05</v>
      </c>
      <c r="AO42" s="27">
        <v>0.05</v>
      </c>
      <c r="AP42" s="36">
        <v>0.05</v>
      </c>
      <c r="AQ42" s="37"/>
      <c r="AR42" s="32"/>
      <c r="AS42" s="25" t="s">
        <v>72</v>
      </c>
      <c r="AT42" s="27" t="s">
        <v>52</v>
      </c>
      <c r="AW42" s="25"/>
      <c r="AX42" s="27"/>
      <c r="AY42" s="27"/>
      <c r="AZ42" s="32"/>
      <c r="BA42" s="41">
        <v>5</v>
      </c>
    </row>
    <row r="43" spans="1:54" ht="16" thickBot="1" x14ac:dyDescent="0.25">
      <c r="A43" s="25">
        <v>34</v>
      </c>
      <c r="B43" s="26">
        <v>45420</v>
      </c>
      <c r="C43" s="27" t="s">
        <v>227</v>
      </c>
      <c r="D43" s="25"/>
      <c r="E43" s="28"/>
      <c r="F43" s="27"/>
      <c r="G43" s="28"/>
      <c r="H43" s="27"/>
      <c r="I43" s="28"/>
      <c r="J43" s="202">
        <v>45357</v>
      </c>
      <c r="K43" s="29" t="s">
        <v>35</v>
      </c>
      <c r="L43" s="39"/>
      <c r="M43" s="31"/>
      <c r="N43" s="27" t="s">
        <v>272</v>
      </c>
      <c r="O43" s="307"/>
      <c r="P43" s="32"/>
      <c r="Q43" s="25"/>
      <c r="R43" s="27"/>
      <c r="S43" s="27"/>
      <c r="T43" s="28"/>
      <c r="U43" s="27"/>
      <c r="V43" s="27" t="s">
        <v>154</v>
      </c>
      <c r="W43" s="28"/>
      <c r="X43" s="33"/>
      <c r="Y43" s="32"/>
      <c r="Z43" s="25"/>
      <c r="AA43" s="27"/>
      <c r="AB43" s="28"/>
      <c r="AC43" s="27"/>
      <c r="AD43" s="27"/>
      <c r="AE43" s="33"/>
      <c r="AG43" s="25"/>
      <c r="AH43" s="34"/>
      <c r="AI43" s="27"/>
      <c r="AJ43" s="27"/>
      <c r="AK43" s="27"/>
      <c r="AL43" s="25"/>
      <c r="AM43" s="34"/>
      <c r="AN43" s="27">
        <v>0.05</v>
      </c>
      <c r="AO43" s="27">
        <v>0.05</v>
      </c>
      <c r="AP43" s="36">
        <v>0.05</v>
      </c>
      <c r="AQ43" s="37"/>
      <c r="AR43" s="32"/>
      <c r="AS43" s="25" t="s">
        <v>72</v>
      </c>
      <c r="AT43" s="27" t="s">
        <v>52</v>
      </c>
      <c r="AU43" s="27"/>
      <c r="AW43" s="25"/>
      <c r="AX43" s="27"/>
      <c r="AY43" s="27"/>
      <c r="AZ43" s="32"/>
      <c r="BA43" s="41">
        <v>0</v>
      </c>
    </row>
    <row r="44" spans="1:54" ht="16" thickBot="1" x14ac:dyDescent="0.25">
      <c r="A44" s="25">
        <v>35</v>
      </c>
      <c r="B44" s="26">
        <v>45421</v>
      </c>
      <c r="C44" s="27" t="s">
        <v>227</v>
      </c>
      <c r="D44" s="25"/>
      <c r="E44" s="28"/>
      <c r="F44" s="27"/>
      <c r="G44" s="28"/>
      <c r="H44" s="27"/>
      <c r="I44" s="28"/>
      <c r="J44" s="202">
        <v>45357</v>
      </c>
      <c r="K44" s="29" t="s">
        <v>35</v>
      </c>
      <c r="L44" s="39" t="s">
        <v>431</v>
      </c>
      <c r="M44" s="31" t="s">
        <v>432</v>
      </c>
      <c r="N44" s="27" t="s">
        <v>272</v>
      </c>
      <c r="O44" s="307"/>
      <c r="P44" s="32"/>
      <c r="Q44" s="25"/>
      <c r="R44" s="27"/>
      <c r="S44" s="27"/>
      <c r="T44" s="28"/>
      <c r="U44" s="27"/>
      <c r="V44" s="27" t="s">
        <v>154</v>
      </c>
      <c r="W44" s="28"/>
      <c r="X44" s="33"/>
      <c r="Y44" s="32"/>
      <c r="Z44" s="25"/>
      <c r="AA44" s="27"/>
      <c r="AB44" s="28"/>
      <c r="AC44" s="27"/>
      <c r="AD44" s="27"/>
      <c r="AE44" s="33"/>
      <c r="AG44" s="25"/>
      <c r="AH44" s="34"/>
      <c r="AI44" s="27"/>
      <c r="AJ44" s="27"/>
      <c r="AK44" s="27"/>
      <c r="AL44" s="25"/>
      <c r="AM44" s="34"/>
      <c r="AN44" s="27"/>
      <c r="AO44" s="27"/>
      <c r="AP44" s="36"/>
      <c r="AQ44" s="37"/>
      <c r="AR44" s="32"/>
      <c r="AS44" s="25" t="s">
        <v>72</v>
      </c>
      <c r="AT44" s="27" t="s">
        <v>52</v>
      </c>
      <c r="AU44" s="58" t="s">
        <v>77</v>
      </c>
      <c r="AW44" s="27" t="s">
        <v>325</v>
      </c>
      <c r="AX44" s="27" t="s">
        <v>91</v>
      </c>
      <c r="AY44" s="27"/>
      <c r="AZ44" s="32"/>
      <c r="BA44" s="41"/>
    </row>
    <row r="45" spans="1:54" ht="16" thickBot="1" x14ac:dyDescent="0.25">
      <c r="A45" s="25">
        <v>36</v>
      </c>
      <c r="B45" s="26">
        <v>45422</v>
      </c>
      <c r="C45" s="27"/>
      <c r="D45" s="25"/>
      <c r="E45" s="28"/>
      <c r="F45" s="27"/>
      <c r="G45" s="28"/>
      <c r="H45" s="27"/>
      <c r="I45" s="28"/>
      <c r="J45" s="202">
        <v>45357</v>
      </c>
      <c r="K45" s="29" t="s">
        <v>35</v>
      </c>
      <c r="L45" s="53"/>
      <c r="M45" s="31"/>
      <c r="N45" s="27" t="s">
        <v>272</v>
      </c>
      <c r="O45" s="307"/>
      <c r="P45" s="32"/>
      <c r="Q45" s="25"/>
      <c r="R45" s="27"/>
      <c r="S45" s="27"/>
      <c r="T45" s="28"/>
      <c r="U45" s="27"/>
      <c r="V45" s="27" t="s">
        <v>154</v>
      </c>
      <c r="W45" s="28"/>
      <c r="X45" s="33"/>
      <c r="Y45" s="32"/>
      <c r="Z45" s="25"/>
      <c r="AA45" s="27"/>
      <c r="AB45" s="28"/>
      <c r="AC45" s="27"/>
      <c r="AD45" s="27"/>
      <c r="AE45" s="33"/>
      <c r="AG45" s="25"/>
      <c r="AH45" s="34"/>
      <c r="AI45" s="27"/>
      <c r="AJ45" s="27"/>
      <c r="AK45" s="27"/>
      <c r="AL45" s="25"/>
      <c r="AM45" s="34"/>
      <c r="AN45" s="27"/>
      <c r="AO45" s="27"/>
      <c r="AP45" s="36"/>
      <c r="AQ45" s="37"/>
      <c r="AR45" s="32"/>
      <c r="AS45" s="25" t="s">
        <v>78</v>
      </c>
      <c r="AT45" s="27" t="s">
        <v>52</v>
      </c>
      <c r="AW45" s="27" t="s">
        <v>325</v>
      </c>
      <c r="AX45" s="27" t="s">
        <v>91</v>
      </c>
      <c r="AY45" s="27"/>
      <c r="AZ45" s="32"/>
      <c r="BA45" s="41"/>
    </row>
    <row r="46" spans="1:54" ht="16" thickBot="1" x14ac:dyDescent="0.25">
      <c r="A46" s="25">
        <v>37</v>
      </c>
      <c r="B46" s="26">
        <v>45423</v>
      </c>
      <c r="C46" s="27"/>
      <c r="D46" s="25"/>
      <c r="E46" s="28"/>
      <c r="F46" s="27"/>
      <c r="G46" s="28"/>
      <c r="H46" s="27"/>
      <c r="I46" s="28"/>
      <c r="J46" s="202">
        <v>45357</v>
      </c>
      <c r="K46" s="29" t="s">
        <v>35</v>
      </c>
      <c r="L46" s="53"/>
      <c r="M46" s="31"/>
      <c r="N46" s="27" t="s">
        <v>272</v>
      </c>
      <c r="O46" s="307"/>
      <c r="P46" s="32"/>
      <c r="Q46" s="25"/>
      <c r="R46" s="27"/>
      <c r="S46" s="27"/>
      <c r="T46" s="28"/>
      <c r="U46" s="27"/>
      <c r="V46" s="27" t="s">
        <v>154</v>
      </c>
      <c r="W46" s="28"/>
      <c r="X46" s="33"/>
      <c r="Y46" s="32"/>
      <c r="Z46" s="59"/>
      <c r="AA46" s="60"/>
      <c r="AB46" s="61"/>
      <c r="AC46" s="27"/>
      <c r="AD46" s="27"/>
      <c r="AE46" s="33"/>
      <c r="AG46" s="25"/>
      <c r="AH46" s="34"/>
      <c r="AI46" s="27"/>
      <c r="AJ46" s="27"/>
      <c r="AK46" s="27"/>
      <c r="AL46" s="25"/>
      <c r="AM46" s="34"/>
      <c r="AN46" s="27"/>
      <c r="AO46" s="27"/>
      <c r="AP46" s="36"/>
      <c r="AQ46" s="37"/>
      <c r="AR46" s="32"/>
      <c r="AS46" s="25" t="s">
        <v>78</v>
      </c>
      <c r="AT46" s="27" t="s">
        <v>52</v>
      </c>
      <c r="AU46" s="27"/>
      <c r="AW46" s="27" t="s">
        <v>325</v>
      </c>
      <c r="AX46" s="27" t="s">
        <v>91</v>
      </c>
      <c r="AY46" s="27"/>
      <c r="AZ46" s="32"/>
      <c r="BA46" s="41"/>
    </row>
    <row r="47" spans="1:54" x14ac:dyDescent="0.2">
      <c r="A47" s="25">
        <v>38</v>
      </c>
      <c r="B47" s="26">
        <v>45424</v>
      </c>
      <c r="C47" s="27"/>
      <c r="D47" s="25"/>
      <c r="E47" s="28"/>
      <c r="F47" s="27"/>
      <c r="G47" s="28"/>
      <c r="H47" s="27"/>
      <c r="I47" s="28"/>
      <c r="J47" s="202">
        <v>45357</v>
      </c>
      <c r="K47" s="29" t="s">
        <v>35</v>
      </c>
      <c r="L47" s="39"/>
      <c r="M47" s="31"/>
      <c r="N47" s="27" t="s">
        <v>272</v>
      </c>
      <c r="O47" s="307"/>
      <c r="P47" s="32"/>
      <c r="Q47" s="25"/>
      <c r="R47" s="27"/>
      <c r="S47" s="27"/>
      <c r="T47" s="28"/>
      <c r="U47" s="27"/>
      <c r="V47" s="27" t="s">
        <v>154</v>
      </c>
      <c r="W47" s="28"/>
      <c r="X47" s="33"/>
      <c r="Y47" s="32"/>
      <c r="Z47" s="25"/>
      <c r="AA47" s="27"/>
      <c r="AB47" s="28"/>
      <c r="AC47" s="27"/>
      <c r="AD47" s="27"/>
      <c r="AE47" s="33"/>
      <c r="AG47" s="25"/>
      <c r="AH47" s="34"/>
      <c r="AI47" s="27"/>
      <c r="AJ47" s="27"/>
      <c r="AK47" s="27"/>
      <c r="AL47" s="25"/>
      <c r="AM47" s="34"/>
      <c r="AN47" s="27"/>
      <c r="AO47" s="27"/>
      <c r="AP47" s="36"/>
      <c r="AQ47" s="37"/>
      <c r="AR47" s="32"/>
      <c r="AS47" s="25" t="s">
        <v>78</v>
      </c>
      <c r="AT47" s="27" t="s">
        <v>52</v>
      </c>
      <c r="AU47" s="27"/>
      <c r="AW47" s="27" t="s">
        <v>325</v>
      </c>
      <c r="AX47" s="27" t="s">
        <v>91</v>
      </c>
      <c r="AY47" s="27"/>
      <c r="AZ47" s="32"/>
      <c r="BA47" s="41"/>
    </row>
    <row r="48" spans="1:54" ht="16" thickBot="1" x14ac:dyDescent="0.25">
      <c r="A48" s="25">
        <v>39</v>
      </c>
      <c r="B48" s="26">
        <v>45425</v>
      </c>
      <c r="C48" s="27"/>
      <c r="D48" s="25"/>
      <c r="E48" s="28"/>
      <c r="F48" s="27"/>
      <c r="G48" s="28"/>
      <c r="H48" s="27"/>
      <c r="I48" s="28"/>
      <c r="J48" s="202">
        <v>45357</v>
      </c>
      <c r="K48" s="29" t="s">
        <v>35</v>
      </c>
      <c r="M48" s="31"/>
      <c r="N48" s="27" t="s">
        <v>272</v>
      </c>
      <c r="O48" s="307"/>
      <c r="P48" s="32"/>
      <c r="Q48" s="25"/>
      <c r="R48" s="27"/>
      <c r="S48" s="27"/>
      <c r="T48" s="28"/>
      <c r="U48" s="27"/>
      <c r="V48" s="27" t="s">
        <v>154</v>
      </c>
      <c r="W48" s="28"/>
      <c r="X48" s="33"/>
      <c r="Y48" s="32"/>
      <c r="Z48" s="25"/>
      <c r="AA48" s="27"/>
      <c r="AB48" s="28"/>
      <c r="AC48" s="27"/>
      <c r="AD48" s="27"/>
      <c r="AE48" s="33"/>
      <c r="AG48" s="25"/>
      <c r="AH48" s="34"/>
      <c r="AI48" s="27"/>
      <c r="AJ48" s="27"/>
      <c r="AK48" s="27"/>
      <c r="AL48" s="25"/>
      <c r="AM48" s="34"/>
      <c r="AN48" s="27"/>
      <c r="AO48" s="27"/>
      <c r="AP48" s="36"/>
      <c r="AQ48" s="37"/>
      <c r="AR48" s="32"/>
      <c r="AS48" s="25" t="s">
        <v>78</v>
      </c>
      <c r="AT48" s="27" t="s">
        <v>52</v>
      </c>
      <c r="AU48" s="27"/>
      <c r="AW48" s="27" t="s">
        <v>325</v>
      </c>
      <c r="AX48" s="27" t="s">
        <v>91</v>
      </c>
      <c r="AY48" s="27"/>
      <c r="AZ48" s="32"/>
      <c r="BA48" s="41"/>
    </row>
    <row r="49" spans="1:53" ht="16" thickBot="1" x14ac:dyDescent="0.25">
      <c r="A49" s="25">
        <v>40</v>
      </c>
      <c r="B49" s="26">
        <v>45426</v>
      </c>
      <c r="C49" s="27"/>
      <c r="D49" s="25"/>
      <c r="E49" s="28"/>
      <c r="F49" s="27"/>
      <c r="G49" s="28"/>
      <c r="H49" s="27"/>
      <c r="I49" s="28"/>
      <c r="J49" s="202">
        <v>45357</v>
      </c>
      <c r="K49" s="29" t="s">
        <v>35</v>
      </c>
      <c r="L49" s="53"/>
      <c r="M49" s="31"/>
      <c r="N49" s="27" t="s">
        <v>272</v>
      </c>
      <c r="O49" s="308"/>
      <c r="Q49" s="25"/>
      <c r="R49" s="27"/>
      <c r="S49" s="27"/>
      <c r="T49" s="28"/>
      <c r="U49" s="27"/>
      <c r="V49" s="27" t="s">
        <v>154</v>
      </c>
      <c r="W49" s="28"/>
      <c r="X49" s="33"/>
      <c r="Y49" s="32"/>
      <c r="Z49" s="59"/>
      <c r="AA49" s="60"/>
      <c r="AB49" s="61"/>
      <c r="AC49" s="27"/>
      <c r="AD49" s="27"/>
      <c r="AE49" s="33"/>
      <c r="AG49" s="25"/>
      <c r="AH49" s="34"/>
      <c r="AI49" s="27"/>
      <c r="AJ49" s="27"/>
      <c r="AK49" s="27"/>
      <c r="AL49" s="25"/>
      <c r="AM49" s="34"/>
      <c r="AN49" s="27"/>
      <c r="AO49" s="27"/>
      <c r="AP49" s="36"/>
      <c r="AQ49" s="37"/>
      <c r="AR49" s="32"/>
      <c r="AS49" s="25" t="s">
        <v>79</v>
      </c>
      <c r="AT49" s="27" t="s">
        <v>52</v>
      </c>
      <c r="AU49" s="58" t="s">
        <v>80</v>
      </c>
      <c r="AW49" s="27" t="s">
        <v>325</v>
      </c>
      <c r="AX49" s="27" t="s">
        <v>91</v>
      </c>
      <c r="AY49" s="27"/>
      <c r="AZ49" s="32"/>
      <c r="BA49" s="41"/>
    </row>
    <row r="50" spans="1:53" x14ac:dyDescent="0.2">
      <c r="A50" s="25">
        <v>41</v>
      </c>
      <c r="B50" s="26">
        <v>45427</v>
      </c>
      <c r="C50" s="27"/>
      <c r="D50" s="25"/>
      <c r="E50" s="28"/>
      <c r="F50" s="27"/>
      <c r="G50" s="28"/>
      <c r="H50" s="27"/>
      <c r="I50" s="28"/>
      <c r="J50" s="202">
        <v>45357</v>
      </c>
      <c r="K50" s="29" t="s">
        <v>35</v>
      </c>
      <c r="M50" s="31"/>
      <c r="N50" s="27" t="s">
        <v>272</v>
      </c>
      <c r="P50" s="32"/>
      <c r="Q50" s="25"/>
      <c r="R50" s="27"/>
      <c r="S50" s="27"/>
      <c r="T50" s="28"/>
      <c r="U50" s="27"/>
      <c r="V50" s="27" t="s">
        <v>154</v>
      </c>
      <c r="W50" s="28"/>
      <c r="X50" s="33"/>
      <c r="Y50" s="32"/>
      <c r="Z50" s="25"/>
      <c r="AA50" s="27"/>
      <c r="AB50" s="28"/>
      <c r="AC50" s="27"/>
      <c r="AD50" s="27"/>
      <c r="AE50" s="33"/>
      <c r="AG50" s="25"/>
      <c r="AH50" s="34"/>
      <c r="AI50" s="27"/>
      <c r="AJ50" s="27"/>
      <c r="AK50" s="27"/>
      <c r="AL50" s="25"/>
      <c r="AM50" s="34"/>
      <c r="AN50" s="27"/>
      <c r="AO50" s="27"/>
      <c r="AP50" s="36"/>
      <c r="AQ50" s="37"/>
      <c r="AR50" s="32"/>
      <c r="AS50" s="25" t="s">
        <v>79</v>
      </c>
      <c r="AT50" s="27" t="s">
        <v>52</v>
      </c>
      <c r="AU50" s="27"/>
      <c r="AW50" s="27" t="s">
        <v>325</v>
      </c>
      <c r="AX50" s="27" t="s">
        <v>91</v>
      </c>
      <c r="AY50" s="27"/>
      <c r="AZ50" s="32"/>
      <c r="BA50" s="41"/>
    </row>
    <row r="51" spans="1:53" x14ac:dyDescent="0.2">
      <c r="A51" s="25">
        <v>42</v>
      </c>
      <c r="B51" s="26">
        <v>45428</v>
      </c>
      <c r="C51" s="27"/>
      <c r="D51" s="25"/>
      <c r="E51" s="28"/>
      <c r="F51" s="27"/>
      <c r="G51" s="28"/>
      <c r="H51" s="27"/>
      <c r="I51" s="28"/>
      <c r="J51" s="202">
        <v>45357</v>
      </c>
      <c r="K51" s="29" t="s">
        <v>35</v>
      </c>
      <c r="L51" s="39"/>
      <c r="M51" s="31"/>
      <c r="N51" s="27" t="s">
        <v>272</v>
      </c>
      <c r="P51" s="32"/>
      <c r="Q51" s="25"/>
      <c r="R51" s="27"/>
      <c r="S51" s="27"/>
      <c r="T51" s="28"/>
      <c r="U51" s="27"/>
      <c r="V51" s="27" t="s">
        <v>154</v>
      </c>
      <c r="W51" s="28"/>
      <c r="X51" s="33"/>
      <c r="Y51" s="32"/>
      <c r="Z51" s="25"/>
      <c r="AA51" s="27"/>
      <c r="AB51" s="28"/>
      <c r="AC51" s="27"/>
      <c r="AD51" s="27"/>
      <c r="AE51" s="33"/>
      <c r="AG51" s="25"/>
      <c r="AH51" s="34"/>
      <c r="AI51" s="27"/>
      <c r="AJ51" s="27"/>
      <c r="AK51" s="27"/>
      <c r="AL51" s="25"/>
      <c r="AM51" s="34"/>
      <c r="AN51" s="27"/>
      <c r="AO51" s="27"/>
      <c r="AP51" s="36"/>
      <c r="AQ51" s="37"/>
      <c r="AR51" s="32"/>
      <c r="AS51" s="25" t="s">
        <v>79</v>
      </c>
      <c r="AT51" s="27" t="s">
        <v>52</v>
      </c>
      <c r="AU51" s="27"/>
      <c r="AW51" s="27" t="s">
        <v>325</v>
      </c>
      <c r="AX51" s="27" t="s">
        <v>91</v>
      </c>
      <c r="AY51" s="27"/>
      <c r="AZ51" s="32"/>
      <c r="BA51" s="41"/>
    </row>
    <row r="52" spans="1:53" ht="16" thickBot="1" x14ac:dyDescent="0.25">
      <c r="A52" s="25">
        <v>43</v>
      </c>
      <c r="B52" s="26">
        <v>45429</v>
      </c>
      <c r="C52" s="27"/>
      <c r="D52" s="25"/>
      <c r="E52" s="28"/>
      <c r="F52" s="27"/>
      <c r="G52" s="28"/>
      <c r="H52" s="27"/>
      <c r="I52" s="28"/>
      <c r="J52" s="202">
        <v>45357</v>
      </c>
      <c r="K52" s="29" t="s">
        <v>35</v>
      </c>
      <c r="L52" s="39"/>
      <c r="M52" s="31"/>
      <c r="N52" s="27" t="s">
        <v>272</v>
      </c>
      <c r="P52" s="32"/>
      <c r="Q52" s="25"/>
      <c r="R52" s="27"/>
      <c r="S52" s="27"/>
      <c r="T52" s="28"/>
      <c r="U52" s="27"/>
      <c r="V52" s="27" t="s">
        <v>154</v>
      </c>
      <c r="W52" s="28"/>
      <c r="X52" s="33"/>
      <c r="Y52" s="32"/>
      <c r="Z52" s="25"/>
      <c r="AA52" s="27"/>
      <c r="AB52" s="28"/>
      <c r="AC52" s="27"/>
      <c r="AD52" s="27"/>
      <c r="AE52" s="33"/>
      <c r="AG52" s="25"/>
      <c r="AH52" s="34"/>
      <c r="AI52" s="27"/>
      <c r="AJ52" s="27"/>
      <c r="AK52" s="27"/>
      <c r="AL52" s="25"/>
      <c r="AM52" s="34"/>
      <c r="AN52" s="27"/>
      <c r="AO52" s="27"/>
      <c r="AP52" s="36"/>
      <c r="AQ52" s="37"/>
      <c r="AR52" s="32"/>
      <c r="AS52" s="25" t="s">
        <v>79</v>
      </c>
      <c r="AT52" s="27" t="s">
        <v>52</v>
      </c>
      <c r="AU52" s="27"/>
      <c r="AW52" s="27" t="s">
        <v>325</v>
      </c>
      <c r="AX52" s="27" t="s">
        <v>91</v>
      </c>
      <c r="AY52" s="27"/>
      <c r="AZ52" s="32"/>
      <c r="BA52" s="41"/>
    </row>
    <row r="53" spans="1:53" ht="16" thickBot="1" x14ac:dyDescent="0.25">
      <c r="A53" s="25">
        <v>44</v>
      </c>
      <c r="B53" s="26">
        <v>45430</v>
      </c>
      <c r="C53" s="27"/>
      <c r="D53" s="25"/>
      <c r="E53" s="28"/>
      <c r="F53" s="27"/>
      <c r="G53" s="28"/>
      <c r="H53" s="27"/>
      <c r="I53" s="28"/>
      <c r="J53" s="202">
        <v>45357</v>
      </c>
      <c r="K53" s="29" t="s">
        <v>35</v>
      </c>
      <c r="L53" s="39"/>
      <c r="M53" s="31"/>
      <c r="N53" s="27" t="s">
        <v>272</v>
      </c>
      <c r="P53" s="32"/>
      <c r="Q53" s="27"/>
      <c r="R53" s="27"/>
      <c r="S53" s="27"/>
      <c r="T53" s="28"/>
      <c r="U53" s="27"/>
      <c r="V53" s="27" t="s">
        <v>154</v>
      </c>
      <c r="W53" s="28"/>
      <c r="X53" s="33"/>
      <c r="Y53" s="32"/>
      <c r="Z53" s="59"/>
      <c r="AA53" s="60"/>
      <c r="AB53" s="61"/>
      <c r="AC53" s="27"/>
      <c r="AD53" s="27"/>
      <c r="AE53" s="33"/>
      <c r="AG53" s="25"/>
      <c r="AH53" s="34"/>
      <c r="AI53" s="27"/>
      <c r="AJ53" s="27"/>
      <c r="AK53" s="27"/>
      <c r="AL53" s="25"/>
      <c r="AM53" s="34"/>
      <c r="AN53" s="27"/>
      <c r="AO53" s="27"/>
      <c r="AP53" s="36"/>
      <c r="AQ53" s="37"/>
      <c r="AR53" s="32"/>
      <c r="AS53" s="25" t="s">
        <v>79</v>
      </c>
      <c r="AT53" s="27" t="s">
        <v>52</v>
      </c>
      <c r="AU53" s="58" t="s">
        <v>81</v>
      </c>
      <c r="AW53" s="27" t="s">
        <v>325</v>
      </c>
      <c r="AX53" s="27" t="s">
        <v>303</v>
      </c>
      <c r="AY53" s="27"/>
      <c r="AZ53" s="32"/>
      <c r="BA53" s="41"/>
    </row>
    <row r="54" spans="1:53" x14ac:dyDescent="0.2">
      <c r="A54" s="25">
        <v>45</v>
      </c>
      <c r="B54" s="26">
        <v>45431</v>
      </c>
      <c r="C54" s="27"/>
      <c r="D54" s="25"/>
      <c r="E54" s="28"/>
      <c r="F54" s="27"/>
      <c r="G54" s="28"/>
      <c r="H54" s="27"/>
      <c r="I54" s="28"/>
      <c r="J54" s="202">
        <v>45357</v>
      </c>
      <c r="K54" s="29" t="s">
        <v>35</v>
      </c>
      <c r="L54" s="39"/>
      <c r="M54" s="31"/>
      <c r="N54" s="27" t="s">
        <v>272</v>
      </c>
      <c r="P54" s="32"/>
      <c r="Q54" s="25"/>
      <c r="R54" s="27"/>
      <c r="S54" s="27"/>
      <c r="T54" s="28"/>
      <c r="U54" s="27"/>
      <c r="V54" s="27" t="s">
        <v>154</v>
      </c>
      <c r="W54" s="28"/>
      <c r="X54" s="33"/>
      <c r="Y54" s="32"/>
      <c r="Z54" s="25"/>
      <c r="AA54" s="27"/>
      <c r="AB54" s="28"/>
      <c r="AC54" s="27"/>
      <c r="AD54" s="27"/>
      <c r="AE54" s="33"/>
      <c r="AG54" s="25"/>
      <c r="AH54" s="34"/>
      <c r="AI54" s="27"/>
      <c r="AJ54" s="27"/>
      <c r="AK54" s="27"/>
      <c r="AL54" s="25"/>
      <c r="AM54" s="34"/>
      <c r="AN54" s="27"/>
      <c r="AO54" s="27"/>
      <c r="AP54" s="36"/>
      <c r="AQ54" s="37"/>
      <c r="AR54" s="32"/>
      <c r="AS54" s="25" t="s">
        <v>82</v>
      </c>
      <c r="AT54" s="27" t="s">
        <v>52</v>
      </c>
      <c r="AW54" s="27" t="s">
        <v>325</v>
      </c>
      <c r="AX54" s="27" t="s">
        <v>303</v>
      </c>
      <c r="AY54" s="27"/>
      <c r="AZ54" s="32"/>
      <c r="BA54" s="41"/>
    </row>
    <row r="55" spans="1:53" x14ac:dyDescent="0.2">
      <c r="A55" s="25">
        <v>46</v>
      </c>
      <c r="B55" s="26">
        <v>45432</v>
      </c>
      <c r="C55" s="27"/>
      <c r="D55" s="25"/>
      <c r="E55" s="28"/>
      <c r="F55" s="27"/>
      <c r="G55" s="28"/>
      <c r="H55" s="27"/>
      <c r="I55" s="28"/>
      <c r="J55" s="202">
        <v>45357</v>
      </c>
      <c r="K55" s="29" t="s">
        <v>35</v>
      </c>
      <c r="L55" s="39"/>
      <c r="M55" s="31"/>
      <c r="N55" s="27" t="s">
        <v>272</v>
      </c>
      <c r="P55" s="32"/>
      <c r="Q55" s="25"/>
      <c r="R55" s="27"/>
      <c r="S55" s="27"/>
      <c r="T55" s="28"/>
      <c r="U55" s="27"/>
      <c r="V55" s="27" t="s">
        <v>154</v>
      </c>
      <c r="W55" s="28"/>
      <c r="X55" s="33"/>
      <c r="Y55" s="32"/>
      <c r="Z55" s="25"/>
      <c r="AA55" s="27"/>
      <c r="AB55" s="28"/>
      <c r="AC55" s="27"/>
      <c r="AD55" s="27"/>
      <c r="AE55" s="33"/>
      <c r="AG55" s="25"/>
      <c r="AH55" s="34"/>
      <c r="AI55" s="27"/>
      <c r="AJ55" s="27"/>
      <c r="AK55" s="27"/>
      <c r="AL55" s="25"/>
      <c r="AM55" s="34"/>
      <c r="AN55" s="27"/>
      <c r="AO55" s="27"/>
      <c r="AP55" s="36"/>
      <c r="AQ55" s="37"/>
      <c r="AR55" s="32"/>
      <c r="AS55" s="25" t="s">
        <v>82</v>
      </c>
      <c r="AT55" s="27" t="s">
        <v>52</v>
      </c>
      <c r="AU55" s="27"/>
      <c r="AW55" s="27" t="s">
        <v>325</v>
      </c>
      <c r="AX55" s="27" t="s">
        <v>303</v>
      </c>
      <c r="AY55" s="27"/>
      <c r="AZ55" s="32"/>
      <c r="BA55" s="41"/>
    </row>
    <row r="56" spans="1:53" x14ac:dyDescent="0.2">
      <c r="A56" s="25">
        <v>47</v>
      </c>
      <c r="B56" s="26">
        <v>45433</v>
      </c>
      <c r="C56" s="27"/>
      <c r="D56" s="25"/>
      <c r="E56" s="28"/>
      <c r="F56" s="27"/>
      <c r="G56" s="28"/>
      <c r="H56" s="27"/>
      <c r="I56" s="28"/>
      <c r="J56" s="202">
        <v>45357</v>
      </c>
      <c r="K56" s="29" t="s">
        <v>35</v>
      </c>
      <c r="L56" s="39"/>
      <c r="M56" s="31"/>
      <c r="N56" s="27" t="s">
        <v>272</v>
      </c>
      <c r="P56" s="32"/>
      <c r="Q56" s="25"/>
      <c r="R56" s="27"/>
      <c r="S56" s="27"/>
      <c r="T56" s="28"/>
      <c r="U56" s="27"/>
      <c r="V56" s="27" t="s">
        <v>154</v>
      </c>
      <c r="W56" s="28"/>
      <c r="X56" s="33"/>
      <c r="Y56" s="32"/>
      <c r="Z56" s="25"/>
      <c r="AA56" s="27"/>
      <c r="AB56" s="28"/>
      <c r="AC56" s="27"/>
      <c r="AD56" s="27"/>
      <c r="AE56" s="33"/>
      <c r="AG56" s="25"/>
      <c r="AH56" s="34"/>
      <c r="AI56" s="27"/>
      <c r="AJ56" s="27"/>
      <c r="AK56" s="27"/>
      <c r="AL56" s="25"/>
      <c r="AM56" s="34"/>
      <c r="AN56" s="27"/>
      <c r="AO56" s="27"/>
      <c r="AP56" s="36"/>
      <c r="AQ56" s="37"/>
      <c r="AR56" s="32"/>
      <c r="AS56" s="25" t="s">
        <v>82</v>
      </c>
      <c r="AT56" s="27" t="s">
        <v>52</v>
      </c>
      <c r="AU56" s="27"/>
      <c r="AW56" s="27" t="s">
        <v>325</v>
      </c>
      <c r="AX56" s="27" t="s">
        <v>303</v>
      </c>
      <c r="AY56" s="27"/>
      <c r="AZ56" s="32"/>
      <c r="BA56" s="41"/>
    </row>
    <row r="57" spans="1:53" x14ac:dyDescent="0.2">
      <c r="A57" s="25">
        <v>48</v>
      </c>
      <c r="B57" s="26">
        <v>45434</v>
      </c>
      <c r="C57" s="27"/>
      <c r="D57" s="25"/>
      <c r="E57" s="28"/>
      <c r="F57" s="27"/>
      <c r="G57" s="28"/>
      <c r="H57" s="27"/>
      <c r="I57" s="28"/>
      <c r="J57" s="202">
        <v>45357</v>
      </c>
      <c r="K57" s="29" t="s">
        <v>35</v>
      </c>
      <c r="M57" s="31"/>
      <c r="N57" s="27" t="s">
        <v>272</v>
      </c>
      <c r="P57" s="32"/>
      <c r="Q57" s="25"/>
      <c r="R57" s="27"/>
      <c r="S57" s="27"/>
      <c r="T57" s="28"/>
      <c r="U57" s="27"/>
      <c r="V57" s="27" t="s">
        <v>154</v>
      </c>
      <c r="W57" s="28"/>
      <c r="X57" s="33"/>
      <c r="Y57" s="32"/>
      <c r="Z57" s="25"/>
      <c r="AA57" s="27"/>
      <c r="AB57" s="28"/>
      <c r="AC57" s="27"/>
      <c r="AD57" s="27"/>
      <c r="AE57" s="33"/>
      <c r="AG57" s="25"/>
      <c r="AH57" s="34"/>
      <c r="AI57" s="27"/>
      <c r="AJ57" s="27"/>
      <c r="AK57" s="27"/>
      <c r="AL57" s="25"/>
      <c r="AM57" s="34"/>
      <c r="AN57" s="27"/>
      <c r="AO57" s="27"/>
      <c r="AP57" s="36"/>
      <c r="AQ57" s="37"/>
      <c r="AR57" s="32"/>
      <c r="AS57" s="25" t="s">
        <v>82</v>
      </c>
      <c r="AT57" s="27" t="s">
        <v>52</v>
      </c>
      <c r="AU57" s="27"/>
      <c r="AW57" s="27" t="s">
        <v>325</v>
      </c>
      <c r="AX57" s="27" t="s">
        <v>303</v>
      </c>
      <c r="AY57" s="27"/>
      <c r="AZ57" s="32"/>
      <c r="BA57" s="41"/>
    </row>
    <row r="58" spans="1:53" ht="16" thickBot="1" x14ac:dyDescent="0.25">
      <c r="A58" s="25">
        <v>49</v>
      </c>
      <c r="B58" s="26">
        <v>45435</v>
      </c>
      <c r="C58" s="27"/>
      <c r="D58" s="25"/>
      <c r="E58" s="28"/>
      <c r="F58" s="27"/>
      <c r="G58" s="28"/>
      <c r="H58" s="27"/>
      <c r="I58" s="28"/>
      <c r="J58" s="202">
        <v>45357</v>
      </c>
      <c r="K58" s="29" t="s">
        <v>35</v>
      </c>
      <c r="L58" s="39"/>
      <c r="M58" s="31"/>
      <c r="N58" s="27" t="s">
        <v>272</v>
      </c>
      <c r="P58" s="32"/>
      <c r="Q58" s="25"/>
      <c r="R58" s="27"/>
      <c r="S58" s="27"/>
      <c r="T58" s="28"/>
      <c r="U58" s="27"/>
      <c r="V58" s="27" t="s">
        <v>154</v>
      </c>
      <c r="W58" s="28"/>
      <c r="X58" s="33"/>
      <c r="Y58" s="32"/>
      <c r="Z58" s="25"/>
      <c r="AA58" s="27"/>
      <c r="AB58" s="28"/>
      <c r="AC58" s="27"/>
      <c r="AD58" s="27"/>
      <c r="AE58" s="33"/>
      <c r="AG58" s="25"/>
      <c r="AH58" s="34"/>
      <c r="AI58" s="27"/>
      <c r="AJ58" s="27"/>
      <c r="AK58" s="27"/>
      <c r="AL58" s="25"/>
      <c r="AM58" s="34"/>
      <c r="AN58" s="27"/>
      <c r="AO58" s="27"/>
      <c r="AP58" s="36"/>
      <c r="AQ58" s="37"/>
      <c r="AR58" s="32"/>
      <c r="AS58" s="25" t="s">
        <v>82</v>
      </c>
      <c r="AT58" s="27" t="s">
        <v>52</v>
      </c>
      <c r="AU58" s="27"/>
      <c r="AW58" s="27" t="s">
        <v>325</v>
      </c>
      <c r="AX58" s="27" t="s">
        <v>303</v>
      </c>
      <c r="AY58" s="27"/>
      <c r="AZ58" s="32"/>
      <c r="BA58" s="41"/>
    </row>
    <row r="59" spans="1:53" ht="16" thickBot="1" x14ac:dyDescent="0.25">
      <c r="A59" s="25">
        <v>50</v>
      </c>
      <c r="B59" s="26">
        <v>45436</v>
      </c>
      <c r="C59" s="27"/>
      <c r="D59" s="25"/>
      <c r="E59" s="28"/>
      <c r="F59" s="27"/>
      <c r="G59" s="28"/>
      <c r="H59" s="27"/>
      <c r="I59" s="28"/>
      <c r="J59" s="202">
        <v>45357</v>
      </c>
      <c r="K59" s="29" t="s">
        <v>35</v>
      </c>
      <c r="L59" s="44" t="s">
        <v>83</v>
      </c>
      <c r="M59" s="31"/>
      <c r="N59" s="27" t="s">
        <v>272</v>
      </c>
      <c r="O59" s="45" t="s">
        <v>349</v>
      </c>
      <c r="P59" s="46" t="s">
        <v>61</v>
      </c>
      <c r="Q59" s="25"/>
      <c r="R59" s="27"/>
      <c r="S59" s="27"/>
      <c r="T59" s="28"/>
      <c r="U59" s="27"/>
      <c r="V59" s="27" t="s">
        <v>154</v>
      </c>
      <c r="W59" s="28"/>
      <c r="X59" s="33"/>
      <c r="Y59" s="32"/>
      <c r="Z59" s="25"/>
      <c r="AA59" s="27"/>
      <c r="AB59" s="28"/>
      <c r="AC59" s="27"/>
      <c r="AD59" s="27"/>
      <c r="AE59" s="33"/>
      <c r="AG59" s="25"/>
      <c r="AH59" s="34"/>
      <c r="AI59" s="27"/>
      <c r="AJ59" s="27"/>
      <c r="AK59" s="27"/>
      <c r="AL59" s="25"/>
      <c r="AM59" s="34"/>
      <c r="AN59" s="27"/>
      <c r="AO59" s="27"/>
      <c r="AP59" s="36"/>
      <c r="AQ59" s="37"/>
      <c r="AR59" s="32"/>
      <c r="AS59" s="25" t="s">
        <v>86</v>
      </c>
      <c r="AT59" s="27" t="s">
        <v>87</v>
      </c>
      <c r="AU59" s="58" t="s">
        <v>88</v>
      </c>
      <c r="AW59" s="27" t="s">
        <v>325</v>
      </c>
      <c r="AX59" s="27" t="s">
        <v>303</v>
      </c>
      <c r="AY59" s="27"/>
      <c r="AZ59" s="32"/>
      <c r="BA59" s="41"/>
    </row>
    <row r="60" spans="1:53" ht="16" thickBot="1" x14ac:dyDescent="0.25">
      <c r="A60" s="25">
        <v>51</v>
      </c>
      <c r="B60" s="26">
        <v>45437</v>
      </c>
      <c r="C60" s="27"/>
      <c r="D60" s="25"/>
      <c r="E60" s="28"/>
      <c r="F60" s="27"/>
      <c r="G60" s="28"/>
      <c r="H60" s="27"/>
      <c r="I60" s="28"/>
      <c r="J60" s="27">
        <v>8</v>
      </c>
      <c r="K60" s="29" t="s">
        <v>35</v>
      </c>
      <c r="L60" s="88" t="s">
        <v>348</v>
      </c>
      <c r="M60" s="31"/>
      <c r="N60" s="27"/>
      <c r="P60" s="46"/>
      <c r="Q60" s="27"/>
      <c r="R60" s="27"/>
      <c r="S60" s="27"/>
      <c r="T60" s="28"/>
      <c r="U60" s="27"/>
      <c r="V60" s="27" t="s">
        <v>154</v>
      </c>
      <c r="W60" s="28"/>
      <c r="X60" s="33"/>
      <c r="Y60" s="32"/>
      <c r="Z60" s="25"/>
      <c r="AA60" s="27"/>
      <c r="AB60" s="28"/>
      <c r="AC60" s="27"/>
      <c r="AD60" s="27"/>
      <c r="AE60" s="33"/>
      <c r="AG60" s="25"/>
      <c r="AH60" s="34"/>
      <c r="AI60" s="27"/>
      <c r="AJ60" s="27"/>
      <c r="AK60" s="27"/>
      <c r="AL60" s="25"/>
      <c r="AM60" s="34"/>
      <c r="AN60" s="27"/>
      <c r="AO60" s="27"/>
      <c r="AP60" s="36"/>
      <c r="AQ60" s="37"/>
      <c r="AR60" s="32"/>
      <c r="AS60" s="25" t="s">
        <v>86</v>
      </c>
      <c r="AT60" s="27" t="s">
        <v>87</v>
      </c>
      <c r="AU60" s="27"/>
      <c r="AW60" s="27" t="s">
        <v>325</v>
      </c>
      <c r="AX60" s="27" t="s">
        <v>303</v>
      </c>
      <c r="AY60" s="27"/>
      <c r="AZ60" s="32"/>
      <c r="BA60" s="41"/>
    </row>
    <row r="61" spans="1:53" ht="16" thickBot="1" x14ac:dyDescent="0.25">
      <c r="A61" s="25">
        <v>52</v>
      </c>
      <c r="B61" s="26">
        <v>45438</v>
      </c>
      <c r="C61" s="27"/>
      <c r="D61" s="25"/>
      <c r="E61" s="28"/>
      <c r="F61" s="27"/>
      <c r="G61" s="28"/>
      <c r="H61" s="27"/>
      <c r="I61" s="28"/>
      <c r="J61" s="27">
        <v>8</v>
      </c>
      <c r="K61" s="29" t="s">
        <v>35</v>
      </c>
      <c r="L61" s="39"/>
      <c r="M61" s="31"/>
      <c r="N61" s="27"/>
      <c r="P61" s="32"/>
      <c r="Q61" s="25"/>
      <c r="R61" s="27"/>
      <c r="S61" s="27"/>
      <c r="T61" s="28"/>
      <c r="U61" s="27"/>
      <c r="V61" s="27" t="s">
        <v>154</v>
      </c>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W61" s="27" t="s">
        <v>325</v>
      </c>
      <c r="AX61" s="27" t="s">
        <v>303</v>
      </c>
      <c r="AY61" s="27"/>
      <c r="AZ61" s="32"/>
      <c r="BA61" s="41"/>
    </row>
    <row r="62" spans="1:53" ht="16" thickBot="1" x14ac:dyDescent="0.25">
      <c r="A62" s="25">
        <v>53</v>
      </c>
      <c r="B62" s="26">
        <v>45439</v>
      </c>
      <c r="C62" s="27"/>
      <c r="D62" s="25"/>
      <c r="E62" s="28"/>
      <c r="F62" s="27"/>
      <c r="G62" s="28"/>
      <c r="H62" s="27"/>
      <c r="I62" s="28"/>
      <c r="J62" s="27">
        <v>8</v>
      </c>
      <c r="K62" s="29" t="s">
        <v>35</v>
      </c>
      <c r="L62" s="39"/>
      <c r="M62" s="31"/>
      <c r="N62" s="27"/>
      <c r="P62" s="32"/>
      <c r="Q62" s="25"/>
      <c r="R62" s="27"/>
      <c r="S62" s="27"/>
      <c r="T62" s="28"/>
      <c r="U62" s="27"/>
      <c r="V62" s="27" t="s">
        <v>154</v>
      </c>
      <c r="W62" s="28"/>
      <c r="X62" s="33"/>
      <c r="Y62" s="32"/>
      <c r="Z62" s="25"/>
      <c r="AA62" s="27"/>
      <c r="AB62" s="28"/>
      <c r="AC62" s="27"/>
      <c r="AD62" s="27"/>
      <c r="AE62" s="33"/>
      <c r="AG62" s="25"/>
      <c r="AH62" s="34"/>
      <c r="AI62" s="27"/>
      <c r="AJ62" s="27"/>
      <c r="AK62" s="27"/>
      <c r="AL62" s="25"/>
      <c r="AM62" s="34"/>
      <c r="AN62" s="27"/>
      <c r="AO62" s="27"/>
      <c r="AP62" s="36"/>
      <c r="AQ62" s="37"/>
      <c r="AR62" s="32"/>
      <c r="AS62" s="25" t="s">
        <v>86</v>
      </c>
      <c r="AT62" s="27" t="s">
        <v>87</v>
      </c>
      <c r="AU62" s="27"/>
      <c r="AW62" s="25" t="s">
        <v>341</v>
      </c>
      <c r="AX62" s="27" t="s">
        <v>91</v>
      </c>
      <c r="AY62" s="89" t="s">
        <v>92</v>
      </c>
      <c r="AZ62" s="32"/>
      <c r="BA62" s="41"/>
    </row>
    <row r="63" spans="1:53" ht="16" thickBot="1" x14ac:dyDescent="0.25">
      <c r="A63" s="25">
        <v>54</v>
      </c>
      <c r="B63" s="26">
        <v>45440</v>
      </c>
      <c r="C63" s="27"/>
      <c r="D63" s="25"/>
      <c r="E63" s="28"/>
      <c r="F63" s="27"/>
      <c r="G63" s="28"/>
      <c r="H63" s="27"/>
      <c r="I63" s="28"/>
      <c r="J63" s="27">
        <v>8</v>
      </c>
      <c r="K63" s="29" t="s">
        <v>35</v>
      </c>
      <c r="L63" s="39"/>
      <c r="M63" s="31"/>
      <c r="N63" s="27"/>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c r="AO63" s="27"/>
      <c r="AP63" s="36"/>
      <c r="AQ63" s="37"/>
      <c r="AR63" s="32"/>
      <c r="AS63" s="25" t="s">
        <v>86</v>
      </c>
      <c r="AT63" s="27" t="s">
        <v>87</v>
      </c>
      <c r="AU63" s="27"/>
      <c r="AW63" s="25" t="s">
        <v>341</v>
      </c>
      <c r="AX63" s="27" t="s">
        <v>91</v>
      </c>
      <c r="AY63" s="27"/>
      <c r="AZ63" s="32"/>
      <c r="BA63" s="41"/>
    </row>
    <row r="64" spans="1:53" ht="16" thickBot="1" x14ac:dyDescent="0.25">
      <c r="A64" s="25">
        <v>55</v>
      </c>
      <c r="B64" s="26">
        <v>45441</v>
      </c>
      <c r="C64" s="27"/>
      <c r="D64" s="25"/>
      <c r="E64" s="28"/>
      <c r="F64" s="27"/>
      <c r="G64" s="28"/>
      <c r="H64" s="27"/>
      <c r="I64" s="28"/>
      <c r="J64" s="27">
        <v>8</v>
      </c>
      <c r="K64" s="29" t="s">
        <v>35</v>
      </c>
      <c r="L64" s="39"/>
      <c r="M64" s="31"/>
      <c r="N64" s="27"/>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c r="AO64" s="27"/>
      <c r="AP64" s="36"/>
      <c r="AQ64" s="82"/>
      <c r="AR64" s="32"/>
      <c r="AS64" s="25" t="s">
        <v>86</v>
      </c>
      <c r="AT64" s="27" t="s">
        <v>87</v>
      </c>
      <c r="AW64" s="25" t="s">
        <v>341</v>
      </c>
      <c r="AX64" s="27" t="s">
        <v>91</v>
      </c>
      <c r="AY64" s="27"/>
      <c r="AZ64" s="32"/>
      <c r="BA64" s="41"/>
    </row>
    <row r="65" spans="1:53" x14ac:dyDescent="0.2">
      <c r="A65" s="25">
        <v>56</v>
      </c>
      <c r="B65" s="26">
        <v>45442</v>
      </c>
      <c r="C65" s="27"/>
      <c r="D65" s="25"/>
      <c r="E65" s="28"/>
      <c r="F65" s="27"/>
      <c r="G65" s="28"/>
      <c r="H65" s="27"/>
      <c r="I65" s="28"/>
      <c r="J65" s="27">
        <v>8</v>
      </c>
      <c r="K65" s="29" t="s">
        <v>35</v>
      </c>
      <c r="L65" s="39"/>
      <c r="M65" s="31"/>
      <c r="N65" s="27"/>
      <c r="P65" s="32"/>
      <c r="Q65" s="25"/>
      <c r="R65" s="27"/>
      <c r="S65" s="27"/>
      <c r="T65" s="28"/>
      <c r="U65" s="27"/>
      <c r="V65" s="27" t="s">
        <v>154</v>
      </c>
      <c r="W65" s="28"/>
      <c r="X65" s="33"/>
      <c r="Y65" s="32"/>
      <c r="Z65" s="25"/>
      <c r="AA65" s="27"/>
      <c r="AB65" s="28"/>
      <c r="AC65" s="27"/>
      <c r="AD65" s="27"/>
      <c r="AE65" s="33"/>
      <c r="AG65" s="25"/>
      <c r="AH65" s="34"/>
      <c r="AI65" s="27"/>
      <c r="AJ65" s="27"/>
      <c r="AK65" s="27"/>
      <c r="AL65" s="25"/>
      <c r="AM65" s="34"/>
      <c r="AN65" s="27"/>
      <c r="AO65" s="27"/>
      <c r="AP65" s="36"/>
      <c r="AQ65" s="37"/>
      <c r="AR65" s="32"/>
      <c r="AS65" s="25" t="s">
        <v>86</v>
      </c>
      <c r="AT65" s="27" t="s">
        <v>87</v>
      </c>
      <c r="AU65" s="27"/>
      <c r="AW65" s="25" t="s">
        <v>341</v>
      </c>
      <c r="AX65" s="27" t="s">
        <v>91</v>
      </c>
      <c r="AY65" s="27"/>
      <c r="AZ65" s="32"/>
      <c r="BA65" s="41"/>
    </row>
    <row r="66" spans="1:53" ht="16" thickBot="1" x14ac:dyDescent="0.25">
      <c r="A66" s="25">
        <v>57</v>
      </c>
      <c r="B66" s="26">
        <v>45443</v>
      </c>
      <c r="C66" s="27"/>
      <c r="D66" s="25"/>
      <c r="E66" s="28"/>
      <c r="F66" s="27"/>
      <c r="G66" s="28"/>
      <c r="H66" s="27"/>
      <c r="I66" s="28"/>
      <c r="J66" s="27">
        <v>8</v>
      </c>
      <c r="K66" s="29" t="s">
        <v>35</v>
      </c>
      <c r="L66" s="39"/>
      <c r="M66" s="31"/>
      <c r="N66" s="27"/>
      <c r="P66" s="32"/>
      <c r="Q66" s="25"/>
      <c r="R66" s="27"/>
      <c r="S66" s="27"/>
      <c r="T66" s="28"/>
      <c r="U66" s="27"/>
      <c r="V66" s="27" t="s">
        <v>154</v>
      </c>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27"/>
      <c r="AW66" s="25" t="s">
        <v>341</v>
      </c>
      <c r="AX66" s="27" t="s">
        <v>91</v>
      </c>
      <c r="AY66" s="27"/>
      <c r="AZ66" s="32"/>
      <c r="BA66" s="41"/>
    </row>
    <row r="67" spans="1:53" ht="16" thickBot="1" x14ac:dyDescent="0.25">
      <c r="A67" s="25">
        <v>58</v>
      </c>
      <c r="B67" s="26">
        <v>45444</v>
      </c>
      <c r="C67" s="27"/>
      <c r="D67" s="25"/>
      <c r="E67" s="28"/>
      <c r="F67" s="27"/>
      <c r="G67" s="28"/>
      <c r="H67" s="27"/>
      <c r="I67" s="28"/>
      <c r="J67" s="27">
        <v>8</v>
      </c>
      <c r="K67" s="29" t="s">
        <v>35</v>
      </c>
      <c r="L67" s="39"/>
      <c r="M67" s="31"/>
      <c r="N67" s="27"/>
      <c r="P67" s="32"/>
      <c r="Q67" s="25"/>
      <c r="R67" s="27"/>
      <c r="S67" s="27"/>
      <c r="T67" s="28"/>
      <c r="U67" s="27"/>
      <c r="V67" s="27" t="s">
        <v>154</v>
      </c>
      <c r="W67" s="28"/>
      <c r="X67" s="33"/>
      <c r="Y67" s="32"/>
      <c r="Z67" s="25"/>
      <c r="AA67" s="27"/>
      <c r="AB67" s="28"/>
      <c r="AC67" s="27"/>
      <c r="AD67" s="27"/>
      <c r="AE67" s="33"/>
      <c r="AG67" s="25"/>
      <c r="AH67" s="34"/>
      <c r="AI67" s="27"/>
      <c r="AJ67" s="27"/>
      <c r="AK67" s="27"/>
      <c r="AL67" s="25"/>
      <c r="AM67" s="34"/>
      <c r="AN67" s="27"/>
      <c r="AO67" s="27"/>
      <c r="AP67" s="36"/>
      <c r="AQ67" s="37"/>
      <c r="AR67" s="32"/>
      <c r="AS67" s="25" t="s">
        <v>86</v>
      </c>
      <c r="AT67" s="27" t="s">
        <v>87</v>
      </c>
      <c r="AU67" s="27"/>
      <c r="AW67" s="25" t="s">
        <v>90</v>
      </c>
      <c r="AX67" s="27" t="s">
        <v>91</v>
      </c>
      <c r="AY67" s="89" t="s">
        <v>94</v>
      </c>
      <c r="AZ67" s="32"/>
      <c r="BA67" s="41"/>
    </row>
    <row r="68" spans="1:53" ht="16" thickBot="1" x14ac:dyDescent="0.25">
      <c r="A68" s="25">
        <v>59</v>
      </c>
      <c r="B68" s="26">
        <v>45445</v>
      </c>
      <c r="C68" s="27"/>
      <c r="D68" s="25"/>
      <c r="E68" s="28"/>
      <c r="F68" s="27"/>
      <c r="G68" s="28"/>
      <c r="H68" s="27"/>
      <c r="I68" s="28"/>
      <c r="J68" s="27">
        <v>8</v>
      </c>
      <c r="K68" s="29" t="s">
        <v>35</v>
      </c>
      <c r="L68" s="39"/>
      <c r="M68" s="31"/>
      <c r="N68" s="27"/>
      <c r="P68" s="32"/>
      <c r="Q68" s="25"/>
      <c r="R68" s="27"/>
      <c r="S68" s="27"/>
      <c r="T68" s="28"/>
      <c r="U68" s="27"/>
      <c r="V68" s="27" t="s">
        <v>154</v>
      </c>
      <c r="W68" s="28"/>
      <c r="X68" s="33"/>
      <c r="Y68" s="32"/>
      <c r="Z68" s="25"/>
      <c r="AA68" s="27"/>
      <c r="AB68" s="28"/>
      <c r="AC68" s="27"/>
      <c r="AD68" s="27"/>
      <c r="AE68" s="33"/>
      <c r="AG68" s="25"/>
      <c r="AH68" s="34"/>
      <c r="AI68" s="27"/>
      <c r="AJ68" s="27"/>
      <c r="AK68" s="27"/>
      <c r="AL68" s="25"/>
      <c r="AM68" s="34"/>
      <c r="AN68" s="27"/>
      <c r="AO68" s="27"/>
      <c r="AP68" s="36"/>
      <c r="AQ68" s="37"/>
      <c r="AR68" s="32"/>
      <c r="AS68" s="25" t="s">
        <v>86</v>
      </c>
      <c r="AT68" s="27" t="s">
        <v>87</v>
      </c>
      <c r="AU68" s="27"/>
      <c r="AW68" s="25" t="s">
        <v>90</v>
      </c>
      <c r="AX68" s="27" t="s">
        <v>95</v>
      </c>
      <c r="AY68" s="27"/>
      <c r="AZ68" s="32"/>
      <c r="BA68" s="41"/>
    </row>
    <row r="69" spans="1:53" ht="16" thickBot="1" x14ac:dyDescent="0.25">
      <c r="A69" s="25">
        <v>60</v>
      </c>
      <c r="B69" s="26">
        <v>45446</v>
      </c>
      <c r="C69" s="27"/>
      <c r="D69" s="25"/>
      <c r="E69" s="28"/>
      <c r="F69" s="27"/>
      <c r="G69" s="28"/>
      <c r="H69" s="27"/>
      <c r="I69" s="28"/>
      <c r="J69" s="27">
        <v>8</v>
      </c>
      <c r="K69" s="29" t="s">
        <v>35</v>
      </c>
      <c r="L69" s="39"/>
      <c r="M69" s="31"/>
      <c r="N69" s="27"/>
      <c r="P69" s="32"/>
      <c r="Q69" s="25"/>
      <c r="R69" s="27"/>
      <c r="S69" s="27"/>
      <c r="T69" s="28"/>
      <c r="U69" s="27"/>
      <c r="V69" s="27" t="s">
        <v>154</v>
      </c>
      <c r="W69" s="28"/>
      <c r="X69" s="33"/>
      <c r="Y69" s="32"/>
      <c r="Z69" s="25"/>
      <c r="AA69" s="27"/>
      <c r="AB69" s="28"/>
      <c r="AC69" s="27"/>
      <c r="AD69" s="27"/>
      <c r="AE69" s="33"/>
      <c r="AG69" s="25"/>
      <c r="AH69" s="34"/>
      <c r="AI69" s="27"/>
      <c r="AJ69" s="27"/>
      <c r="AK69" s="27"/>
      <c r="AL69" s="25"/>
      <c r="AM69" s="34"/>
      <c r="AN69" s="27"/>
      <c r="AO69" s="27"/>
      <c r="AP69" s="36"/>
      <c r="AQ69" s="37"/>
      <c r="AR69" s="32"/>
      <c r="AS69" s="25" t="s">
        <v>96</v>
      </c>
      <c r="AT69" s="27" t="s">
        <v>87</v>
      </c>
      <c r="AU69" s="58" t="s">
        <v>97</v>
      </c>
      <c r="AW69" s="25" t="s">
        <v>90</v>
      </c>
      <c r="AX69" s="27" t="s">
        <v>95</v>
      </c>
      <c r="AY69" s="27"/>
      <c r="AZ69" s="32"/>
      <c r="BA69" s="41"/>
    </row>
    <row r="70" spans="1:53" x14ac:dyDescent="0.2">
      <c r="A70" s="25">
        <v>61</v>
      </c>
      <c r="B70" s="26">
        <v>45447</v>
      </c>
      <c r="C70" s="27"/>
      <c r="D70" s="25"/>
      <c r="E70" s="28"/>
      <c r="F70" s="27"/>
      <c r="G70" s="28"/>
      <c r="H70" s="27"/>
      <c r="I70" s="28"/>
      <c r="J70" s="27">
        <v>8</v>
      </c>
      <c r="K70" s="29" t="s">
        <v>35</v>
      </c>
      <c r="L70" s="39"/>
      <c r="M70" s="31"/>
      <c r="N70" s="27"/>
      <c r="P70" s="32"/>
      <c r="Q70" s="25"/>
      <c r="R70" s="27"/>
      <c r="S70" s="27"/>
      <c r="T70" s="28"/>
      <c r="U70" s="27"/>
      <c r="V70" s="27" t="s">
        <v>154</v>
      </c>
      <c r="W70" s="28"/>
      <c r="X70" s="33"/>
      <c r="Y70" s="32"/>
      <c r="Z70" s="25"/>
      <c r="AA70" s="27"/>
      <c r="AB70" s="28"/>
      <c r="AC70" s="27"/>
      <c r="AD70" s="27"/>
      <c r="AE70" s="33"/>
      <c r="AG70" s="25"/>
      <c r="AH70" s="34"/>
      <c r="AI70" s="27"/>
      <c r="AJ70" s="27"/>
      <c r="AK70" s="27"/>
      <c r="AL70" s="25"/>
      <c r="AM70" s="34"/>
      <c r="AN70" s="27"/>
      <c r="AO70" s="27"/>
      <c r="AP70" s="36"/>
      <c r="AQ70" s="37"/>
      <c r="AR70" s="32"/>
      <c r="AS70" s="25" t="s">
        <v>96</v>
      </c>
      <c r="AT70" s="27" t="s">
        <v>87</v>
      </c>
      <c r="AU70" s="27"/>
      <c r="AW70" s="25" t="s">
        <v>90</v>
      </c>
      <c r="AX70" s="27" t="s">
        <v>95</v>
      </c>
      <c r="AY70" s="27"/>
      <c r="AZ70" s="32"/>
      <c r="BA70" s="41"/>
    </row>
    <row r="71" spans="1:53" x14ac:dyDescent="0.2">
      <c r="A71" s="25">
        <v>62</v>
      </c>
      <c r="B71" s="26">
        <v>45448</v>
      </c>
      <c r="C71" s="27"/>
      <c r="D71" s="25"/>
      <c r="E71" s="28"/>
      <c r="F71" s="27"/>
      <c r="G71" s="28"/>
      <c r="H71" s="27"/>
      <c r="I71" s="28"/>
      <c r="J71" s="27">
        <v>8</v>
      </c>
      <c r="K71" s="29" t="s">
        <v>35</v>
      </c>
      <c r="L71" s="39"/>
      <c r="M71" s="31"/>
      <c r="N71" s="27"/>
      <c r="P71" s="32"/>
      <c r="Q71" s="25"/>
      <c r="R71" s="27"/>
      <c r="S71" s="27"/>
      <c r="T71" s="28"/>
      <c r="U71" s="27"/>
      <c r="V71" s="27" t="s">
        <v>154</v>
      </c>
      <c r="W71" s="28"/>
      <c r="X71" s="33"/>
      <c r="Y71" s="32"/>
      <c r="Z71" s="25"/>
      <c r="AA71" s="27"/>
      <c r="AB71" s="28"/>
      <c r="AC71" s="27"/>
      <c r="AD71" s="27"/>
      <c r="AE71" s="33"/>
      <c r="AG71" s="25"/>
      <c r="AH71" s="34"/>
      <c r="AI71" s="27"/>
      <c r="AJ71" s="27"/>
      <c r="AK71" s="27"/>
      <c r="AL71" s="25"/>
      <c r="AM71" s="34"/>
      <c r="AN71" s="27"/>
      <c r="AO71" s="27"/>
      <c r="AP71" s="36"/>
      <c r="AQ71" s="37"/>
      <c r="AR71" s="32"/>
      <c r="AS71" s="25" t="s">
        <v>96</v>
      </c>
      <c r="AT71" s="27" t="s">
        <v>87</v>
      </c>
      <c r="AU71" s="27"/>
      <c r="AW71" s="25" t="s">
        <v>90</v>
      </c>
      <c r="AX71" s="27" t="s">
        <v>95</v>
      </c>
      <c r="AY71" s="27"/>
      <c r="AZ71" s="32"/>
      <c r="BA71" s="41"/>
    </row>
    <row r="72" spans="1:53" x14ac:dyDescent="0.2">
      <c r="A72" s="25">
        <v>63</v>
      </c>
      <c r="B72" s="26">
        <v>45449</v>
      </c>
      <c r="C72" s="27"/>
      <c r="D72" s="25"/>
      <c r="E72" s="28"/>
      <c r="F72" s="27"/>
      <c r="G72" s="28"/>
      <c r="H72" s="27"/>
      <c r="I72" s="28"/>
      <c r="J72" s="27">
        <v>8</v>
      </c>
      <c r="K72" s="29" t="s">
        <v>35</v>
      </c>
      <c r="L72" s="39"/>
      <c r="M72" s="31"/>
      <c r="N72" s="27"/>
      <c r="P72" s="32"/>
      <c r="Q72" s="25"/>
      <c r="R72" s="27"/>
      <c r="S72" s="27"/>
      <c r="T72" s="28"/>
      <c r="U72" s="27"/>
      <c r="V72" s="27" t="s">
        <v>154</v>
      </c>
      <c r="W72" s="28"/>
      <c r="X72" s="33"/>
      <c r="Y72" s="32"/>
      <c r="Z72" s="25"/>
      <c r="AA72" s="27"/>
      <c r="AB72" s="28"/>
      <c r="AC72" s="27"/>
      <c r="AD72" s="27"/>
      <c r="AE72" s="33"/>
      <c r="AG72" s="25"/>
      <c r="AH72" s="34"/>
      <c r="AI72" s="27"/>
      <c r="AJ72" s="27"/>
      <c r="AK72" s="27"/>
      <c r="AL72" s="25"/>
      <c r="AM72" s="34"/>
      <c r="AN72" s="27"/>
      <c r="AO72" s="27"/>
      <c r="AP72" s="36"/>
      <c r="AQ72" s="37"/>
      <c r="AR72" s="32"/>
      <c r="AS72" s="25" t="s">
        <v>96</v>
      </c>
      <c r="AT72" s="27" t="s">
        <v>87</v>
      </c>
      <c r="AU72" s="27"/>
      <c r="AW72" s="25" t="s">
        <v>90</v>
      </c>
      <c r="AX72" s="27" t="s">
        <v>95</v>
      </c>
      <c r="AY72" s="27"/>
      <c r="AZ72" s="32"/>
      <c r="BA72" s="41"/>
    </row>
    <row r="73" spans="1:53" x14ac:dyDescent="0.2">
      <c r="A73" s="25">
        <v>64</v>
      </c>
      <c r="B73" s="26">
        <v>45450</v>
      </c>
      <c r="C73" s="27"/>
      <c r="D73" s="25"/>
      <c r="E73" s="28"/>
      <c r="F73" s="27"/>
      <c r="G73" s="28"/>
      <c r="H73" s="27"/>
      <c r="I73" s="28"/>
      <c r="J73" s="27">
        <v>8</v>
      </c>
      <c r="K73" s="29" t="s">
        <v>35</v>
      </c>
      <c r="L73" s="39"/>
      <c r="M73" s="31"/>
      <c r="N73" s="27"/>
      <c r="P73" s="32"/>
      <c r="Q73" s="25"/>
      <c r="R73" s="27"/>
      <c r="S73" s="27"/>
      <c r="T73" s="28"/>
      <c r="U73" s="27"/>
      <c r="V73" s="27" t="s">
        <v>154</v>
      </c>
      <c r="W73" s="28"/>
      <c r="X73" s="33"/>
      <c r="Y73" s="32"/>
      <c r="Z73" s="25"/>
      <c r="AA73" s="27"/>
      <c r="AB73" s="28"/>
      <c r="AC73" s="27"/>
      <c r="AD73" s="27"/>
      <c r="AE73" s="33"/>
      <c r="AG73" s="25"/>
      <c r="AH73" s="34"/>
      <c r="AI73" s="27"/>
      <c r="AJ73" s="27"/>
      <c r="AK73" s="27"/>
      <c r="AL73" s="25"/>
      <c r="AM73" s="34"/>
      <c r="AN73" s="27"/>
      <c r="AO73" s="27"/>
      <c r="AP73" s="36"/>
      <c r="AQ73" s="37"/>
      <c r="AR73" s="32"/>
      <c r="AS73" s="25" t="s">
        <v>96</v>
      </c>
      <c r="AT73" s="27" t="s">
        <v>87</v>
      </c>
      <c r="AU73" s="27"/>
      <c r="AW73" s="25" t="s">
        <v>90</v>
      </c>
      <c r="AX73" s="27" t="s">
        <v>95</v>
      </c>
      <c r="AY73" s="27"/>
      <c r="AZ73" s="32"/>
      <c r="BA73" s="41"/>
    </row>
    <row r="74" spans="1:53" x14ac:dyDescent="0.2">
      <c r="A74" s="25">
        <v>65</v>
      </c>
      <c r="B74" s="26">
        <v>45451</v>
      </c>
      <c r="C74" s="27"/>
      <c r="D74" s="25"/>
      <c r="E74" s="28"/>
      <c r="F74" s="27"/>
      <c r="G74" s="28"/>
      <c r="H74" s="27"/>
      <c r="I74" s="28"/>
      <c r="J74" s="27">
        <v>8</v>
      </c>
      <c r="K74" s="29" t="s">
        <v>35</v>
      </c>
      <c r="L74" s="39"/>
      <c r="M74" s="31"/>
      <c r="N74" s="27"/>
      <c r="P74" s="32"/>
      <c r="Q74" s="25"/>
      <c r="R74" s="27"/>
      <c r="S74" s="27"/>
      <c r="T74" s="28"/>
      <c r="U74" s="27"/>
      <c r="V74" s="27" t="s">
        <v>154</v>
      </c>
      <c r="W74" s="28"/>
      <c r="X74" s="33"/>
      <c r="Y74" s="32"/>
      <c r="Z74" s="25"/>
      <c r="AA74" s="27"/>
      <c r="AB74" s="28"/>
      <c r="AC74" s="27"/>
      <c r="AD74" s="27"/>
      <c r="AE74" s="33"/>
      <c r="AG74" s="25"/>
      <c r="AH74" s="34"/>
      <c r="AI74" s="27"/>
      <c r="AJ74" s="27"/>
      <c r="AK74" s="27"/>
      <c r="AL74" s="25"/>
      <c r="AM74" s="34"/>
      <c r="AN74" s="27"/>
      <c r="AO74" s="27"/>
      <c r="AP74" s="36"/>
      <c r="AQ74" s="37"/>
      <c r="AR74" s="32"/>
      <c r="AS74" s="25" t="s">
        <v>96</v>
      </c>
      <c r="AT74" s="27" t="s">
        <v>87</v>
      </c>
      <c r="AU74" s="27"/>
      <c r="AW74" s="25" t="s">
        <v>90</v>
      </c>
      <c r="AX74" s="27" t="s">
        <v>95</v>
      </c>
      <c r="AY74" s="27"/>
      <c r="AZ74" s="32"/>
      <c r="BA74" s="41"/>
    </row>
    <row r="75" spans="1:53" x14ac:dyDescent="0.2">
      <c r="A75" s="25">
        <v>66</v>
      </c>
      <c r="B75" s="26">
        <v>45452</v>
      </c>
      <c r="C75" s="27"/>
      <c r="D75" s="25"/>
      <c r="E75" s="28"/>
      <c r="F75" s="27"/>
      <c r="G75" s="28"/>
      <c r="H75" s="27"/>
      <c r="I75" s="28"/>
      <c r="J75" s="27">
        <v>8</v>
      </c>
      <c r="K75" s="29" t="s">
        <v>35</v>
      </c>
      <c r="L75" s="39"/>
      <c r="M75" s="31"/>
      <c r="N75" s="27"/>
      <c r="P75" s="32"/>
      <c r="Q75" s="25"/>
      <c r="R75" s="27"/>
      <c r="S75" s="27"/>
      <c r="T75" s="28"/>
      <c r="U75" s="27"/>
      <c r="V75" s="27" t="s">
        <v>154</v>
      </c>
      <c r="W75" s="28"/>
      <c r="X75" s="33"/>
      <c r="Y75" s="32"/>
      <c r="Z75" s="25"/>
      <c r="AA75" s="27"/>
      <c r="AB75" s="28"/>
      <c r="AC75" s="27"/>
      <c r="AD75" s="27"/>
      <c r="AE75" s="33"/>
      <c r="AG75" s="25"/>
      <c r="AH75" s="34"/>
      <c r="AI75" s="27"/>
      <c r="AJ75" s="27"/>
      <c r="AK75" s="27"/>
      <c r="AL75" s="25"/>
      <c r="AM75" s="34"/>
      <c r="AN75" s="27"/>
      <c r="AO75" s="27"/>
      <c r="AP75" s="36"/>
      <c r="AQ75" s="37"/>
      <c r="AR75" s="32"/>
      <c r="AS75" s="25" t="s">
        <v>96</v>
      </c>
      <c r="AT75" s="27" t="s">
        <v>87</v>
      </c>
      <c r="AU75" s="27"/>
      <c r="AW75" s="25" t="s">
        <v>90</v>
      </c>
      <c r="AX75" s="27" t="s">
        <v>95</v>
      </c>
      <c r="AY75" s="27"/>
      <c r="AZ75" s="32"/>
      <c r="BA75" s="41"/>
    </row>
    <row r="76" spans="1:53" x14ac:dyDescent="0.2">
      <c r="A76" s="25">
        <v>67</v>
      </c>
      <c r="B76" s="26">
        <v>45453</v>
      </c>
      <c r="C76" s="27"/>
      <c r="D76" s="25"/>
      <c r="E76" s="28"/>
      <c r="F76" s="27"/>
      <c r="G76" s="28"/>
      <c r="H76" s="27"/>
      <c r="I76" s="28"/>
      <c r="J76" s="27">
        <v>8</v>
      </c>
      <c r="K76" s="29" t="s">
        <v>35</v>
      </c>
      <c r="L76" s="39"/>
      <c r="M76" s="31"/>
      <c r="N76" s="27"/>
      <c r="P76" s="32"/>
      <c r="Q76" s="25"/>
      <c r="R76" s="27"/>
      <c r="S76" s="27"/>
      <c r="T76" s="28"/>
      <c r="U76" s="27"/>
      <c r="V76" s="27" t="s">
        <v>154</v>
      </c>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27"/>
      <c r="AW76" s="25" t="s">
        <v>90</v>
      </c>
      <c r="AX76" s="27" t="s">
        <v>95</v>
      </c>
      <c r="AY76" s="27"/>
      <c r="AZ76" s="32"/>
      <c r="BA76" s="41"/>
    </row>
    <row r="77" spans="1:53" x14ac:dyDescent="0.2">
      <c r="A77" s="25">
        <v>68</v>
      </c>
      <c r="B77" s="26">
        <v>45454</v>
      </c>
      <c r="C77" s="27"/>
      <c r="D77" s="25"/>
      <c r="E77" s="28"/>
      <c r="F77" s="27"/>
      <c r="G77" s="28"/>
      <c r="H77" s="27"/>
      <c r="I77" s="28"/>
      <c r="J77" s="27">
        <v>8</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69</v>
      </c>
      <c r="B78" s="26">
        <v>45455</v>
      </c>
      <c r="C78" s="27"/>
      <c r="D78" s="25"/>
      <c r="E78" s="28"/>
      <c r="F78" s="27"/>
      <c r="G78" s="28"/>
      <c r="H78" s="27"/>
      <c r="I78" s="28"/>
      <c r="J78" s="27">
        <v>8</v>
      </c>
      <c r="K78" s="29" t="s">
        <v>35</v>
      </c>
      <c r="L78" s="39"/>
      <c r="M78" s="31"/>
      <c r="N78" s="27"/>
      <c r="P78" s="32"/>
      <c r="Q78" s="25"/>
      <c r="R78" s="27"/>
      <c r="S78" s="27"/>
      <c r="T78" s="28"/>
      <c r="U78" s="27"/>
      <c r="V78" s="27"/>
      <c r="W78" s="28"/>
      <c r="X78" s="33"/>
      <c r="Y78" s="32"/>
      <c r="Z78" s="25"/>
      <c r="AA78" s="27"/>
      <c r="AB78" s="28"/>
      <c r="AC78" s="27"/>
      <c r="AD78" s="27"/>
      <c r="AE78" s="33"/>
      <c r="AG78" s="25"/>
      <c r="AH78" s="34"/>
      <c r="AI78" s="27"/>
      <c r="AJ78" s="27"/>
      <c r="AK78" s="27"/>
      <c r="AL78" s="25"/>
      <c r="AM78" s="34"/>
      <c r="AN78" s="27"/>
      <c r="AO78" s="27"/>
      <c r="AP78" s="36"/>
      <c r="AQ78" s="37"/>
      <c r="AR78" s="32"/>
      <c r="AS78" s="25" t="s">
        <v>96</v>
      </c>
      <c r="AT78" s="27" t="s">
        <v>87</v>
      </c>
      <c r="AU78" s="27"/>
      <c r="AW78" s="25" t="s">
        <v>90</v>
      </c>
      <c r="AX78" s="27" t="s">
        <v>95</v>
      </c>
      <c r="AY78" s="27"/>
      <c r="AZ78" s="32"/>
      <c r="BA78" s="41"/>
    </row>
    <row r="79" spans="1:53" x14ac:dyDescent="0.2">
      <c r="A79" s="25">
        <v>70</v>
      </c>
      <c r="B79" s="26">
        <v>45456</v>
      </c>
      <c r="C79" s="27"/>
      <c r="D79" s="25"/>
      <c r="E79" s="28"/>
      <c r="F79" s="27"/>
      <c r="G79" s="28"/>
      <c r="H79" s="27"/>
      <c r="I79" s="28"/>
      <c r="J79" s="27">
        <v>8</v>
      </c>
      <c r="K79" s="29" t="s">
        <v>35</v>
      </c>
      <c r="L79" s="39"/>
      <c r="M79" s="31"/>
      <c r="N79" s="27"/>
      <c r="P79" s="32"/>
      <c r="Q79" s="25"/>
      <c r="R79" s="27"/>
      <c r="S79" s="27"/>
      <c r="T79" s="28"/>
      <c r="U79" s="27"/>
      <c r="V79" s="27"/>
      <c r="W79" s="28"/>
      <c r="X79" s="33"/>
      <c r="Y79" s="32"/>
      <c r="Z79" s="25"/>
      <c r="AA79" s="27"/>
      <c r="AB79" s="28"/>
      <c r="AC79" s="27"/>
      <c r="AD79" s="27"/>
      <c r="AE79" s="33"/>
      <c r="AG79" s="25"/>
      <c r="AH79" s="34"/>
      <c r="AI79" s="27"/>
      <c r="AJ79" s="27"/>
      <c r="AK79" s="27"/>
      <c r="AL79" s="25"/>
      <c r="AM79" s="34"/>
      <c r="AN79" s="27"/>
      <c r="AO79" s="27"/>
      <c r="AP79" s="36"/>
      <c r="AQ79" s="37"/>
      <c r="AR79" s="32"/>
      <c r="AS79" s="25" t="s">
        <v>96</v>
      </c>
      <c r="AT79" s="27" t="s">
        <v>87</v>
      </c>
      <c r="AU79" s="27"/>
      <c r="AW79" s="25" t="s">
        <v>90</v>
      </c>
      <c r="AX79" s="27" t="s">
        <v>95</v>
      </c>
      <c r="AY79" s="27"/>
      <c r="AZ79" s="32"/>
      <c r="BA79" s="41"/>
    </row>
    <row r="80" spans="1:53" x14ac:dyDescent="0.2">
      <c r="A80" s="25">
        <v>71</v>
      </c>
      <c r="B80" s="26">
        <v>45457</v>
      </c>
      <c r="C80" s="27"/>
      <c r="D80" s="25"/>
      <c r="E80" s="28"/>
      <c r="F80" s="27"/>
      <c r="G80" s="28"/>
      <c r="H80" s="27"/>
      <c r="I80" s="28"/>
      <c r="J80" s="27">
        <v>8</v>
      </c>
      <c r="K80" s="29" t="s">
        <v>35</v>
      </c>
      <c r="L80" s="39"/>
      <c r="M80" s="31"/>
      <c r="N80" s="27"/>
      <c r="P80" s="32"/>
      <c r="Q80" s="25"/>
      <c r="R80" s="27"/>
      <c r="S80" s="27"/>
      <c r="T80" s="28"/>
      <c r="U80" s="27"/>
      <c r="V80" s="27"/>
      <c r="W80" s="28"/>
      <c r="X80" s="33"/>
      <c r="Y80" s="32"/>
      <c r="Z80" s="25"/>
      <c r="AA80" s="27"/>
      <c r="AB80" s="28"/>
      <c r="AC80" s="27"/>
      <c r="AD80" s="27"/>
      <c r="AE80" s="33"/>
      <c r="AF80" s="32"/>
      <c r="AG80" s="90"/>
      <c r="AH80" s="91"/>
      <c r="AI80" s="27"/>
      <c r="AJ80" s="27"/>
      <c r="AK80" s="28"/>
      <c r="AL80" s="27"/>
      <c r="AM80" s="27"/>
      <c r="AN80" s="27"/>
      <c r="AO80" s="27"/>
      <c r="AP80" s="36"/>
      <c r="AQ80" s="37"/>
      <c r="AS80" s="25" t="s">
        <v>96</v>
      </c>
      <c r="AT80" s="27" t="s">
        <v>87</v>
      </c>
      <c r="AU80" s="27"/>
      <c r="AW80" s="25" t="s">
        <v>90</v>
      </c>
      <c r="AX80" s="27" t="s">
        <v>95</v>
      </c>
      <c r="AY80" s="27"/>
      <c r="AZ80" s="32"/>
      <c r="BA80" s="41"/>
    </row>
    <row r="81" spans="1:53" x14ac:dyDescent="0.2">
      <c r="A81" s="25">
        <v>72</v>
      </c>
      <c r="B81" s="26">
        <v>45458</v>
      </c>
      <c r="C81" s="27"/>
      <c r="D81" s="25"/>
      <c r="E81" s="28"/>
      <c r="F81" s="27"/>
      <c r="G81" s="28"/>
      <c r="H81" s="27"/>
      <c r="I81" s="28"/>
      <c r="J81" s="27">
        <v>8</v>
      </c>
      <c r="K81" s="29" t="s">
        <v>35</v>
      </c>
      <c r="L81" s="39"/>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c r="AO81" s="27"/>
      <c r="AP81" s="36"/>
      <c r="AQ81" s="37"/>
      <c r="AS81" s="25" t="s">
        <v>96</v>
      </c>
      <c r="AT81" s="27" t="s">
        <v>87</v>
      </c>
      <c r="AU81" s="27"/>
      <c r="AW81" s="25" t="s">
        <v>90</v>
      </c>
      <c r="AX81" s="27" t="s">
        <v>95</v>
      </c>
      <c r="AY81" s="27"/>
      <c r="AZ81" s="32"/>
      <c r="BA81" s="41"/>
    </row>
    <row r="82" spans="1:53" x14ac:dyDescent="0.2">
      <c r="A82" s="25">
        <v>73</v>
      </c>
      <c r="B82" s="26">
        <v>45459</v>
      </c>
      <c r="C82" s="27"/>
      <c r="D82" s="25"/>
      <c r="E82" s="28"/>
      <c r="F82" s="27"/>
      <c r="G82" s="28"/>
      <c r="H82" s="27"/>
      <c r="I82" s="28"/>
      <c r="J82" s="27">
        <v>8</v>
      </c>
      <c r="K82" s="29" t="s">
        <v>35</v>
      </c>
      <c r="L82" s="173"/>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c r="AO82" s="27"/>
      <c r="AP82" s="36"/>
      <c r="AQ82" s="37"/>
      <c r="AS82" s="25" t="s">
        <v>96</v>
      </c>
      <c r="AT82" s="27" t="s">
        <v>87</v>
      </c>
      <c r="AU82" s="27"/>
      <c r="AW82" s="25" t="s">
        <v>90</v>
      </c>
      <c r="AX82" s="27" t="s">
        <v>95</v>
      </c>
      <c r="AY82" s="27"/>
      <c r="AZ82" s="32"/>
      <c r="BA82" s="41"/>
    </row>
    <row r="83" spans="1:53" x14ac:dyDescent="0.2">
      <c r="A83" s="25">
        <v>74</v>
      </c>
      <c r="B83" s="26">
        <v>45460</v>
      </c>
      <c r="C83" s="27"/>
      <c r="D83" s="25"/>
      <c r="E83" s="28"/>
      <c r="F83" s="27"/>
      <c r="G83" s="28"/>
      <c r="H83" s="27"/>
      <c r="I83" s="28"/>
      <c r="J83" s="27">
        <v>8</v>
      </c>
      <c r="K83" s="29" t="s">
        <v>35</v>
      </c>
      <c r="L83" s="173"/>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c r="AO83" s="27"/>
      <c r="AP83" s="36"/>
      <c r="AQ83" s="37"/>
      <c r="AS83" s="25" t="s">
        <v>96</v>
      </c>
      <c r="AT83" s="27" t="s">
        <v>87</v>
      </c>
      <c r="AU83" s="27"/>
      <c r="AW83" s="25" t="s">
        <v>90</v>
      </c>
      <c r="AX83" s="27" t="s">
        <v>95</v>
      </c>
      <c r="AY83" s="27"/>
      <c r="AZ83" s="32"/>
      <c r="BA83" s="41"/>
    </row>
    <row r="84" spans="1:53" x14ac:dyDescent="0.2">
      <c r="A84" s="25">
        <v>75</v>
      </c>
      <c r="B84" s="26">
        <v>45461</v>
      </c>
      <c r="C84" s="27"/>
      <c r="D84" s="25"/>
      <c r="E84" s="28"/>
      <c r="F84" s="27"/>
      <c r="G84" s="28"/>
      <c r="H84" s="27"/>
      <c r="I84" s="28"/>
      <c r="J84" s="27">
        <v>8</v>
      </c>
      <c r="K84" s="29" t="s">
        <v>35</v>
      </c>
      <c r="L84" s="173"/>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c r="AO84" s="27"/>
      <c r="AP84" s="36"/>
      <c r="AQ84" s="37"/>
      <c r="AR84" s="32"/>
      <c r="AS84" s="25" t="s">
        <v>96</v>
      </c>
      <c r="AT84" s="27" t="s">
        <v>87</v>
      </c>
      <c r="AU84" s="27"/>
      <c r="AW84" s="25" t="s">
        <v>90</v>
      </c>
      <c r="AX84" s="27" t="s">
        <v>95</v>
      </c>
      <c r="AY84" s="27"/>
      <c r="AZ84" s="32"/>
      <c r="BA84" s="41"/>
    </row>
    <row r="85" spans="1:53" x14ac:dyDescent="0.2">
      <c r="A85" s="25">
        <v>76</v>
      </c>
      <c r="B85" s="26">
        <v>45462</v>
      </c>
      <c r="C85" s="27"/>
      <c r="D85" s="25"/>
      <c r="E85" s="28"/>
      <c r="F85" s="27"/>
      <c r="G85" s="28"/>
      <c r="H85" s="27"/>
      <c r="I85" s="28"/>
      <c r="J85" s="27">
        <v>8</v>
      </c>
      <c r="K85" s="29" t="s">
        <v>35</v>
      </c>
      <c r="L85" s="173"/>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c r="AO85" s="27"/>
      <c r="AP85" s="36"/>
      <c r="AQ85" s="37"/>
      <c r="AR85" s="32"/>
      <c r="AS85" s="25" t="s">
        <v>96</v>
      </c>
      <c r="AT85" s="27" t="s">
        <v>87</v>
      </c>
      <c r="AU85" s="27"/>
      <c r="AW85" s="25" t="s">
        <v>90</v>
      </c>
      <c r="AX85" s="27" t="s">
        <v>95</v>
      </c>
      <c r="AY85" s="27"/>
      <c r="AZ85" s="32"/>
      <c r="BA85" s="41"/>
    </row>
    <row r="86" spans="1:53" x14ac:dyDescent="0.2">
      <c r="A86" s="25">
        <v>77</v>
      </c>
      <c r="B86" s="26">
        <v>45463</v>
      </c>
      <c r="C86" s="27"/>
      <c r="D86" s="25"/>
      <c r="E86" s="28"/>
      <c r="F86" s="27"/>
      <c r="G86" s="28"/>
      <c r="H86" s="27"/>
      <c r="I86" s="28"/>
      <c r="J86" s="27">
        <v>8</v>
      </c>
      <c r="K86" s="29" t="s">
        <v>35</v>
      </c>
      <c r="L86" s="173"/>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c r="AO86" s="27"/>
      <c r="AP86" s="36"/>
      <c r="AQ86" s="37"/>
      <c r="AR86" s="32"/>
      <c r="AS86" s="25" t="s">
        <v>96</v>
      </c>
      <c r="AT86" s="27" t="s">
        <v>87</v>
      </c>
      <c r="AU86" s="27"/>
      <c r="AW86" s="25" t="s">
        <v>90</v>
      </c>
      <c r="AX86" s="27" t="s">
        <v>95</v>
      </c>
      <c r="AY86" s="27"/>
      <c r="AZ86" s="32"/>
      <c r="BA86" s="41"/>
    </row>
    <row r="87" spans="1:53" x14ac:dyDescent="0.2">
      <c r="A87" s="25">
        <v>78</v>
      </c>
      <c r="B87" s="26">
        <v>45464</v>
      </c>
      <c r="C87" s="27"/>
      <c r="D87" s="25"/>
      <c r="E87" s="28"/>
      <c r="F87" s="27"/>
      <c r="G87" s="28"/>
      <c r="H87" s="27"/>
      <c r="I87" s="28"/>
      <c r="J87" s="27">
        <v>8</v>
      </c>
      <c r="K87" s="29" t="s">
        <v>35</v>
      </c>
      <c r="L87" s="173"/>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R87" s="32"/>
      <c r="AS87" s="25" t="s">
        <v>96</v>
      </c>
      <c r="AT87" s="27" t="s">
        <v>87</v>
      </c>
      <c r="AU87" s="27"/>
      <c r="AW87" s="25" t="s">
        <v>90</v>
      </c>
      <c r="AX87" s="27" t="s">
        <v>95</v>
      </c>
      <c r="AY87" s="27"/>
      <c r="AZ87" s="32"/>
      <c r="BA87" s="41"/>
    </row>
    <row r="88" spans="1:53" x14ac:dyDescent="0.2">
      <c r="A88" s="25">
        <v>79</v>
      </c>
      <c r="B88" s="26">
        <v>45465</v>
      </c>
      <c r="C88" s="27"/>
      <c r="D88" s="25"/>
      <c r="E88" s="28"/>
      <c r="F88" s="27"/>
      <c r="G88" s="28"/>
      <c r="H88" s="27"/>
      <c r="I88" s="28"/>
      <c r="J88" s="27">
        <v>8</v>
      </c>
      <c r="K88" s="29" t="s">
        <v>35</v>
      </c>
      <c r="L88" s="173"/>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R88" s="32"/>
      <c r="AS88" s="25" t="s">
        <v>96</v>
      </c>
      <c r="AT88" s="27" t="s">
        <v>87</v>
      </c>
      <c r="AU88" s="27"/>
      <c r="AW88" s="25" t="s">
        <v>90</v>
      </c>
      <c r="AX88" s="27" t="s">
        <v>95</v>
      </c>
      <c r="AY88" s="27"/>
      <c r="AZ88" s="32"/>
      <c r="BA88" s="41"/>
    </row>
    <row r="89" spans="1:53" x14ac:dyDescent="0.2">
      <c r="A89" s="25">
        <v>80</v>
      </c>
      <c r="B89" s="26">
        <v>45466</v>
      </c>
      <c r="C89" s="27"/>
      <c r="D89" s="25"/>
      <c r="E89" s="28"/>
      <c r="F89" s="27"/>
      <c r="G89" s="28"/>
      <c r="H89" s="27"/>
      <c r="I89" s="28"/>
      <c r="J89" s="27">
        <v>8</v>
      </c>
      <c r="K89" s="29" t="s">
        <v>35</v>
      </c>
      <c r="L89" s="173"/>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R89" s="32"/>
      <c r="AS89" s="25" t="s">
        <v>96</v>
      </c>
      <c r="AT89" s="27" t="s">
        <v>87</v>
      </c>
      <c r="AU89" s="27"/>
      <c r="AW89" s="25" t="s">
        <v>90</v>
      </c>
      <c r="AX89" s="27" t="s">
        <v>95</v>
      </c>
      <c r="AY89" s="27"/>
      <c r="AZ89" s="32"/>
      <c r="BA89" s="41"/>
    </row>
    <row r="90" spans="1:53" x14ac:dyDescent="0.2">
      <c r="A90" s="25">
        <v>81</v>
      </c>
      <c r="B90" s="26">
        <v>45467</v>
      </c>
      <c r="C90" s="27"/>
      <c r="D90" s="25"/>
      <c r="E90" s="28"/>
      <c r="F90" s="27"/>
      <c r="G90" s="28"/>
      <c r="H90" s="27"/>
      <c r="I90" s="28"/>
      <c r="J90" s="27">
        <v>8</v>
      </c>
      <c r="K90" s="29" t="s">
        <v>35</v>
      </c>
      <c r="L90" s="173"/>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R90" s="32"/>
      <c r="AS90" s="25" t="s">
        <v>96</v>
      </c>
      <c r="AT90" s="27" t="s">
        <v>87</v>
      </c>
      <c r="AU90" s="27"/>
      <c r="AW90" s="25" t="s">
        <v>90</v>
      </c>
      <c r="AX90" s="27" t="s">
        <v>95</v>
      </c>
      <c r="AY90" s="27"/>
      <c r="AZ90" s="32"/>
      <c r="BA90" s="41"/>
    </row>
    <row r="91" spans="1:53" x14ac:dyDescent="0.2">
      <c r="A91" s="25">
        <v>82</v>
      </c>
      <c r="B91" s="26">
        <v>45468</v>
      </c>
      <c r="C91" s="27"/>
      <c r="D91" s="25"/>
      <c r="E91" s="28"/>
      <c r="F91" s="27"/>
      <c r="G91" s="28"/>
      <c r="H91" s="27"/>
      <c r="I91" s="28"/>
      <c r="J91" s="27">
        <v>8</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t="s">
        <v>96</v>
      </c>
      <c r="AT91" s="27" t="s">
        <v>87</v>
      </c>
      <c r="AU91" s="27"/>
      <c r="AW91" s="25" t="s">
        <v>90</v>
      </c>
      <c r="AX91" s="27" t="s">
        <v>95</v>
      </c>
      <c r="AY91" s="27"/>
      <c r="AZ91" s="32"/>
      <c r="BA91" s="41"/>
    </row>
    <row r="92" spans="1:53" x14ac:dyDescent="0.2">
      <c r="A92" s="25">
        <v>83</v>
      </c>
      <c r="B92" s="26">
        <v>45469</v>
      </c>
      <c r="C92" s="27"/>
      <c r="D92" s="25"/>
      <c r="E92" s="28"/>
      <c r="F92" s="27"/>
      <c r="G92" s="28"/>
      <c r="H92" s="27"/>
      <c r="I92" s="28"/>
      <c r="J92" s="27">
        <v>8</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t="s">
        <v>96</v>
      </c>
      <c r="AT92" s="27" t="s">
        <v>87</v>
      </c>
      <c r="AU92" s="27"/>
      <c r="AW92" s="25" t="s">
        <v>90</v>
      </c>
      <c r="AX92" s="27" t="s">
        <v>95</v>
      </c>
      <c r="AY92" s="27"/>
      <c r="AZ92" s="32"/>
      <c r="BA92" s="41"/>
    </row>
    <row r="93" spans="1:53" x14ac:dyDescent="0.2">
      <c r="A93" s="25">
        <v>84</v>
      </c>
      <c r="B93" s="26">
        <v>45470</v>
      </c>
      <c r="C93" s="27"/>
      <c r="D93" s="25"/>
      <c r="E93" s="28"/>
      <c r="F93" s="27"/>
      <c r="G93" s="28"/>
      <c r="H93" s="27"/>
      <c r="I93" s="28"/>
      <c r="J93" s="27">
        <v>8</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t="s">
        <v>96</v>
      </c>
      <c r="AT93" s="27" t="s">
        <v>87</v>
      </c>
      <c r="AU93" s="27"/>
      <c r="AW93" s="25" t="s">
        <v>90</v>
      </c>
      <c r="AX93" s="27" t="s">
        <v>95</v>
      </c>
      <c r="AY93" s="27"/>
      <c r="AZ93" s="32"/>
      <c r="BA93" s="41"/>
    </row>
    <row r="94" spans="1:53" x14ac:dyDescent="0.2">
      <c r="A94" s="25">
        <v>85</v>
      </c>
      <c r="B94" s="26">
        <v>45471</v>
      </c>
      <c r="C94" s="27"/>
      <c r="D94" s="25"/>
      <c r="E94" s="28"/>
      <c r="F94" s="27"/>
      <c r="G94" s="28"/>
      <c r="H94" s="27"/>
      <c r="I94" s="28"/>
      <c r="J94" s="27">
        <v>8</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t="s">
        <v>96</v>
      </c>
      <c r="AT94" s="27" t="s">
        <v>87</v>
      </c>
      <c r="AU94" s="27"/>
      <c r="AW94" s="25" t="s">
        <v>90</v>
      </c>
      <c r="AX94" s="27" t="s">
        <v>95</v>
      </c>
      <c r="AY94" s="27"/>
      <c r="AZ94" s="32"/>
      <c r="BA94" s="41"/>
    </row>
    <row r="95" spans="1:53" x14ac:dyDescent="0.2">
      <c r="A95" s="25">
        <v>86</v>
      </c>
      <c r="B95" s="26">
        <v>45472</v>
      </c>
      <c r="C95" s="27"/>
      <c r="D95" s="25"/>
      <c r="E95" s="28"/>
      <c r="F95" s="27"/>
      <c r="G95" s="28"/>
      <c r="H95" s="27"/>
      <c r="I95" s="28"/>
      <c r="J95" s="27">
        <v>8</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t="s">
        <v>96</v>
      </c>
      <c r="AT95" s="27" t="s">
        <v>87</v>
      </c>
      <c r="AU95" s="27"/>
      <c r="AW95" s="25" t="s">
        <v>90</v>
      </c>
      <c r="AX95" s="27" t="s">
        <v>95</v>
      </c>
      <c r="AY95" s="27"/>
      <c r="AZ95" s="32"/>
      <c r="BA95" s="41"/>
    </row>
    <row r="96" spans="1:53" x14ac:dyDescent="0.2">
      <c r="A96" s="25">
        <v>87</v>
      </c>
      <c r="B96" s="26">
        <v>45473</v>
      </c>
      <c r="C96" s="27"/>
      <c r="D96" s="25"/>
      <c r="E96" s="28"/>
      <c r="F96" s="27"/>
      <c r="G96" s="28"/>
      <c r="H96" s="27"/>
      <c r="I96" s="28"/>
      <c r="J96" s="27">
        <v>8</v>
      </c>
      <c r="K96" s="29" t="s">
        <v>35</v>
      </c>
      <c r="L96" s="39"/>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t="s">
        <v>96</v>
      </c>
      <c r="AT96" s="27" t="s">
        <v>87</v>
      </c>
      <c r="AU96" s="27"/>
      <c r="AW96" s="25" t="s">
        <v>90</v>
      </c>
      <c r="AX96" s="27" t="s">
        <v>95</v>
      </c>
      <c r="AY96" s="27"/>
      <c r="AZ96" s="32"/>
      <c r="BA96" s="41"/>
    </row>
    <row r="97" spans="1:53" x14ac:dyDescent="0.2">
      <c r="A97" s="25">
        <v>88</v>
      </c>
      <c r="B97" s="26">
        <v>45474</v>
      </c>
      <c r="C97" s="27"/>
      <c r="D97" s="25"/>
      <c r="E97" s="28"/>
      <c r="F97" s="27"/>
      <c r="G97" s="28"/>
      <c r="H97" s="27"/>
      <c r="I97" s="28"/>
      <c r="J97" s="27">
        <v>8</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t="s">
        <v>96</v>
      </c>
      <c r="AT97" s="27" t="s">
        <v>87</v>
      </c>
      <c r="AU97" s="27"/>
      <c r="AW97" s="25" t="s">
        <v>90</v>
      </c>
      <c r="AX97" s="27" t="s">
        <v>95</v>
      </c>
      <c r="AY97" s="27"/>
      <c r="AZ97" s="32"/>
      <c r="BA97" s="41"/>
    </row>
    <row r="98" spans="1:53" x14ac:dyDescent="0.2">
      <c r="A98" s="25">
        <v>89</v>
      </c>
      <c r="B98" s="26">
        <v>45475</v>
      </c>
      <c r="C98" s="27"/>
      <c r="D98" s="25"/>
      <c r="E98" s="28"/>
      <c r="F98" s="27"/>
      <c r="G98" s="28"/>
      <c r="H98" s="27"/>
      <c r="I98" s="28"/>
      <c r="J98" s="27">
        <v>8</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c r="AO98" s="27"/>
      <c r="AP98" s="36"/>
      <c r="AQ98" s="37"/>
      <c r="AR98" s="32"/>
      <c r="AS98" s="25" t="s">
        <v>96</v>
      </c>
      <c r="AT98" s="27" t="s">
        <v>87</v>
      </c>
      <c r="AU98" s="27"/>
      <c r="AW98" s="25" t="s">
        <v>90</v>
      </c>
      <c r="AX98" s="27" t="s">
        <v>95</v>
      </c>
      <c r="AY98" s="27"/>
      <c r="AZ98" s="32"/>
      <c r="BA98" s="41"/>
    </row>
    <row r="99" spans="1:53" x14ac:dyDescent="0.2">
      <c r="A99" s="25">
        <v>90</v>
      </c>
      <c r="B99" s="26">
        <v>45476</v>
      </c>
      <c r="C99" s="27"/>
      <c r="D99" s="25"/>
      <c r="E99" s="28"/>
      <c r="F99" s="27"/>
      <c r="G99" s="28"/>
      <c r="H99" s="27"/>
      <c r="I99" s="28"/>
      <c r="J99" s="27">
        <v>8</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c r="AO99" s="27"/>
      <c r="AP99" s="36"/>
      <c r="AQ99" s="37"/>
      <c r="AR99" s="32"/>
      <c r="AS99" s="25" t="s">
        <v>96</v>
      </c>
      <c r="AT99" s="27" t="s">
        <v>87</v>
      </c>
      <c r="AU99" s="27"/>
      <c r="AW99" s="25" t="s">
        <v>90</v>
      </c>
      <c r="AX99" s="27" t="s">
        <v>95</v>
      </c>
      <c r="AY99" s="27"/>
      <c r="AZ99" s="32"/>
      <c r="BA99" s="41"/>
    </row>
    <row r="100" spans="1:53" x14ac:dyDescent="0.2">
      <c r="A100" s="25">
        <v>91</v>
      </c>
      <c r="B100" s="26"/>
      <c r="C100" s="27"/>
      <c r="AS100" s="25" t="s">
        <v>96</v>
      </c>
      <c r="AT100" s="27" t="s">
        <v>87</v>
      </c>
      <c r="AU100" s="27"/>
      <c r="AW100" s="25" t="s">
        <v>90</v>
      </c>
      <c r="AX100" s="27" t="s">
        <v>95</v>
      </c>
    </row>
    <row r="101" spans="1:53" x14ac:dyDescent="0.2">
      <c r="A101" s="25">
        <v>92</v>
      </c>
      <c r="B101" s="26"/>
      <c r="C101" s="27"/>
      <c r="AS101" s="25" t="s">
        <v>96</v>
      </c>
      <c r="AT101" s="27" t="s">
        <v>87</v>
      </c>
      <c r="AU101" s="27"/>
      <c r="AW101" s="25" t="s">
        <v>90</v>
      </c>
      <c r="AX101" s="27" t="s">
        <v>95</v>
      </c>
    </row>
    <row r="102" spans="1:53" x14ac:dyDescent="0.2">
      <c r="A102" s="25">
        <v>93</v>
      </c>
      <c r="B102" s="26"/>
      <c r="C102" s="27"/>
      <c r="AS102" s="25" t="s">
        <v>96</v>
      </c>
      <c r="AT102" s="27" t="s">
        <v>87</v>
      </c>
      <c r="AU102" s="27"/>
      <c r="AW102" s="25" t="s">
        <v>90</v>
      </c>
      <c r="AX102" s="27" t="s">
        <v>95</v>
      </c>
    </row>
    <row r="103" spans="1:53" x14ac:dyDescent="0.2">
      <c r="A103" s="25">
        <v>94</v>
      </c>
      <c r="B103" s="26"/>
      <c r="C103" s="27"/>
      <c r="AS103" s="25" t="s">
        <v>96</v>
      </c>
      <c r="AT103" s="27" t="s">
        <v>87</v>
      </c>
      <c r="AU103" s="27"/>
      <c r="AW103" s="25" t="s">
        <v>90</v>
      </c>
      <c r="AX103" s="27" t="s">
        <v>95</v>
      </c>
    </row>
    <row r="104" spans="1:53" x14ac:dyDescent="0.2">
      <c r="A104" s="25">
        <v>95</v>
      </c>
      <c r="B104" s="26"/>
      <c r="C104" s="27"/>
      <c r="AS104" s="25" t="s">
        <v>96</v>
      </c>
      <c r="AT104" s="27" t="s">
        <v>87</v>
      </c>
      <c r="AU104" s="27"/>
      <c r="AW104" s="25" t="s">
        <v>90</v>
      </c>
      <c r="AX104" s="27" t="s">
        <v>95</v>
      </c>
    </row>
    <row r="105" spans="1:53" x14ac:dyDescent="0.2">
      <c r="A105" s="25">
        <v>96</v>
      </c>
      <c r="B105" s="26"/>
      <c r="C105" s="27"/>
      <c r="AS105" s="25" t="s">
        <v>96</v>
      </c>
      <c r="AT105" s="27" t="s">
        <v>87</v>
      </c>
      <c r="AU105" s="27"/>
      <c r="AW105" s="25" t="s">
        <v>90</v>
      </c>
      <c r="AX105" s="27" t="s">
        <v>95</v>
      </c>
      <c r="BA105">
        <v>0</v>
      </c>
    </row>
    <row r="106" spans="1:53" x14ac:dyDescent="0.2">
      <c r="A106" s="25">
        <v>97</v>
      </c>
      <c r="B106" s="26"/>
      <c r="C106" s="27"/>
      <c r="AS106" s="25" t="s">
        <v>96</v>
      </c>
      <c r="AT106" s="27" t="s">
        <v>87</v>
      </c>
      <c r="AU106" s="27"/>
      <c r="AW106" s="25" t="s">
        <v>90</v>
      </c>
      <c r="AX106" s="27" t="s">
        <v>95</v>
      </c>
    </row>
    <row r="107" spans="1:53" x14ac:dyDescent="0.2">
      <c r="A107" s="25">
        <v>98</v>
      </c>
      <c r="B107" s="26"/>
      <c r="C107" s="27"/>
      <c r="K107" s="172"/>
      <c r="AS107" s="25" t="s">
        <v>96</v>
      </c>
      <c r="AT107" s="27" t="s">
        <v>87</v>
      </c>
      <c r="AU107" s="27"/>
      <c r="AW107" s="25" t="s">
        <v>90</v>
      </c>
      <c r="AX107" s="27" t="s">
        <v>95</v>
      </c>
      <c r="BA107">
        <v>0</v>
      </c>
    </row>
    <row r="108" spans="1:53" x14ac:dyDescent="0.2">
      <c r="A108" s="25">
        <v>99</v>
      </c>
      <c r="B108" s="26"/>
      <c r="AS108" s="25" t="s">
        <v>96</v>
      </c>
      <c r="AT108" s="27" t="s">
        <v>87</v>
      </c>
      <c r="AU108" s="27"/>
      <c r="AW108" s="25" t="s">
        <v>90</v>
      </c>
      <c r="AX108" s="27" t="s">
        <v>95</v>
      </c>
    </row>
    <row r="109" spans="1:53" x14ac:dyDescent="0.2">
      <c r="A109" s="25">
        <v>100</v>
      </c>
      <c r="B109" s="26"/>
      <c r="C109" s="27"/>
      <c r="AS109" s="25" t="s">
        <v>96</v>
      </c>
      <c r="AT109" s="27" t="s">
        <v>87</v>
      </c>
      <c r="AU109" s="27"/>
      <c r="AW109" s="25" t="s">
        <v>90</v>
      </c>
      <c r="AX109" s="27" t="s">
        <v>95</v>
      </c>
    </row>
    <row r="110" spans="1:53" x14ac:dyDescent="0.2">
      <c r="A110" s="25">
        <v>101</v>
      </c>
      <c r="B110" s="26"/>
      <c r="C110" s="27"/>
      <c r="AS110" s="25" t="s">
        <v>96</v>
      </c>
      <c r="AT110" s="27" t="s">
        <v>87</v>
      </c>
      <c r="AU110" s="27"/>
      <c r="AW110" s="25" t="s">
        <v>90</v>
      </c>
      <c r="AX110" s="27" t="s">
        <v>95</v>
      </c>
    </row>
    <row r="111" spans="1:53" x14ac:dyDescent="0.2">
      <c r="A111" s="25">
        <v>102</v>
      </c>
      <c r="B111" s="26"/>
      <c r="C111" s="27"/>
      <c r="AS111" s="25" t="s">
        <v>96</v>
      </c>
      <c r="AT111" s="27" t="s">
        <v>87</v>
      </c>
      <c r="AU111" s="27"/>
      <c r="AW111" s="25" t="s">
        <v>90</v>
      </c>
      <c r="AX111" s="27" t="s">
        <v>95</v>
      </c>
    </row>
    <row r="112" spans="1:53" x14ac:dyDescent="0.2">
      <c r="A112" s="25">
        <v>103</v>
      </c>
      <c r="B112" s="26"/>
      <c r="C112" s="27"/>
      <c r="AS112" s="25" t="s">
        <v>96</v>
      </c>
      <c r="AT112" s="27" t="s">
        <v>87</v>
      </c>
      <c r="AU112" s="27"/>
      <c r="AW112" s="25" t="s">
        <v>90</v>
      </c>
      <c r="AX112" s="27" t="s">
        <v>95</v>
      </c>
    </row>
    <row r="113" spans="1:50" x14ac:dyDescent="0.2">
      <c r="A113" s="25">
        <v>104</v>
      </c>
      <c r="B113" s="26"/>
      <c r="C113" s="27"/>
      <c r="AS113" s="25" t="s">
        <v>96</v>
      </c>
      <c r="AT113" s="27" t="s">
        <v>87</v>
      </c>
      <c r="AU113" s="27"/>
      <c r="AW113" s="25" t="s">
        <v>90</v>
      </c>
      <c r="AX113" s="27" t="s">
        <v>95</v>
      </c>
    </row>
    <row r="114" spans="1:50" x14ac:dyDescent="0.2">
      <c r="A114" s="25">
        <v>105</v>
      </c>
      <c r="B114" s="26"/>
      <c r="C114" s="27"/>
      <c r="AS114" s="25" t="s">
        <v>96</v>
      </c>
      <c r="AT114" s="27" t="s">
        <v>87</v>
      </c>
      <c r="AU114" s="27"/>
      <c r="AW114" s="25" t="s">
        <v>90</v>
      </c>
      <c r="AX114" s="27" t="s">
        <v>95</v>
      </c>
    </row>
    <row r="115" spans="1:50" x14ac:dyDescent="0.2">
      <c r="A115" s="25">
        <v>106</v>
      </c>
      <c r="B115" s="26"/>
    </row>
    <row r="116" spans="1:50" x14ac:dyDescent="0.2">
      <c r="A116" s="25">
        <v>107</v>
      </c>
      <c r="B116" s="26"/>
      <c r="C116" s="27"/>
    </row>
    <row r="117" spans="1:50" x14ac:dyDescent="0.2">
      <c r="A117" s="25">
        <v>108</v>
      </c>
      <c r="B117" s="26"/>
      <c r="C117" s="27"/>
    </row>
    <row r="118" spans="1:50" x14ac:dyDescent="0.2">
      <c r="A118" s="25">
        <v>109</v>
      </c>
      <c r="B118" s="26"/>
      <c r="C118" s="27"/>
    </row>
    <row r="119" spans="1:50" x14ac:dyDescent="0.2">
      <c r="A119" s="25">
        <v>110</v>
      </c>
      <c r="B119" s="26"/>
      <c r="C119" s="27"/>
    </row>
    <row r="120" spans="1:50" x14ac:dyDescent="0.2">
      <c r="A120" s="25">
        <v>111</v>
      </c>
      <c r="B120" s="26"/>
      <c r="C120" s="27"/>
    </row>
    <row r="121" spans="1:50" s="173" customFormat="1" x14ac:dyDescent="0.2">
      <c r="A121" s="173">
        <v>112</v>
      </c>
      <c r="B121" s="26"/>
    </row>
    <row r="122" spans="1:50" x14ac:dyDescent="0.2">
      <c r="A122" s="25">
        <v>113</v>
      </c>
      <c r="B122" s="26"/>
      <c r="C122" s="27"/>
    </row>
    <row r="123" spans="1:50" x14ac:dyDescent="0.2">
      <c r="A123" s="25">
        <v>114</v>
      </c>
      <c r="B123" s="26"/>
      <c r="C123" s="27"/>
    </row>
    <row r="124" spans="1:50" x14ac:dyDescent="0.2">
      <c r="A124" s="25">
        <v>115</v>
      </c>
      <c r="B124" s="26"/>
      <c r="C124" s="27"/>
    </row>
  </sheetData>
  <mergeCells count="52">
    <mergeCell ref="A3:C5"/>
    <mergeCell ref="D3:M5"/>
    <mergeCell ref="N3:P5"/>
    <mergeCell ref="Q3:Y5"/>
    <mergeCell ref="Z3:AF5"/>
    <mergeCell ref="A6:A8"/>
    <mergeCell ref="B6:B8"/>
    <mergeCell ref="C6:C8"/>
    <mergeCell ref="D6:E7"/>
    <mergeCell ref="F6:G7"/>
    <mergeCell ref="N6:N8"/>
    <mergeCell ref="AS3:AV5"/>
    <mergeCell ref="AW3:AZ5"/>
    <mergeCell ref="BA3:BA5"/>
    <mergeCell ref="AG5:AK5"/>
    <mergeCell ref="AM5:AP5"/>
    <mergeCell ref="AG3:AP4"/>
    <mergeCell ref="O6:O8"/>
    <mergeCell ref="P6:P8"/>
    <mergeCell ref="Q6:Q8"/>
    <mergeCell ref="R6:T7"/>
    <mergeCell ref="U6:W7"/>
    <mergeCell ref="AX6:AX8"/>
    <mergeCell ref="AY6:AY8"/>
    <mergeCell ref="AZ6:AZ8"/>
    <mergeCell ref="BA6:BA8"/>
    <mergeCell ref="H6:I7"/>
    <mergeCell ref="J6:J8"/>
    <mergeCell ref="K6:K8"/>
    <mergeCell ref="L6:L8"/>
    <mergeCell ref="M6:M8"/>
    <mergeCell ref="O29:O49"/>
    <mergeCell ref="AR6:AR8"/>
    <mergeCell ref="AS6:AS8"/>
    <mergeCell ref="AT6:AT8"/>
    <mergeCell ref="AU6:AU8"/>
    <mergeCell ref="AH6:AH8"/>
    <mergeCell ref="AI6:AK7"/>
    <mergeCell ref="AL6:AL8"/>
    <mergeCell ref="AM6:AM7"/>
    <mergeCell ref="AN6:AP7"/>
    <mergeCell ref="AQ6:AQ8"/>
    <mergeCell ref="Y6:Y8"/>
    <mergeCell ref="Z6:AB7"/>
    <mergeCell ref="AC6:AD7"/>
    <mergeCell ref="AE6:AE8"/>
    <mergeCell ref="AF6:AF8"/>
    <mergeCell ref="X13:X20"/>
    <mergeCell ref="AV6:AV8"/>
    <mergeCell ref="AW6:AW8"/>
    <mergeCell ref="AG6:AG7"/>
    <mergeCell ref="X6:X8"/>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B2CEC-14AB-4DF5-AF1E-2C9EF40E0D2D}">
  <dimension ref="A1:BB124"/>
  <sheetViews>
    <sheetView topLeftCell="A30" zoomScale="85" zoomScaleNormal="85" workbookViewId="0">
      <pane xSplit="1" topLeftCell="B1" activePane="topRight" state="frozen"/>
      <selection pane="topRight" activeCell="C58" sqref="C58"/>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6.83203125" customWidth="1"/>
    <col min="6" max="6" width="4.5" bestFit="1" customWidth="1"/>
    <col min="7" max="7" width="4.33203125" bestFit="1" customWidth="1"/>
    <col min="8" max="8" width="4.5" bestFit="1" customWidth="1"/>
    <col min="9" max="9" width="4.33203125" bestFit="1" customWidth="1"/>
    <col min="10" max="10" width="10.6640625" customWidth="1"/>
    <col min="11" max="11" width="12.33203125"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6"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x14ac:dyDescent="0.2">
      <c r="A1" t="s">
        <v>319</v>
      </c>
    </row>
    <row r="2" spans="1:53" ht="16" thickBot="1" x14ac:dyDescent="0.25">
      <c r="B2" t="s">
        <v>318</v>
      </c>
    </row>
    <row r="3" spans="1:53" ht="23" x14ac:dyDescent="0.2">
      <c r="A3" s="209" t="s">
        <v>0</v>
      </c>
      <c r="B3" s="210"/>
      <c r="C3" s="210"/>
      <c r="D3" s="215" t="s">
        <v>1</v>
      </c>
      <c r="E3" s="215"/>
      <c r="F3" s="215"/>
      <c r="G3" s="215"/>
      <c r="H3" s="215"/>
      <c r="I3" s="215"/>
      <c r="J3" s="215"/>
      <c r="K3" s="215"/>
      <c r="L3" s="215"/>
      <c r="M3" s="215"/>
      <c r="N3" s="218" t="s">
        <v>2</v>
      </c>
      <c r="O3" s="218"/>
      <c r="P3" s="219"/>
      <c r="Q3" s="224" t="s">
        <v>3</v>
      </c>
      <c r="R3" s="225"/>
      <c r="S3" s="225"/>
      <c r="T3" s="225"/>
      <c r="U3" s="225"/>
      <c r="V3" s="225"/>
      <c r="W3" s="225"/>
      <c r="X3" s="225"/>
      <c r="Y3" s="226"/>
      <c r="Z3" s="230" t="s">
        <v>4</v>
      </c>
      <c r="AA3" s="231"/>
      <c r="AB3" s="231"/>
      <c r="AC3" s="231"/>
      <c r="AD3" s="231"/>
      <c r="AE3" s="231"/>
      <c r="AF3" s="232"/>
      <c r="AG3" s="271" t="s">
        <v>5</v>
      </c>
      <c r="AH3" s="271"/>
      <c r="AI3" s="271"/>
      <c r="AJ3" s="271"/>
      <c r="AK3" s="271"/>
      <c r="AL3" s="271"/>
      <c r="AM3" s="271"/>
      <c r="AN3" s="271"/>
      <c r="AO3" s="271"/>
      <c r="AP3" s="271"/>
      <c r="AQ3" s="1"/>
      <c r="AR3" s="2"/>
      <c r="AS3" s="251" t="s">
        <v>6</v>
      </c>
      <c r="AT3" s="252"/>
      <c r="AU3" s="252"/>
      <c r="AV3" s="252"/>
      <c r="AW3" s="257" t="s">
        <v>7</v>
      </c>
      <c r="AX3" s="258"/>
      <c r="AY3" s="258"/>
      <c r="AZ3" s="259"/>
      <c r="BA3" s="266" t="s">
        <v>8</v>
      </c>
    </row>
    <row r="4" spans="1:53" ht="23" x14ac:dyDescent="0.2">
      <c r="A4" s="211"/>
      <c r="B4" s="212"/>
      <c r="C4" s="212"/>
      <c r="D4" s="216"/>
      <c r="E4" s="216"/>
      <c r="F4" s="216"/>
      <c r="G4" s="216"/>
      <c r="H4" s="216"/>
      <c r="I4" s="216"/>
      <c r="J4" s="216"/>
      <c r="K4" s="216"/>
      <c r="L4" s="216"/>
      <c r="M4" s="216"/>
      <c r="N4" s="220"/>
      <c r="O4" s="220"/>
      <c r="P4" s="221"/>
      <c r="Q4" s="227"/>
      <c r="R4" s="228"/>
      <c r="S4" s="228"/>
      <c r="T4" s="228"/>
      <c r="U4" s="228"/>
      <c r="V4" s="228"/>
      <c r="W4" s="228"/>
      <c r="X4" s="228"/>
      <c r="Y4" s="229"/>
      <c r="Z4" s="233"/>
      <c r="AA4" s="234"/>
      <c r="AB4" s="234"/>
      <c r="AC4" s="234"/>
      <c r="AD4" s="234"/>
      <c r="AE4" s="234"/>
      <c r="AF4" s="235"/>
      <c r="AG4" s="272"/>
      <c r="AH4" s="272"/>
      <c r="AI4" s="272"/>
      <c r="AJ4" s="272"/>
      <c r="AK4" s="272"/>
      <c r="AL4" s="272"/>
      <c r="AM4" s="272"/>
      <c r="AN4" s="272"/>
      <c r="AO4" s="272"/>
      <c r="AP4" s="272"/>
      <c r="AQ4" s="3"/>
      <c r="AR4" s="4"/>
      <c r="AS4" s="253"/>
      <c r="AT4" s="254"/>
      <c r="AU4" s="254"/>
      <c r="AV4" s="254"/>
      <c r="AW4" s="260"/>
      <c r="AX4" s="261"/>
      <c r="AY4" s="261"/>
      <c r="AZ4" s="262"/>
      <c r="BA4" s="267"/>
    </row>
    <row r="5" spans="1:53" ht="21" thickBot="1" x14ac:dyDescent="0.25">
      <c r="A5" s="213"/>
      <c r="B5" s="214"/>
      <c r="C5" s="214"/>
      <c r="D5" s="217"/>
      <c r="E5" s="217"/>
      <c r="F5" s="217"/>
      <c r="G5" s="217"/>
      <c r="H5" s="217"/>
      <c r="I5" s="217"/>
      <c r="J5" s="217"/>
      <c r="K5" s="217"/>
      <c r="L5" s="217"/>
      <c r="M5" s="217"/>
      <c r="N5" s="222"/>
      <c r="O5" s="222"/>
      <c r="P5" s="223"/>
      <c r="Q5" s="227"/>
      <c r="R5" s="228"/>
      <c r="S5" s="228"/>
      <c r="T5" s="228"/>
      <c r="U5" s="228"/>
      <c r="V5" s="228"/>
      <c r="W5" s="228"/>
      <c r="X5" s="228"/>
      <c r="Y5" s="229"/>
      <c r="Z5" s="233"/>
      <c r="AA5" s="234"/>
      <c r="AB5" s="234"/>
      <c r="AC5" s="234"/>
      <c r="AD5" s="234"/>
      <c r="AE5" s="234"/>
      <c r="AF5" s="235"/>
      <c r="AG5" s="269" t="s">
        <v>9</v>
      </c>
      <c r="AH5" s="269"/>
      <c r="AI5" s="269"/>
      <c r="AJ5" s="269"/>
      <c r="AK5" s="270"/>
      <c r="AL5" s="5"/>
      <c r="AM5" s="269" t="s">
        <v>10</v>
      </c>
      <c r="AN5" s="269"/>
      <c r="AO5" s="269"/>
      <c r="AP5" s="270"/>
      <c r="AQ5" s="6"/>
      <c r="AR5" s="7"/>
      <c r="AS5" s="255"/>
      <c r="AT5" s="256"/>
      <c r="AU5" s="256"/>
      <c r="AV5" s="256"/>
      <c r="AW5" s="263"/>
      <c r="AX5" s="264"/>
      <c r="AY5" s="264"/>
      <c r="AZ5" s="265"/>
      <c r="BA5" s="268"/>
    </row>
    <row r="6" spans="1:53" x14ac:dyDescent="0.2">
      <c r="A6" s="236" t="s">
        <v>11</v>
      </c>
      <c r="B6" s="239" t="s">
        <v>12</v>
      </c>
      <c r="C6" s="239" t="s">
        <v>13</v>
      </c>
      <c r="D6" s="242" t="s">
        <v>14</v>
      </c>
      <c r="E6" s="243"/>
      <c r="F6" s="246" t="s">
        <v>15</v>
      </c>
      <c r="G6" s="243"/>
      <c r="H6" s="292" t="s">
        <v>16</v>
      </c>
      <c r="I6" s="293"/>
      <c r="J6" s="296" t="s">
        <v>17</v>
      </c>
      <c r="K6" s="299" t="s">
        <v>18</v>
      </c>
      <c r="L6" s="292" t="s">
        <v>19</v>
      </c>
      <c r="M6" s="303" t="s">
        <v>20</v>
      </c>
      <c r="N6" s="248" t="s">
        <v>21</v>
      </c>
      <c r="O6" s="248" t="s">
        <v>19</v>
      </c>
      <c r="P6" s="248" t="s">
        <v>20</v>
      </c>
      <c r="Q6" s="273" t="s">
        <v>22</v>
      </c>
      <c r="R6" s="276" t="s">
        <v>23</v>
      </c>
      <c r="S6" s="276"/>
      <c r="T6" s="277"/>
      <c r="U6" s="280" t="s">
        <v>24</v>
      </c>
      <c r="V6" s="280"/>
      <c r="W6" s="281"/>
      <c r="X6" s="353" t="s">
        <v>19</v>
      </c>
      <c r="Y6" s="330" t="s">
        <v>20</v>
      </c>
      <c r="Z6" s="333" t="s">
        <v>23</v>
      </c>
      <c r="AA6" s="334"/>
      <c r="AB6" s="335"/>
      <c r="AC6" s="339" t="s">
        <v>24</v>
      </c>
      <c r="AD6" s="339"/>
      <c r="AE6" s="339" t="s">
        <v>19</v>
      </c>
      <c r="AF6" s="342" t="s">
        <v>20</v>
      </c>
      <c r="AG6" s="351" t="s">
        <v>25</v>
      </c>
      <c r="AH6" s="318" t="s">
        <v>26</v>
      </c>
      <c r="AI6" s="321" t="s">
        <v>24</v>
      </c>
      <c r="AJ6" s="321"/>
      <c r="AK6" s="321"/>
      <c r="AL6" s="323" t="s">
        <v>27</v>
      </c>
      <c r="AM6" s="325" t="s">
        <v>25</v>
      </c>
      <c r="AN6" s="321" t="s">
        <v>24</v>
      </c>
      <c r="AO6" s="321"/>
      <c r="AP6" s="309"/>
      <c r="AQ6" s="327" t="s">
        <v>19</v>
      </c>
      <c r="AR6" s="309" t="s">
        <v>20</v>
      </c>
      <c r="AS6" s="312" t="s">
        <v>28</v>
      </c>
      <c r="AT6" s="315" t="s">
        <v>29</v>
      </c>
      <c r="AU6" s="315" t="s">
        <v>19</v>
      </c>
      <c r="AV6" s="315" t="s">
        <v>20</v>
      </c>
      <c r="AW6" s="348" t="s">
        <v>30</v>
      </c>
      <c r="AX6" s="284" t="s">
        <v>29</v>
      </c>
      <c r="AY6" s="284" t="s">
        <v>19</v>
      </c>
      <c r="AZ6" s="287" t="s">
        <v>20</v>
      </c>
      <c r="BA6" s="290" t="s">
        <v>31</v>
      </c>
    </row>
    <row r="7" spans="1:53" x14ac:dyDescent="0.2">
      <c r="A7" s="237"/>
      <c r="B7" s="240"/>
      <c r="C7" s="240"/>
      <c r="D7" s="244"/>
      <c r="E7" s="245"/>
      <c r="F7" s="247"/>
      <c r="G7" s="245"/>
      <c r="H7" s="294"/>
      <c r="I7" s="295"/>
      <c r="J7" s="297"/>
      <c r="K7" s="300"/>
      <c r="L7" s="294"/>
      <c r="M7" s="304"/>
      <c r="N7" s="249"/>
      <c r="O7" s="249"/>
      <c r="P7" s="249"/>
      <c r="Q7" s="274"/>
      <c r="R7" s="278"/>
      <c r="S7" s="278"/>
      <c r="T7" s="279"/>
      <c r="U7" s="282"/>
      <c r="V7" s="282"/>
      <c r="W7" s="283"/>
      <c r="X7" s="354"/>
      <c r="Y7" s="331"/>
      <c r="Z7" s="336"/>
      <c r="AA7" s="337"/>
      <c r="AB7" s="338"/>
      <c r="AC7" s="340"/>
      <c r="AD7" s="340"/>
      <c r="AE7" s="340"/>
      <c r="AF7" s="343"/>
      <c r="AG7" s="352"/>
      <c r="AH7" s="319"/>
      <c r="AI7" s="322"/>
      <c r="AJ7" s="322"/>
      <c r="AK7" s="322"/>
      <c r="AL7" s="324"/>
      <c r="AM7" s="326"/>
      <c r="AN7" s="322"/>
      <c r="AO7" s="322"/>
      <c r="AP7" s="310"/>
      <c r="AQ7" s="328"/>
      <c r="AR7" s="310"/>
      <c r="AS7" s="313"/>
      <c r="AT7" s="316"/>
      <c r="AU7" s="316"/>
      <c r="AV7" s="316"/>
      <c r="AW7" s="349"/>
      <c r="AX7" s="285"/>
      <c r="AY7" s="285"/>
      <c r="AZ7" s="288"/>
      <c r="BA7" s="290"/>
    </row>
    <row r="8" spans="1:53" ht="16" thickBot="1" x14ac:dyDescent="0.25">
      <c r="A8" s="238"/>
      <c r="B8" s="241"/>
      <c r="C8" s="241"/>
      <c r="D8" s="8" t="s">
        <v>32</v>
      </c>
      <c r="E8" s="9" t="s">
        <v>33</v>
      </c>
      <c r="F8" s="10" t="s">
        <v>32</v>
      </c>
      <c r="G8" s="9" t="s">
        <v>33</v>
      </c>
      <c r="H8" s="11" t="s">
        <v>32</v>
      </c>
      <c r="I8" s="12" t="s">
        <v>33</v>
      </c>
      <c r="J8" s="298"/>
      <c r="K8" s="301"/>
      <c r="L8" s="302"/>
      <c r="M8" s="305"/>
      <c r="N8" s="250"/>
      <c r="O8" s="250"/>
      <c r="P8" s="250"/>
      <c r="Q8" s="275"/>
      <c r="R8" s="13" t="s">
        <v>32</v>
      </c>
      <c r="S8" s="13" t="s">
        <v>34</v>
      </c>
      <c r="T8" s="14" t="s">
        <v>33</v>
      </c>
      <c r="U8" s="15" t="s">
        <v>32</v>
      </c>
      <c r="V8" s="15" t="s">
        <v>34</v>
      </c>
      <c r="W8" s="16" t="s">
        <v>33</v>
      </c>
      <c r="X8" s="355"/>
      <c r="Y8" s="332"/>
      <c r="Z8" s="17" t="s">
        <v>32</v>
      </c>
      <c r="AA8" s="18" t="s">
        <v>34</v>
      </c>
      <c r="AB8" s="19" t="s">
        <v>33</v>
      </c>
      <c r="AC8" s="20" t="s">
        <v>32</v>
      </c>
      <c r="AD8" s="20" t="s">
        <v>34</v>
      </c>
      <c r="AE8" s="341"/>
      <c r="AF8" s="344"/>
      <c r="AG8" s="21" t="s">
        <v>34</v>
      </c>
      <c r="AH8" s="320"/>
      <c r="AI8" s="22" t="s">
        <v>32</v>
      </c>
      <c r="AJ8" s="22" t="s">
        <v>34</v>
      </c>
      <c r="AK8" s="22" t="s">
        <v>33</v>
      </c>
      <c r="AL8" s="324"/>
      <c r="AM8" s="23" t="s">
        <v>33</v>
      </c>
      <c r="AN8" s="22" t="s">
        <v>32</v>
      </c>
      <c r="AO8" s="22" t="s">
        <v>34</v>
      </c>
      <c r="AP8" s="24" t="s">
        <v>33</v>
      </c>
      <c r="AQ8" s="329"/>
      <c r="AR8" s="311"/>
      <c r="AS8" s="314"/>
      <c r="AT8" s="317"/>
      <c r="AU8" s="317"/>
      <c r="AV8" s="317"/>
      <c r="AW8" s="350"/>
      <c r="AX8" s="286"/>
      <c r="AY8" s="286"/>
      <c r="AZ8" s="289"/>
      <c r="BA8" s="291"/>
    </row>
    <row r="9" spans="1:53" ht="16" thickBot="1" x14ac:dyDescent="0.25">
      <c r="A9" s="25">
        <v>0</v>
      </c>
      <c r="B9" s="26">
        <v>45344</v>
      </c>
      <c r="C9" s="27" t="s">
        <v>314</v>
      </c>
      <c r="D9" s="25"/>
      <c r="E9" s="28"/>
      <c r="F9" s="27"/>
      <c r="G9" s="28"/>
      <c r="H9" s="27"/>
      <c r="I9" s="28"/>
      <c r="J9" s="27">
        <v>4</v>
      </c>
      <c r="K9" s="29" t="s">
        <v>35</v>
      </c>
      <c r="L9" s="30" t="s">
        <v>306</v>
      </c>
      <c r="M9" s="31" t="s">
        <v>311</v>
      </c>
      <c r="N9" s="27"/>
      <c r="P9" s="32"/>
      <c r="Q9" s="25"/>
      <c r="R9" s="27"/>
      <c r="S9" s="27"/>
      <c r="T9" s="28"/>
      <c r="U9" s="27"/>
      <c r="V9" s="27"/>
      <c r="W9" s="28"/>
      <c r="X9" s="33"/>
      <c r="Y9" s="32"/>
      <c r="Z9" s="25"/>
      <c r="AA9" s="27"/>
      <c r="AB9" s="28"/>
      <c r="AC9" s="27"/>
      <c r="AD9" s="27"/>
      <c r="AE9" s="33"/>
      <c r="AG9" s="25"/>
      <c r="AH9" s="34"/>
      <c r="AI9" s="27"/>
      <c r="AJ9" s="27"/>
      <c r="AK9" s="27"/>
      <c r="AL9" s="25"/>
      <c r="AM9" s="35"/>
      <c r="AN9" s="27"/>
      <c r="AO9" s="27"/>
      <c r="AP9" s="36"/>
      <c r="AQ9" s="37"/>
      <c r="AR9" s="32"/>
      <c r="AS9" s="25"/>
      <c r="AT9" s="27"/>
      <c r="AU9" s="27"/>
      <c r="AW9" s="25"/>
      <c r="AX9" s="27"/>
      <c r="AY9" s="27"/>
      <c r="AZ9" s="32"/>
      <c r="BA9" s="38"/>
    </row>
    <row r="10" spans="1:53" ht="16" thickBot="1" x14ac:dyDescent="0.25">
      <c r="A10" s="25">
        <v>1</v>
      </c>
      <c r="B10" s="26">
        <v>45345</v>
      </c>
      <c r="C10" s="27" t="s">
        <v>200</v>
      </c>
      <c r="D10" s="25"/>
      <c r="E10" s="28"/>
      <c r="F10" s="27"/>
      <c r="G10" s="28"/>
      <c r="H10" s="27"/>
      <c r="I10" s="28"/>
      <c r="J10" s="27">
        <v>4</v>
      </c>
      <c r="K10" s="29" t="s">
        <v>35</v>
      </c>
      <c r="L10" s="39"/>
      <c r="M10" s="31" t="s">
        <v>312</v>
      </c>
      <c r="N10" s="27"/>
      <c r="P10" s="32"/>
      <c r="Q10" s="40"/>
      <c r="R10" s="27"/>
      <c r="S10" s="27"/>
      <c r="T10" s="28"/>
      <c r="U10" s="27"/>
      <c r="V10" s="27"/>
      <c r="W10" s="28"/>
      <c r="X10" s="33"/>
      <c r="Y10" s="32"/>
      <c r="Z10" s="25"/>
      <c r="AA10" s="27"/>
      <c r="AB10" s="28"/>
      <c r="AC10" s="27"/>
      <c r="AD10" s="27"/>
      <c r="AE10" s="33"/>
      <c r="AG10" s="25"/>
      <c r="AH10" s="34"/>
      <c r="AI10" s="27"/>
      <c r="AJ10" s="27"/>
      <c r="AK10" s="27"/>
      <c r="AL10" s="25"/>
      <c r="AM10" s="34"/>
      <c r="AN10" s="27"/>
      <c r="AO10" s="27"/>
      <c r="AP10" s="36"/>
      <c r="AQ10" s="37"/>
      <c r="AR10" s="32"/>
      <c r="AS10" s="25"/>
      <c r="AT10" s="27"/>
      <c r="AU10" s="27"/>
      <c r="AW10" s="25"/>
      <c r="AX10" s="27"/>
      <c r="AY10" s="27"/>
      <c r="AZ10" s="32"/>
      <c r="BA10" s="41"/>
    </row>
    <row r="11" spans="1:53" ht="16" thickBot="1" x14ac:dyDescent="0.25">
      <c r="A11" s="25">
        <v>2</v>
      </c>
      <c r="B11" s="26">
        <v>45346</v>
      </c>
      <c r="C11" s="27" t="s">
        <v>200</v>
      </c>
      <c r="D11" s="25"/>
      <c r="E11" s="28"/>
      <c r="F11" s="27"/>
      <c r="G11" s="28"/>
      <c r="H11" s="27"/>
      <c r="I11" s="28"/>
      <c r="J11" s="27">
        <v>4</v>
      </c>
      <c r="K11" s="29" t="s">
        <v>35</v>
      </c>
      <c r="L11" s="39"/>
      <c r="M11" s="31" t="s">
        <v>315</v>
      </c>
      <c r="N11" s="27"/>
      <c r="O11" s="42"/>
      <c r="Q11" s="43" t="s">
        <v>37</v>
      </c>
      <c r="R11" s="27"/>
      <c r="S11" s="27"/>
      <c r="T11" s="28"/>
      <c r="U11" s="27"/>
      <c r="V11" s="27"/>
      <c r="W11" s="28"/>
      <c r="X11" s="33"/>
      <c r="Y11" s="32"/>
      <c r="Z11" s="25"/>
      <c r="AA11" s="27"/>
      <c r="AB11" s="28"/>
      <c r="AC11" s="27"/>
      <c r="AD11" s="27"/>
      <c r="AE11" s="33"/>
      <c r="AG11" s="25"/>
      <c r="AH11" s="34"/>
      <c r="AI11" s="27"/>
      <c r="AJ11" s="27"/>
      <c r="AK11" s="27"/>
      <c r="AL11" s="25"/>
      <c r="AM11" s="34"/>
      <c r="AN11" s="27"/>
      <c r="AO11" s="27"/>
      <c r="AP11" s="36"/>
      <c r="AQ11" s="37"/>
      <c r="AR11" s="32"/>
      <c r="AS11" s="25"/>
      <c r="AT11" s="27"/>
      <c r="AU11" s="27"/>
      <c r="AW11" s="25"/>
      <c r="AX11" s="27"/>
      <c r="AY11" s="27"/>
      <c r="AZ11" s="32"/>
      <c r="BA11" s="41"/>
    </row>
    <row r="12" spans="1:53" ht="16" thickBot="1" x14ac:dyDescent="0.25">
      <c r="A12" s="25">
        <v>3</v>
      </c>
      <c r="B12" s="26">
        <v>45347</v>
      </c>
      <c r="C12" s="27" t="s">
        <v>232</v>
      </c>
      <c r="D12" s="25"/>
      <c r="E12" s="28"/>
      <c r="F12" s="27"/>
      <c r="G12" s="28"/>
      <c r="H12" s="27"/>
      <c r="I12" s="28"/>
      <c r="J12" s="27">
        <v>6</v>
      </c>
      <c r="K12" s="29" t="s">
        <v>35</v>
      </c>
      <c r="L12" s="44" t="s">
        <v>287</v>
      </c>
      <c r="M12" s="199" t="s">
        <v>317</v>
      </c>
      <c r="N12" s="185" t="s">
        <v>240</v>
      </c>
      <c r="O12" s="45" t="s">
        <v>41</v>
      </c>
      <c r="P12" s="46"/>
      <c r="Q12" s="25"/>
      <c r="R12" s="27"/>
      <c r="S12" s="27"/>
      <c r="T12" s="28"/>
      <c r="U12" s="27">
        <v>5</v>
      </c>
      <c r="V12" s="27"/>
      <c r="W12" s="28">
        <v>5</v>
      </c>
      <c r="X12" s="47" t="s">
        <v>43</v>
      </c>
      <c r="Y12" s="32"/>
      <c r="Z12" s="25"/>
      <c r="AA12" s="27"/>
      <c r="AB12" s="28"/>
      <c r="AC12" s="27">
        <v>3</v>
      </c>
      <c r="AD12" s="27">
        <v>2</v>
      </c>
      <c r="AE12" s="48" t="s">
        <v>296</v>
      </c>
      <c r="AF12" s="200" t="s">
        <v>313</v>
      </c>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4</v>
      </c>
      <c r="B13" s="26">
        <v>45348</v>
      </c>
      <c r="C13" s="27" t="s">
        <v>232</v>
      </c>
      <c r="D13" s="25"/>
      <c r="E13" s="28"/>
      <c r="F13" s="27"/>
      <c r="G13" s="28"/>
      <c r="H13" s="27"/>
      <c r="I13" s="28"/>
      <c r="J13" s="27">
        <v>6</v>
      </c>
      <c r="K13" s="29" t="s">
        <v>35</v>
      </c>
      <c r="L13" s="39"/>
      <c r="M13" s="31"/>
      <c r="N13" s="185" t="s">
        <v>240</v>
      </c>
      <c r="O13" t="s">
        <v>46</v>
      </c>
      <c r="P13" s="32"/>
      <c r="Q13" s="25"/>
      <c r="R13" s="27"/>
      <c r="S13" s="27"/>
      <c r="T13" s="28"/>
      <c r="U13" s="27">
        <v>5</v>
      </c>
      <c r="V13" s="27"/>
      <c r="W13" s="28">
        <v>5</v>
      </c>
      <c r="X13" s="345" t="s">
        <v>47</v>
      </c>
      <c r="Y13" s="32"/>
      <c r="Z13" s="25"/>
      <c r="AA13" s="27"/>
      <c r="AB13" s="28"/>
      <c r="AC13" s="27">
        <v>3</v>
      </c>
      <c r="AD13" s="27">
        <v>2</v>
      </c>
      <c r="AE13" s="33"/>
      <c r="AF13" s="200"/>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5</v>
      </c>
      <c r="B14" s="26">
        <v>45349</v>
      </c>
      <c r="C14" s="27"/>
      <c r="D14" s="25"/>
      <c r="E14" s="28"/>
      <c r="F14" s="27"/>
      <c r="G14" s="28"/>
      <c r="H14" s="27"/>
      <c r="I14" s="28"/>
      <c r="J14" s="27">
        <v>6</v>
      </c>
      <c r="K14" s="29" t="s">
        <v>35</v>
      </c>
      <c r="L14" s="39"/>
      <c r="M14" s="31"/>
      <c r="N14" s="185" t="s">
        <v>240</v>
      </c>
      <c r="P14" s="32"/>
      <c r="Q14" s="25"/>
      <c r="R14" s="27"/>
      <c r="S14" s="27"/>
      <c r="T14" s="28"/>
      <c r="U14" s="27">
        <v>5</v>
      </c>
      <c r="V14" s="27"/>
      <c r="W14" s="28">
        <v>5</v>
      </c>
      <c r="X14" s="346"/>
      <c r="Y14" s="32"/>
      <c r="Z14" s="25"/>
      <c r="AA14" s="27"/>
      <c r="AB14" s="28"/>
      <c r="AC14" s="27">
        <v>3</v>
      </c>
      <c r="AD14" s="27">
        <v>2</v>
      </c>
      <c r="AE14" s="33"/>
      <c r="AF14" s="200"/>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6</v>
      </c>
      <c r="B15" s="26">
        <v>45350</v>
      </c>
      <c r="C15" s="27" t="s">
        <v>232</v>
      </c>
      <c r="D15" s="25"/>
      <c r="E15" s="28"/>
      <c r="F15" s="27"/>
      <c r="G15" s="28"/>
      <c r="H15" s="27"/>
      <c r="I15" s="28"/>
      <c r="J15" s="27">
        <v>6</v>
      </c>
      <c r="K15" s="29" t="s">
        <v>35</v>
      </c>
      <c r="L15" s="39"/>
      <c r="M15" s="31"/>
      <c r="N15" s="185" t="s">
        <v>240</v>
      </c>
      <c r="P15" s="32"/>
      <c r="Q15" s="25"/>
      <c r="R15" s="27"/>
      <c r="S15" s="27"/>
      <c r="T15" s="28"/>
      <c r="U15" s="27">
        <v>5</v>
      </c>
      <c r="V15" s="27"/>
      <c r="W15" s="28">
        <v>5</v>
      </c>
      <c r="X15" s="346"/>
      <c r="Y15" s="32"/>
      <c r="Z15" s="25"/>
      <c r="AA15" s="27"/>
      <c r="AB15" s="28"/>
      <c r="AC15" s="27">
        <v>3</v>
      </c>
      <c r="AD15" s="27">
        <v>2</v>
      </c>
      <c r="AE15" s="33"/>
      <c r="AF15" s="200"/>
      <c r="AG15" s="25"/>
      <c r="AH15" s="34"/>
      <c r="AI15" s="27"/>
      <c r="AJ15" s="27"/>
      <c r="AK15" s="27"/>
      <c r="AL15" s="25"/>
      <c r="AM15" s="34"/>
      <c r="AN15" s="27"/>
      <c r="AO15" s="27"/>
      <c r="AP15" s="36"/>
      <c r="AQ15" s="37"/>
      <c r="AR15" s="32"/>
      <c r="AS15" s="25"/>
      <c r="AT15" s="27"/>
      <c r="AU15" s="27"/>
      <c r="AW15" s="25"/>
      <c r="AX15" s="27"/>
      <c r="AY15" s="27"/>
      <c r="AZ15" s="32"/>
      <c r="BA15" s="41"/>
    </row>
    <row r="16" spans="1:53" x14ac:dyDescent="0.2">
      <c r="A16" s="25">
        <v>7</v>
      </c>
      <c r="B16" s="26">
        <v>45351</v>
      </c>
      <c r="C16" s="27" t="s">
        <v>232</v>
      </c>
      <c r="D16" s="25"/>
      <c r="E16" s="28"/>
      <c r="F16" s="27"/>
      <c r="G16" s="28"/>
      <c r="H16" s="27"/>
      <c r="I16" s="28"/>
      <c r="J16" s="27">
        <v>6</v>
      </c>
      <c r="K16" s="29" t="s">
        <v>35</v>
      </c>
      <c r="L16" s="39"/>
      <c r="M16" s="31"/>
      <c r="N16" s="185" t="s">
        <v>240</v>
      </c>
      <c r="P16" s="32"/>
      <c r="Q16" s="25"/>
      <c r="R16" s="27"/>
      <c r="S16" s="27"/>
      <c r="T16" s="28"/>
      <c r="U16" s="27">
        <v>5</v>
      </c>
      <c r="V16" s="27"/>
      <c r="W16" s="28">
        <v>5</v>
      </c>
      <c r="X16" s="346"/>
      <c r="Y16" s="32"/>
      <c r="Z16" s="25"/>
      <c r="AA16" s="27"/>
      <c r="AB16" s="28"/>
      <c r="AC16" s="27">
        <v>3</v>
      </c>
      <c r="AD16" s="27">
        <v>2</v>
      </c>
      <c r="AE16" s="33"/>
      <c r="AF16" s="200"/>
      <c r="AG16" s="25"/>
      <c r="AH16" s="34"/>
      <c r="AI16" s="27"/>
      <c r="AJ16" s="27"/>
      <c r="AK16" s="27"/>
      <c r="AL16" s="25"/>
      <c r="AM16" s="34"/>
      <c r="AN16" s="27"/>
      <c r="AO16" s="27"/>
      <c r="AP16" s="36"/>
      <c r="AQ16" s="37"/>
      <c r="AR16" s="32"/>
      <c r="AS16" s="25"/>
      <c r="AT16" s="27"/>
      <c r="AU16" s="27"/>
      <c r="AW16" s="25"/>
      <c r="AX16" s="27"/>
      <c r="AY16" s="27"/>
      <c r="AZ16" s="32"/>
      <c r="BA16" s="41"/>
    </row>
    <row r="17" spans="1:54" x14ac:dyDescent="0.2">
      <c r="A17" s="25">
        <v>8</v>
      </c>
      <c r="B17" s="26">
        <v>45352</v>
      </c>
      <c r="C17" s="27" t="s">
        <v>232</v>
      </c>
      <c r="D17" s="25"/>
      <c r="E17" s="28"/>
      <c r="F17" s="27"/>
      <c r="G17" s="28"/>
      <c r="H17" s="27"/>
      <c r="I17" s="28"/>
      <c r="J17" s="27">
        <v>6</v>
      </c>
      <c r="K17" s="29" t="s">
        <v>35</v>
      </c>
      <c r="L17" s="39"/>
      <c r="M17" s="31"/>
      <c r="N17" s="185" t="s">
        <v>240</v>
      </c>
      <c r="P17" s="32"/>
      <c r="Q17" s="25"/>
      <c r="R17" s="27"/>
      <c r="S17" s="27"/>
      <c r="T17" s="28"/>
      <c r="U17" s="27">
        <v>5</v>
      </c>
      <c r="V17" s="27"/>
      <c r="W17" s="28">
        <v>5</v>
      </c>
      <c r="X17" s="346"/>
      <c r="Y17" s="32"/>
      <c r="Z17" s="25"/>
      <c r="AA17" s="27"/>
      <c r="AB17" s="28"/>
      <c r="AC17" s="27">
        <v>3</v>
      </c>
      <c r="AD17" s="27">
        <v>2</v>
      </c>
      <c r="AE17" s="33"/>
      <c r="AF17" s="200"/>
      <c r="AG17" s="25"/>
      <c r="AH17" s="34"/>
      <c r="AI17" s="27"/>
      <c r="AJ17" s="27"/>
      <c r="AK17" s="27"/>
      <c r="AL17" s="25"/>
      <c r="AM17" s="34"/>
      <c r="AN17" s="27"/>
      <c r="AO17" s="27"/>
      <c r="AP17" s="36"/>
      <c r="AQ17" s="37"/>
      <c r="AR17" s="32"/>
      <c r="AS17" s="25"/>
      <c r="AT17" s="27"/>
      <c r="AU17" s="27"/>
      <c r="AW17" s="25"/>
      <c r="AX17" s="27"/>
      <c r="AY17" s="27"/>
      <c r="AZ17" s="32"/>
      <c r="BA17" s="41"/>
    </row>
    <row r="18" spans="1:54" ht="16" thickBot="1" x14ac:dyDescent="0.25">
      <c r="A18" s="25">
        <v>9</v>
      </c>
      <c r="B18" s="26">
        <v>45353</v>
      </c>
      <c r="C18" s="27" t="s">
        <v>112</v>
      </c>
      <c r="D18" s="25"/>
      <c r="E18" s="28"/>
      <c r="F18" s="27"/>
      <c r="G18" s="28"/>
      <c r="H18" s="27"/>
      <c r="I18" s="28"/>
      <c r="J18" s="27">
        <v>6</v>
      </c>
      <c r="K18" s="29" t="s">
        <v>35</v>
      </c>
      <c r="L18" s="39" t="s">
        <v>321</v>
      </c>
      <c r="M18" s="31"/>
      <c r="N18" s="185" t="s">
        <v>240</v>
      </c>
      <c r="P18" s="32"/>
      <c r="Q18" s="25"/>
      <c r="R18" s="27"/>
      <c r="S18" s="27"/>
      <c r="T18" s="28"/>
      <c r="U18" s="27">
        <v>5</v>
      </c>
      <c r="V18" s="27"/>
      <c r="W18" s="28">
        <v>5</v>
      </c>
      <c r="X18" s="346"/>
      <c r="Y18" s="32"/>
      <c r="Z18" s="25"/>
      <c r="AA18" s="27"/>
      <c r="AB18" s="28"/>
      <c r="AC18" s="27">
        <v>3</v>
      </c>
      <c r="AD18" s="27">
        <v>2</v>
      </c>
      <c r="AE18" s="33"/>
      <c r="AG18" s="25"/>
      <c r="AH18" s="34"/>
      <c r="AI18" s="27"/>
      <c r="AJ18" s="27"/>
      <c r="AK18" s="27"/>
      <c r="AL18" s="25"/>
      <c r="AM18" s="34"/>
      <c r="AN18" s="27"/>
      <c r="AO18" s="27"/>
      <c r="AP18" s="36"/>
      <c r="AQ18" s="37"/>
      <c r="AR18" s="32"/>
      <c r="AS18" s="25"/>
      <c r="AT18" s="27"/>
      <c r="AU18" s="27"/>
      <c r="AW18" s="25"/>
      <c r="AX18" s="27"/>
      <c r="AY18" s="27"/>
      <c r="AZ18" s="32"/>
      <c r="BA18" s="41"/>
    </row>
    <row r="19" spans="1:54" ht="16" thickBot="1" x14ac:dyDescent="0.25">
      <c r="A19" s="25">
        <v>10</v>
      </c>
      <c r="B19" s="26">
        <v>45354</v>
      </c>
      <c r="C19" s="27" t="s">
        <v>232</v>
      </c>
      <c r="D19" s="25"/>
      <c r="E19" s="28"/>
      <c r="F19" s="27"/>
      <c r="G19" s="28"/>
      <c r="H19" s="27"/>
      <c r="I19" s="28"/>
      <c r="J19" s="27">
        <v>6</v>
      </c>
      <c r="K19" s="29" t="s">
        <v>35</v>
      </c>
      <c r="L19" s="39"/>
      <c r="M19" s="31"/>
      <c r="N19" s="185" t="s">
        <v>240</v>
      </c>
      <c r="O19" s="49"/>
      <c r="P19" s="32"/>
      <c r="Q19" s="25"/>
      <c r="R19" s="27"/>
      <c r="S19" s="27"/>
      <c r="T19" s="28"/>
      <c r="U19" s="27">
        <v>5</v>
      </c>
      <c r="V19" s="27"/>
      <c r="W19" s="28">
        <v>5</v>
      </c>
      <c r="X19" s="346"/>
      <c r="Y19" s="32"/>
      <c r="Z19" s="25"/>
      <c r="AA19" s="27"/>
      <c r="AB19" s="28"/>
      <c r="AC19" s="27">
        <v>5</v>
      </c>
      <c r="AD19" s="27">
        <v>5</v>
      </c>
      <c r="AE19" s="50" t="s">
        <v>297</v>
      </c>
      <c r="AF19" s="182"/>
      <c r="AG19" s="25"/>
      <c r="AH19" s="34"/>
      <c r="AI19" s="27"/>
      <c r="AJ19" s="27"/>
      <c r="AK19" s="27"/>
      <c r="AL19" s="25"/>
      <c r="AM19" s="34"/>
      <c r="AN19" s="27"/>
      <c r="AO19" s="27"/>
      <c r="AP19" s="36"/>
      <c r="AQ19" s="37"/>
      <c r="AR19" s="32"/>
      <c r="AS19" s="25"/>
      <c r="AT19" s="27"/>
      <c r="AU19" s="27"/>
      <c r="AW19" s="25"/>
      <c r="AX19" s="27"/>
      <c r="AY19" s="27"/>
      <c r="AZ19" s="32"/>
      <c r="BA19" s="41"/>
    </row>
    <row r="20" spans="1:54" ht="16" thickBot="1" x14ac:dyDescent="0.25">
      <c r="A20" s="25">
        <v>11</v>
      </c>
      <c r="B20" s="26">
        <v>45355</v>
      </c>
      <c r="C20" s="27" t="s">
        <v>232</v>
      </c>
      <c r="D20" s="25"/>
      <c r="E20" s="28"/>
      <c r="F20" s="27"/>
      <c r="G20" s="28"/>
      <c r="H20" s="27"/>
      <c r="I20" s="28"/>
      <c r="J20" s="27">
        <v>6</v>
      </c>
      <c r="K20" s="29" t="s">
        <v>35</v>
      </c>
      <c r="L20" s="52"/>
      <c r="M20" s="31" t="s">
        <v>329</v>
      </c>
      <c r="N20" s="185" t="s">
        <v>240</v>
      </c>
      <c r="O20" t="s">
        <v>273</v>
      </c>
      <c r="P20" s="32"/>
      <c r="Q20" s="25"/>
      <c r="R20" s="27"/>
      <c r="S20" s="27"/>
      <c r="T20" s="28"/>
      <c r="U20" s="27">
        <v>5</v>
      </c>
      <c r="V20" s="27"/>
      <c r="W20" s="28">
        <v>5</v>
      </c>
      <c r="X20" s="347"/>
      <c r="Y20" s="32"/>
      <c r="Z20" s="25"/>
      <c r="AA20" s="27"/>
      <c r="AB20" s="28"/>
      <c r="AC20" s="27">
        <v>5</v>
      </c>
      <c r="AD20" s="27">
        <v>5</v>
      </c>
      <c r="AE20" s="33"/>
      <c r="AF20" s="66"/>
      <c r="AG20" s="25"/>
      <c r="AH20" s="34"/>
      <c r="AI20" s="27"/>
      <c r="AJ20" s="27"/>
      <c r="AK20" s="27"/>
      <c r="AL20" s="25"/>
      <c r="AM20" s="34"/>
      <c r="AN20" s="27"/>
      <c r="AO20" s="27"/>
      <c r="AP20" s="36"/>
      <c r="AQ20" s="37"/>
      <c r="AR20" s="32"/>
      <c r="AS20" s="25"/>
      <c r="AT20" s="27"/>
      <c r="AU20" s="27"/>
      <c r="AW20" s="25"/>
      <c r="AX20" s="27"/>
      <c r="AY20" s="27"/>
      <c r="AZ20" s="32"/>
      <c r="BA20" s="41"/>
    </row>
    <row r="21" spans="1:54" ht="16" thickBot="1" x14ac:dyDescent="0.25">
      <c r="A21" s="25">
        <v>12</v>
      </c>
      <c r="B21" s="26">
        <v>45356</v>
      </c>
      <c r="C21" s="27" t="s">
        <v>232</v>
      </c>
      <c r="D21" s="25"/>
      <c r="E21" s="28"/>
      <c r="F21" s="27"/>
      <c r="G21" s="28"/>
      <c r="H21" s="27"/>
      <c r="I21" s="28"/>
      <c r="J21" s="27">
        <v>6</v>
      </c>
      <c r="K21" s="29" t="s">
        <v>35</v>
      </c>
      <c r="L21" s="53"/>
      <c r="M21" s="31"/>
      <c r="N21" s="185" t="s">
        <v>240</v>
      </c>
      <c r="P21" s="32"/>
      <c r="Q21" s="25"/>
      <c r="R21" s="27"/>
      <c r="S21" s="27"/>
      <c r="T21" s="28"/>
      <c r="U21" s="27">
        <v>1</v>
      </c>
      <c r="V21" s="27"/>
      <c r="W21" s="28">
        <v>1</v>
      </c>
      <c r="X21" s="54" t="s">
        <v>49</v>
      </c>
      <c r="Y21" s="32"/>
      <c r="Z21" s="25"/>
      <c r="AA21" s="27"/>
      <c r="AB21" s="28"/>
      <c r="AC21" s="27">
        <v>10</v>
      </c>
      <c r="AD21" s="27">
        <v>5</v>
      </c>
      <c r="AE21" s="191" t="s">
        <v>298</v>
      </c>
      <c r="AF21" s="182"/>
      <c r="AG21" s="25"/>
      <c r="AH21" s="34"/>
      <c r="AI21" s="27"/>
      <c r="AJ21" s="27"/>
      <c r="AK21" s="27"/>
      <c r="AL21" s="25"/>
      <c r="AM21" s="34"/>
      <c r="AN21" s="27"/>
      <c r="AO21" s="27"/>
      <c r="AP21" s="36"/>
      <c r="AQ21" s="37"/>
      <c r="AR21" s="32"/>
      <c r="AS21" s="25"/>
      <c r="AT21" s="27"/>
      <c r="AU21" s="27"/>
      <c r="AW21" s="25"/>
      <c r="AX21" s="27"/>
      <c r="AY21" s="27"/>
      <c r="AZ21" s="32"/>
      <c r="BA21" s="41"/>
    </row>
    <row r="22" spans="1:54" ht="16" thickBot="1" x14ac:dyDescent="0.25">
      <c r="A22" s="25">
        <v>13</v>
      </c>
      <c r="B22" s="26">
        <v>45357</v>
      </c>
      <c r="C22" s="27" t="s">
        <v>227</v>
      </c>
      <c r="D22" s="25"/>
      <c r="E22" s="28"/>
      <c r="F22" s="27"/>
      <c r="G22" s="28"/>
      <c r="H22" s="27"/>
      <c r="I22" s="28"/>
      <c r="J22" s="27">
        <v>6</v>
      </c>
      <c r="K22" s="29" t="s">
        <v>35</v>
      </c>
      <c r="L22" s="39"/>
      <c r="M22" s="31"/>
      <c r="N22" s="185" t="s">
        <v>240</v>
      </c>
      <c r="P22" s="32"/>
      <c r="Q22" s="25"/>
      <c r="R22" s="27"/>
      <c r="S22" s="27"/>
      <c r="T22" s="28"/>
      <c r="U22" s="27">
        <v>1</v>
      </c>
      <c r="V22" s="27"/>
      <c r="W22" s="28">
        <v>1</v>
      </c>
      <c r="X22" s="33"/>
      <c r="Y22" s="32"/>
      <c r="Z22" s="55"/>
      <c r="AA22" s="56"/>
      <c r="AB22" s="57"/>
      <c r="AC22" s="27">
        <v>10</v>
      </c>
      <c r="AD22" s="27">
        <v>5</v>
      </c>
      <c r="AE22" s="33"/>
      <c r="AF22" s="182"/>
      <c r="AG22" s="25"/>
      <c r="AH22" s="34"/>
      <c r="AI22" s="27"/>
      <c r="AJ22" s="27"/>
      <c r="AK22" s="27"/>
      <c r="AL22" s="25"/>
      <c r="AM22" s="34"/>
      <c r="AN22" s="27"/>
      <c r="AO22" s="27"/>
      <c r="AP22" s="36"/>
      <c r="AQ22" s="37"/>
      <c r="AR22" s="32"/>
      <c r="AS22" s="131"/>
      <c r="AT22" s="132"/>
      <c r="AU22" s="133"/>
      <c r="AW22" s="25"/>
      <c r="AX22" s="27"/>
      <c r="AY22" s="27"/>
      <c r="AZ22" s="32"/>
      <c r="BA22" s="41"/>
    </row>
    <row r="23" spans="1:54" ht="16" thickBot="1" x14ac:dyDescent="0.25">
      <c r="A23" s="25">
        <v>14</v>
      </c>
      <c r="B23" s="26">
        <v>45358</v>
      </c>
      <c r="C23" s="27" t="s">
        <v>200</v>
      </c>
      <c r="D23" s="25"/>
      <c r="E23" s="28"/>
      <c r="F23" s="27"/>
      <c r="G23" s="28"/>
      <c r="H23" s="27"/>
      <c r="I23" s="28"/>
      <c r="J23" s="27">
        <v>6</v>
      </c>
      <c r="K23" s="29" t="s">
        <v>35</v>
      </c>
      <c r="L23" s="39"/>
      <c r="M23" s="31"/>
      <c r="N23" s="185" t="s">
        <v>240</v>
      </c>
      <c r="P23" s="32"/>
      <c r="Q23" s="25"/>
      <c r="R23" s="27"/>
      <c r="S23" s="27"/>
      <c r="T23" s="28"/>
      <c r="U23" s="27">
        <v>1</v>
      </c>
      <c r="V23" s="27"/>
      <c r="W23" s="28">
        <v>1</v>
      </c>
      <c r="X23" s="33"/>
      <c r="Y23" s="32"/>
      <c r="Z23" s="59"/>
      <c r="AA23" s="60"/>
      <c r="AB23" s="61"/>
      <c r="AC23" s="27">
        <v>10</v>
      </c>
      <c r="AD23" s="27">
        <v>5</v>
      </c>
      <c r="AE23" s="33"/>
      <c r="AF23" s="182"/>
      <c r="AG23" s="25"/>
      <c r="AH23" s="34"/>
      <c r="AI23" s="27"/>
      <c r="AJ23" s="27"/>
      <c r="AK23" s="27"/>
      <c r="AL23" s="25"/>
      <c r="AM23" s="34"/>
      <c r="AN23" s="27"/>
      <c r="AO23" s="27"/>
      <c r="AP23" s="36"/>
      <c r="AQ23" s="37"/>
      <c r="AR23" s="32"/>
      <c r="AS23" s="131"/>
      <c r="AT23" s="132"/>
      <c r="AU23" s="134"/>
      <c r="AW23" s="25"/>
      <c r="AX23" s="27"/>
      <c r="AY23" s="27"/>
      <c r="AZ23" s="32"/>
      <c r="BA23" s="62"/>
    </row>
    <row r="24" spans="1:54" ht="16" thickBot="1" x14ac:dyDescent="0.25">
      <c r="A24" s="25">
        <v>15</v>
      </c>
      <c r="B24" s="26">
        <v>45359</v>
      </c>
      <c r="C24" s="27" t="s">
        <v>200</v>
      </c>
      <c r="D24" s="25"/>
      <c r="E24" s="28"/>
      <c r="F24" s="27"/>
      <c r="G24" s="28"/>
      <c r="H24" s="27"/>
      <c r="I24" s="28"/>
      <c r="J24" s="27">
        <v>6</v>
      </c>
      <c r="K24" s="29" t="s">
        <v>35</v>
      </c>
      <c r="L24" s="39" t="s">
        <v>333</v>
      </c>
      <c r="M24" s="31"/>
      <c r="N24" s="185" t="s">
        <v>240</v>
      </c>
      <c r="P24" s="32"/>
      <c r="Q24" s="25"/>
      <c r="R24" s="27"/>
      <c r="S24" s="27"/>
      <c r="T24" s="28"/>
      <c r="U24" s="27">
        <v>1</v>
      </c>
      <c r="V24" s="27"/>
      <c r="W24" s="28">
        <v>1</v>
      </c>
      <c r="X24" s="33"/>
      <c r="Y24" s="32"/>
      <c r="Z24" s="25"/>
      <c r="AA24" s="27"/>
      <c r="AB24" s="28"/>
      <c r="AC24" s="27">
        <v>10</v>
      </c>
      <c r="AD24" s="27">
        <v>5</v>
      </c>
      <c r="AE24" s="33"/>
      <c r="AF24" s="182"/>
      <c r="AG24" s="25"/>
      <c r="AH24" s="34"/>
      <c r="AI24" s="27"/>
      <c r="AJ24" s="27"/>
      <c r="AK24" s="27"/>
      <c r="AL24" s="25"/>
      <c r="AM24" s="34"/>
      <c r="AN24" s="27"/>
      <c r="AO24" s="27"/>
      <c r="AP24" s="36"/>
      <c r="AQ24" s="37"/>
      <c r="AR24" s="66"/>
      <c r="AS24" s="131"/>
      <c r="AT24" s="132"/>
      <c r="AU24" s="133"/>
      <c r="AW24" s="25"/>
      <c r="AX24" s="27"/>
      <c r="AY24" s="27"/>
      <c r="AZ24" s="32"/>
      <c r="BA24" s="41">
        <v>44</v>
      </c>
    </row>
    <row r="25" spans="1:54" ht="16" thickBot="1" x14ac:dyDescent="0.25">
      <c r="A25" s="25">
        <v>16</v>
      </c>
      <c r="B25" s="26">
        <v>45360</v>
      </c>
      <c r="C25" s="27" t="s">
        <v>200</v>
      </c>
      <c r="D25" s="25"/>
      <c r="E25" s="28"/>
      <c r="F25" s="27"/>
      <c r="G25" s="28"/>
      <c r="H25" s="27"/>
      <c r="I25" s="28"/>
      <c r="J25" s="27">
        <v>6</v>
      </c>
      <c r="K25" s="29" t="s">
        <v>35</v>
      </c>
      <c r="L25" s="44" t="s">
        <v>71</v>
      </c>
      <c r="M25" s="31" t="s">
        <v>336</v>
      </c>
      <c r="N25" s="185" t="s">
        <v>240</v>
      </c>
      <c r="P25" s="32"/>
      <c r="Q25" s="25"/>
      <c r="R25" s="27"/>
      <c r="S25" s="27"/>
      <c r="T25" s="28"/>
      <c r="U25" s="27">
        <v>1</v>
      </c>
      <c r="V25" s="27"/>
      <c r="W25" s="28">
        <v>1</v>
      </c>
      <c r="X25" s="180"/>
      <c r="Y25" s="66"/>
      <c r="AB25" s="28"/>
      <c r="AC25" s="27">
        <v>10</v>
      </c>
      <c r="AD25" s="27">
        <v>5</v>
      </c>
      <c r="AE25" s="33"/>
      <c r="AF25" s="182"/>
      <c r="AG25" s="25"/>
      <c r="AH25" s="34"/>
      <c r="AI25" s="27"/>
      <c r="AJ25" s="27"/>
      <c r="AK25" s="27"/>
      <c r="AL25" s="25"/>
      <c r="AM25" s="34"/>
      <c r="AN25" s="27"/>
      <c r="AO25" s="27"/>
      <c r="AP25" s="36"/>
      <c r="AQ25" s="64"/>
      <c r="AR25" s="65"/>
      <c r="AS25" s="131"/>
      <c r="AT25" s="132"/>
      <c r="AU25" s="132"/>
      <c r="AW25" s="25"/>
      <c r="AX25" s="27"/>
      <c r="AY25" s="27"/>
      <c r="AZ25" s="32"/>
      <c r="BA25" s="41"/>
    </row>
    <row r="26" spans="1:54" x14ac:dyDescent="0.2">
      <c r="A26" s="25">
        <v>17</v>
      </c>
      <c r="B26" s="26">
        <v>45361</v>
      </c>
      <c r="C26" s="27" t="s">
        <v>232</v>
      </c>
      <c r="D26" s="25"/>
      <c r="E26" s="28"/>
      <c r="F26" s="27"/>
      <c r="G26" s="28"/>
      <c r="H26" s="27"/>
      <c r="I26" s="28"/>
      <c r="J26" s="27">
        <v>6</v>
      </c>
      <c r="K26" s="29" t="s">
        <v>35</v>
      </c>
      <c r="L26" s="39"/>
      <c r="M26" s="31"/>
      <c r="N26" s="185" t="s">
        <v>240</v>
      </c>
      <c r="P26" s="32"/>
      <c r="Q26" s="25"/>
      <c r="R26" s="27"/>
      <c r="S26" s="27"/>
      <c r="T26" s="28"/>
      <c r="U26" s="27">
        <v>1</v>
      </c>
      <c r="V26" s="27"/>
      <c r="W26" s="28">
        <v>1</v>
      </c>
      <c r="X26" s="33"/>
      <c r="Y26" s="32"/>
      <c r="Z26" s="25"/>
      <c r="AA26" s="27"/>
      <c r="AB26" s="28"/>
      <c r="AC26" s="27">
        <v>10</v>
      </c>
      <c r="AD26" s="27">
        <v>5</v>
      </c>
      <c r="AE26" s="33"/>
      <c r="AF26" s="182"/>
      <c r="AG26" s="25"/>
      <c r="AH26" s="34"/>
      <c r="AI26" s="27"/>
      <c r="AJ26" s="27"/>
      <c r="AK26" s="27"/>
      <c r="AL26" s="25"/>
      <c r="AM26" s="34"/>
      <c r="AN26" s="27"/>
      <c r="AO26" s="27"/>
      <c r="AP26" s="36"/>
      <c r="AQ26" s="37"/>
      <c r="AR26" s="32"/>
      <c r="AS26" s="131"/>
      <c r="AT26" s="132"/>
      <c r="AU26" s="132"/>
      <c r="AW26" s="25"/>
      <c r="AX26" s="27"/>
      <c r="AY26" s="27"/>
      <c r="AZ26" s="32"/>
      <c r="BA26" s="41" t="s">
        <v>339</v>
      </c>
      <c r="BB26" t="s">
        <v>340</v>
      </c>
    </row>
    <row r="27" spans="1:54" ht="16" thickBot="1" x14ac:dyDescent="0.25">
      <c r="A27" s="25">
        <v>18</v>
      </c>
      <c r="B27" s="26">
        <v>45362</v>
      </c>
      <c r="C27" s="27" t="s">
        <v>227</v>
      </c>
      <c r="D27" s="25"/>
      <c r="E27" s="28"/>
      <c r="F27" s="27"/>
      <c r="G27" s="28"/>
      <c r="H27" s="27"/>
      <c r="I27" s="28"/>
      <c r="J27" s="27">
        <v>6</v>
      </c>
      <c r="K27" s="29" t="s">
        <v>35</v>
      </c>
      <c r="L27" s="39"/>
      <c r="M27" s="31"/>
      <c r="N27" s="185" t="s">
        <v>240</v>
      </c>
      <c r="P27" s="66"/>
      <c r="Q27" s="25"/>
      <c r="R27" s="27"/>
      <c r="S27" s="27"/>
      <c r="T27" s="28"/>
      <c r="U27" s="27">
        <v>1</v>
      </c>
      <c r="V27" s="27"/>
      <c r="W27" s="28">
        <v>1</v>
      </c>
      <c r="X27" s="33"/>
      <c r="Y27" s="32"/>
      <c r="Z27" s="25"/>
      <c r="AA27" s="27"/>
      <c r="AB27" s="28"/>
      <c r="AC27" s="27">
        <v>10</v>
      </c>
      <c r="AD27" s="27">
        <v>5</v>
      </c>
      <c r="AE27" s="33"/>
      <c r="AF27" s="182"/>
      <c r="AG27" s="25"/>
      <c r="AH27" s="34"/>
      <c r="AI27" s="27"/>
      <c r="AJ27" s="27"/>
      <c r="AK27" s="27"/>
      <c r="AL27" s="25"/>
      <c r="AM27" s="34"/>
      <c r="AN27" s="27"/>
      <c r="AO27" s="27"/>
      <c r="AP27" s="36"/>
      <c r="AQ27" s="178"/>
      <c r="AR27" s="66"/>
      <c r="AS27" s="131"/>
      <c r="AT27" s="132"/>
      <c r="AU27" s="134"/>
      <c r="AV27" t="s">
        <v>354</v>
      </c>
      <c r="AW27" s="25"/>
      <c r="AX27" s="27"/>
      <c r="AY27" s="27"/>
      <c r="AZ27" s="32"/>
      <c r="BA27" s="41">
        <v>124</v>
      </c>
      <c r="BB27" t="s">
        <v>355</v>
      </c>
    </row>
    <row r="28" spans="1:54" ht="16" thickBot="1" x14ac:dyDescent="0.25">
      <c r="A28" s="25">
        <v>19</v>
      </c>
      <c r="B28" s="26">
        <v>45363</v>
      </c>
      <c r="C28" s="27" t="s">
        <v>227</v>
      </c>
      <c r="D28" s="25"/>
      <c r="E28" s="28"/>
      <c r="F28" s="27"/>
      <c r="G28" s="28"/>
      <c r="H28" s="27"/>
      <c r="I28" s="28"/>
      <c r="J28" s="27">
        <v>6</v>
      </c>
      <c r="K28" s="29" t="s">
        <v>35</v>
      </c>
      <c r="L28" s="39"/>
      <c r="M28" s="31"/>
      <c r="N28" s="185" t="s">
        <v>240</v>
      </c>
      <c r="P28" s="32"/>
      <c r="Q28" s="25"/>
      <c r="R28" s="27"/>
      <c r="S28" s="27"/>
      <c r="T28" s="28"/>
      <c r="U28" s="27">
        <v>1</v>
      </c>
      <c r="V28" s="27"/>
      <c r="W28" s="28">
        <v>1</v>
      </c>
      <c r="X28" s="63" t="s">
        <v>60</v>
      </c>
      <c r="Y28" s="46" t="s">
        <v>61</v>
      </c>
      <c r="Z28" s="25"/>
      <c r="AA28" s="27"/>
      <c r="AB28" s="28"/>
      <c r="AC28" s="27">
        <v>10</v>
      </c>
      <c r="AD28" s="27">
        <v>5</v>
      </c>
      <c r="AE28" s="33"/>
      <c r="AF28" s="182"/>
      <c r="AG28" s="25"/>
      <c r="AH28" s="34"/>
      <c r="AI28" s="27">
        <v>2.5000000000000001E-2</v>
      </c>
      <c r="AJ28" s="27">
        <v>2.5000000000000001E-2</v>
      </c>
      <c r="AK28" s="27">
        <v>2.5000000000000001E-2</v>
      </c>
      <c r="AL28" s="25"/>
      <c r="AM28" s="34"/>
      <c r="AN28" s="27"/>
      <c r="AO28" s="27"/>
      <c r="AP28" s="36"/>
      <c r="AQ28" s="68" t="s">
        <v>299</v>
      </c>
      <c r="AR28" s="32" t="s">
        <v>64</v>
      </c>
      <c r="AS28" s="131"/>
      <c r="AT28" s="132"/>
      <c r="AU28" s="132"/>
      <c r="AW28" s="25"/>
      <c r="AX28" s="27"/>
      <c r="AY28" s="27"/>
      <c r="AZ28" s="32"/>
      <c r="BA28" s="62">
        <v>21</v>
      </c>
    </row>
    <row r="29" spans="1:54" x14ac:dyDescent="0.2">
      <c r="A29" s="25">
        <v>20</v>
      </c>
      <c r="B29" s="26">
        <v>45364</v>
      </c>
      <c r="C29" s="27" t="s">
        <v>227</v>
      </c>
      <c r="D29" s="25"/>
      <c r="E29" s="28"/>
      <c r="F29" s="27"/>
      <c r="G29" s="28"/>
      <c r="H29" s="27"/>
      <c r="I29" s="28"/>
      <c r="J29" s="27">
        <v>6</v>
      </c>
      <c r="K29" s="29" t="s">
        <v>35</v>
      </c>
      <c r="L29" s="39"/>
      <c r="M29" s="197"/>
      <c r="N29" s="185" t="s">
        <v>240</v>
      </c>
      <c r="O29" s="306" t="s">
        <v>66</v>
      </c>
      <c r="P29" s="32"/>
      <c r="Q29" s="25"/>
      <c r="R29" s="27"/>
      <c r="S29" s="27"/>
      <c r="T29" s="28"/>
      <c r="U29" s="27"/>
      <c r="V29" s="27"/>
      <c r="W29" s="28"/>
      <c r="X29" s="33"/>
      <c r="Y29" s="32"/>
      <c r="Z29" s="25"/>
      <c r="AA29" s="27"/>
      <c r="AB29" s="28"/>
      <c r="AC29" s="27">
        <v>10</v>
      </c>
      <c r="AD29" s="27">
        <v>5</v>
      </c>
      <c r="AE29" s="33"/>
      <c r="AF29" s="182"/>
      <c r="AG29" s="25"/>
      <c r="AH29" s="34"/>
      <c r="AI29" s="27">
        <v>2.5000000000000001E-2</v>
      </c>
      <c r="AJ29" s="27">
        <v>2.5000000000000001E-2</v>
      </c>
      <c r="AK29" s="27">
        <v>2.5000000000000001E-2</v>
      </c>
      <c r="AL29" s="25"/>
      <c r="AM29" s="34"/>
      <c r="AN29" s="27"/>
      <c r="AO29" s="27"/>
      <c r="AP29" s="36"/>
      <c r="AQ29" s="37"/>
      <c r="AR29" s="32"/>
      <c r="AS29" s="131"/>
      <c r="AT29" s="132"/>
      <c r="AU29" s="132"/>
      <c r="AW29" s="25"/>
      <c r="AX29" s="27"/>
      <c r="AY29" s="27"/>
      <c r="AZ29" s="32"/>
      <c r="BA29" s="41">
        <v>10</v>
      </c>
    </row>
    <row r="30" spans="1:54" ht="16" thickBot="1" x14ac:dyDescent="0.25">
      <c r="A30" s="70">
        <v>21</v>
      </c>
      <c r="B30" s="26">
        <v>45365</v>
      </c>
      <c r="C30" s="71" t="s">
        <v>200</v>
      </c>
      <c r="D30" s="70"/>
      <c r="E30" s="72"/>
      <c r="F30" s="71"/>
      <c r="G30" s="72"/>
      <c r="H30" s="71"/>
      <c r="I30" s="72"/>
      <c r="J30" s="27">
        <v>6</v>
      </c>
      <c r="K30" s="29" t="s">
        <v>35</v>
      </c>
      <c r="L30" s="39"/>
      <c r="M30" s="198"/>
      <c r="N30" s="185" t="s">
        <v>240</v>
      </c>
      <c r="O30" s="307"/>
      <c r="P30" s="74"/>
      <c r="Q30" s="70"/>
      <c r="R30" s="71"/>
      <c r="S30" s="71"/>
      <c r="T30" s="72"/>
      <c r="U30" s="71"/>
      <c r="V30" s="71"/>
      <c r="W30" s="72"/>
      <c r="X30" s="33"/>
      <c r="Y30" s="75"/>
      <c r="Z30" s="70"/>
      <c r="AA30" s="71"/>
      <c r="AB30" s="72"/>
      <c r="AC30" s="27">
        <v>10</v>
      </c>
      <c r="AD30" s="71">
        <v>5</v>
      </c>
      <c r="AE30" s="33"/>
      <c r="AF30" s="192"/>
      <c r="AG30" s="70"/>
      <c r="AH30" s="77"/>
      <c r="AI30" s="71">
        <v>2.5000000000000001E-2</v>
      </c>
      <c r="AJ30" s="71">
        <v>2.5000000000000001E-2</v>
      </c>
      <c r="AK30" s="71">
        <v>2.5000000000000001E-2</v>
      </c>
      <c r="AL30" s="70"/>
      <c r="AM30" s="77"/>
      <c r="AN30" s="27"/>
      <c r="AO30" s="71"/>
      <c r="AP30" s="78"/>
      <c r="AQ30" s="37"/>
      <c r="AR30" s="75"/>
      <c r="AS30" s="135"/>
      <c r="AT30" s="132"/>
      <c r="AU30" s="136"/>
      <c r="AV30" s="76"/>
      <c r="AW30" s="70"/>
      <c r="AX30" s="71"/>
      <c r="AY30" s="71"/>
      <c r="AZ30" s="75"/>
      <c r="BA30" s="79">
        <v>0</v>
      </c>
    </row>
    <row r="31" spans="1:54" ht="16" thickBot="1" x14ac:dyDescent="0.25">
      <c r="A31" s="25">
        <v>22</v>
      </c>
      <c r="B31" s="26">
        <v>45366</v>
      </c>
      <c r="C31" s="27" t="s">
        <v>200</v>
      </c>
      <c r="D31" s="25"/>
      <c r="E31" s="28"/>
      <c r="F31" s="27"/>
      <c r="G31" s="28"/>
      <c r="H31" s="27"/>
      <c r="I31" s="28"/>
      <c r="J31" s="27">
        <v>6</v>
      </c>
      <c r="K31" s="29" t="s">
        <v>35</v>
      </c>
      <c r="L31" s="39" t="s">
        <v>360</v>
      </c>
      <c r="M31" s="197"/>
      <c r="N31" s="185" t="s">
        <v>240</v>
      </c>
      <c r="O31" s="307"/>
      <c r="P31" s="46"/>
      <c r="Q31" s="43"/>
      <c r="R31" s="27"/>
      <c r="S31" s="27"/>
      <c r="T31" s="28"/>
      <c r="U31" s="27"/>
      <c r="V31" s="27"/>
      <c r="W31" s="28"/>
      <c r="X31" s="33"/>
      <c r="Y31" s="32"/>
      <c r="Z31" s="60"/>
      <c r="AA31" s="60"/>
      <c r="AB31" s="61"/>
      <c r="AC31" s="27">
        <v>10</v>
      </c>
      <c r="AD31" s="27">
        <v>5</v>
      </c>
      <c r="AE31" s="33"/>
      <c r="AF31" s="182"/>
      <c r="AG31" s="25"/>
      <c r="AH31" s="34"/>
      <c r="AI31" s="27">
        <v>0.03</v>
      </c>
      <c r="AJ31" s="27">
        <v>2.5000000000000001E-2</v>
      </c>
      <c r="AK31" s="27">
        <v>0.03</v>
      </c>
      <c r="AL31" s="25"/>
      <c r="AM31" s="34"/>
      <c r="AN31" s="27"/>
      <c r="AO31" s="27"/>
      <c r="AP31" s="36"/>
      <c r="AQ31" s="37"/>
      <c r="AR31" s="32"/>
      <c r="AS31" s="131"/>
      <c r="AT31" s="132"/>
      <c r="AU31" s="132"/>
      <c r="AW31" s="25"/>
      <c r="AX31" s="27"/>
      <c r="AY31" s="27"/>
      <c r="AZ31" s="32"/>
      <c r="BA31" s="80">
        <v>24</v>
      </c>
    </row>
    <row r="32" spans="1:54" ht="16" thickBot="1" x14ac:dyDescent="0.25">
      <c r="A32" s="25">
        <v>23</v>
      </c>
      <c r="B32" s="26">
        <v>45367</v>
      </c>
      <c r="C32" s="27" t="s">
        <v>200</v>
      </c>
      <c r="D32" s="25"/>
      <c r="E32" s="28"/>
      <c r="F32" s="27"/>
      <c r="G32" s="28"/>
      <c r="H32" s="27"/>
      <c r="I32" s="28"/>
      <c r="J32" s="27">
        <v>6</v>
      </c>
      <c r="K32" s="29" t="s">
        <v>35</v>
      </c>
      <c r="L32" s="39" t="s">
        <v>361</v>
      </c>
      <c r="M32" s="31"/>
      <c r="N32" s="185" t="s">
        <v>240</v>
      </c>
      <c r="O32" s="307"/>
      <c r="P32" s="32"/>
      <c r="Q32" s="25"/>
      <c r="R32" s="27"/>
      <c r="S32" s="27"/>
      <c r="T32" s="28"/>
      <c r="U32" s="27"/>
      <c r="V32" s="27"/>
      <c r="W32" s="28"/>
      <c r="X32" s="33"/>
      <c r="Y32" s="32"/>
      <c r="Z32" s="25"/>
      <c r="AA32" s="27"/>
      <c r="AB32" s="28"/>
      <c r="AC32" s="27">
        <v>10</v>
      </c>
      <c r="AD32" s="27">
        <v>5</v>
      </c>
      <c r="AE32" s="33"/>
      <c r="AF32" s="182"/>
      <c r="AG32" s="25"/>
      <c r="AH32" s="34"/>
      <c r="AI32" s="27">
        <v>0.03</v>
      </c>
      <c r="AJ32" s="27">
        <v>2.5000000000000001E-2</v>
      </c>
      <c r="AK32" s="27">
        <v>0.03</v>
      </c>
      <c r="AL32" s="25"/>
      <c r="AM32" s="34"/>
      <c r="AN32" s="27"/>
      <c r="AO32" s="27"/>
      <c r="AP32" s="36"/>
      <c r="AQ32" s="37"/>
      <c r="AR32" s="32"/>
      <c r="AS32" s="131"/>
      <c r="AT32" s="132"/>
      <c r="AU32" s="133"/>
      <c r="AW32" s="25"/>
      <c r="AX32" s="27"/>
      <c r="AY32" s="27"/>
      <c r="AZ32" s="32"/>
      <c r="BA32" s="41">
        <v>1</v>
      </c>
    </row>
    <row r="33" spans="1:53" ht="16" thickBot="1" x14ac:dyDescent="0.25">
      <c r="A33" s="25">
        <v>24</v>
      </c>
      <c r="B33" s="26">
        <v>45368</v>
      </c>
      <c r="C33" s="27"/>
      <c r="D33" s="25"/>
      <c r="E33" s="28"/>
      <c r="F33" s="27"/>
      <c r="G33" s="28"/>
      <c r="H33" s="27"/>
      <c r="I33" s="28"/>
      <c r="J33" s="27">
        <v>6</v>
      </c>
      <c r="K33" s="29" t="s">
        <v>35</v>
      </c>
      <c r="L33" s="178"/>
      <c r="M33" s="31"/>
      <c r="N33" s="185" t="s">
        <v>240</v>
      </c>
      <c r="O33" s="307"/>
      <c r="P33" s="32"/>
      <c r="Q33" s="25"/>
      <c r="R33" s="27"/>
      <c r="S33" s="27"/>
      <c r="T33" s="28"/>
      <c r="U33" s="27"/>
      <c r="V33" s="27"/>
      <c r="W33" s="28"/>
      <c r="X33" s="33"/>
      <c r="Y33" s="32"/>
      <c r="Z33" s="25"/>
      <c r="AA33" s="27"/>
      <c r="AB33" s="28"/>
      <c r="AC33" s="27"/>
      <c r="AD33" s="27"/>
      <c r="AE33" s="50" t="s">
        <v>290</v>
      </c>
      <c r="AF33" s="66"/>
      <c r="AG33" s="25"/>
      <c r="AH33" s="34"/>
      <c r="AI33" s="27"/>
      <c r="AJ33" s="27"/>
      <c r="AK33" s="27"/>
      <c r="AL33" s="25"/>
      <c r="AM33" s="34"/>
      <c r="AN33" s="27"/>
      <c r="AO33" s="27"/>
      <c r="AP33" s="36"/>
      <c r="AQ33" s="37"/>
      <c r="AR33" s="66"/>
      <c r="AS33" s="25" t="s">
        <v>72</v>
      </c>
      <c r="AT33" s="27" t="s">
        <v>52</v>
      </c>
      <c r="AU33" s="58" t="s">
        <v>295</v>
      </c>
      <c r="AW33" s="25"/>
      <c r="AX33" s="27"/>
      <c r="AY33" s="27"/>
      <c r="AZ33" s="32"/>
      <c r="BA33" s="41"/>
    </row>
    <row r="34" spans="1:53" ht="16" thickBot="1" x14ac:dyDescent="0.25">
      <c r="A34" s="25">
        <v>25</v>
      </c>
      <c r="B34" s="26">
        <v>45369</v>
      </c>
      <c r="C34" s="27" t="s">
        <v>200</v>
      </c>
      <c r="D34" s="25"/>
      <c r="E34" s="28"/>
      <c r="F34" s="27"/>
      <c r="G34" s="28"/>
      <c r="H34" s="27"/>
      <c r="I34" s="28"/>
      <c r="J34" s="27">
        <v>6</v>
      </c>
      <c r="K34" s="29" t="s">
        <v>35</v>
      </c>
      <c r="L34" s="39"/>
      <c r="M34" s="31"/>
      <c r="N34" s="185" t="s">
        <v>240</v>
      </c>
      <c r="O34" s="307"/>
      <c r="P34" s="81"/>
      <c r="Q34" s="43"/>
      <c r="R34" s="27"/>
      <c r="S34" s="27"/>
      <c r="T34" s="28"/>
      <c r="U34" s="27"/>
      <c r="V34" s="27"/>
      <c r="W34" s="28"/>
      <c r="X34" s="33"/>
      <c r="Y34" s="32"/>
      <c r="Z34" s="27"/>
      <c r="AA34" s="27"/>
      <c r="AB34" s="28"/>
      <c r="AC34" s="27"/>
      <c r="AD34" s="27"/>
      <c r="AE34" s="33"/>
      <c r="AG34" s="25"/>
      <c r="AH34" s="34"/>
      <c r="AI34" s="27">
        <v>2.5000000000000001E-2</v>
      </c>
      <c r="AJ34" s="27">
        <v>2.5000000000000001E-2</v>
      </c>
      <c r="AK34" s="27">
        <v>2.5000000000000001E-2</v>
      </c>
      <c r="AL34" s="25"/>
      <c r="AM34" s="34"/>
      <c r="AN34" s="27"/>
      <c r="AO34" s="27"/>
      <c r="AP34" s="36"/>
      <c r="AQ34" s="193" t="s">
        <v>300</v>
      </c>
      <c r="AR34" s="32" t="s">
        <v>75</v>
      </c>
      <c r="AS34" s="25" t="s">
        <v>72</v>
      </c>
      <c r="AT34" s="27" t="s">
        <v>52</v>
      </c>
      <c r="AW34" s="25"/>
      <c r="AX34" s="27"/>
      <c r="AY34" s="27"/>
      <c r="AZ34" s="32"/>
      <c r="BA34" s="41">
        <v>1</v>
      </c>
    </row>
    <row r="35" spans="1:53" ht="16" thickBot="1" x14ac:dyDescent="0.25">
      <c r="A35" s="25">
        <v>26</v>
      </c>
      <c r="B35" s="26">
        <v>45370</v>
      </c>
      <c r="C35" s="27" t="s">
        <v>200</v>
      </c>
      <c r="D35" s="25"/>
      <c r="E35" s="28"/>
      <c r="F35" s="27"/>
      <c r="G35" s="28"/>
      <c r="H35" s="27"/>
      <c r="I35" s="28"/>
      <c r="J35" s="27">
        <v>6</v>
      </c>
      <c r="K35" s="29" t="s">
        <v>35</v>
      </c>
      <c r="L35" s="39"/>
      <c r="M35" s="31"/>
      <c r="N35" s="185" t="s">
        <v>240</v>
      </c>
      <c r="O35" s="307"/>
      <c r="P35" s="32"/>
      <c r="Q35" s="25"/>
      <c r="R35" s="27"/>
      <c r="S35" s="27"/>
      <c r="T35" s="28"/>
      <c r="U35" s="27"/>
      <c r="V35" s="27"/>
      <c r="W35" s="28"/>
      <c r="X35" s="33"/>
      <c r="Y35" s="32"/>
      <c r="Z35" s="25"/>
      <c r="AA35" s="27"/>
      <c r="AB35" s="28"/>
      <c r="AC35" s="27"/>
      <c r="AD35" s="27"/>
      <c r="AE35" s="33"/>
      <c r="AG35" s="25"/>
      <c r="AH35" s="34"/>
      <c r="AI35" s="27">
        <v>2.5000000000000001E-2</v>
      </c>
      <c r="AJ35" s="27">
        <v>2.5000000000000001E-2</v>
      </c>
      <c r="AK35" s="27">
        <v>2.5000000000000001E-2</v>
      </c>
      <c r="AL35" s="25"/>
      <c r="AM35" s="34"/>
      <c r="AN35" s="27"/>
      <c r="AO35" s="27"/>
      <c r="AP35" s="36"/>
      <c r="AQ35" s="37"/>
      <c r="AR35" s="32" t="s">
        <v>75</v>
      </c>
      <c r="AS35" s="25" t="s">
        <v>72</v>
      </c>
      <c r="AT35" s="27" t="s">
        <v>52</v>
      </c>
      <c r="AW35" s="25"/>
      <c r="AX35" s="27"/>
      <c r="AY35" s="27"/>
      <c r="AZ35" s="32"/>
      <c r="BA35" s="41">
        <v>0</v>
      </c>
    </row>
    <row r="36" spans="1:53" ht="16" thickBot="1" x14ac:dyDescent="0.25">
      <c r="A36" s="25">
        <v>27</v>
      </c>
      <c r="B36" s="26">
        <v>45371</v>
      </c>
      <c r="C36" s="27" t="s">
        <v>200</v>
      </c>
      <c r="D36" s="25"/>
      <c r="E36" s="28"/>
      <c r="F36" s="27"/>
      <c r="G36" s="28"/>
      <c r="H36" s="27"/>
      <c r="I36" s="28"/>
      <c r="J36" s="27">
        <v>6</v>
      </c>
      <c r="K36" s="29" t="s">
        <v>35</v>
      </c>
      <c r="L36" s="39"/>
      <c r="M36" s="31"/>
      <c r="N36" s="185" t="s">
        <v>240</v>
      </c>
      <c r="O36" s="307"/>
      <c r="P36" s="32"/>
      <c r="Q36" s="25"/>
      <c r="R36" s="27"/>
      <c r="S36" s="27"/>
      <c r="T36" s="28"/>
      <c r="U36" s="27"/>
      <c r="V36" s="27"/>
      <c r="W36" s="28"/>
      <c r="X36" s="33"/>
      <c r="Y36" s="32"/>
      <c r="Z36" s="25"/>
      <c r="AA36" s="27"/>
      <c r="AB36" s="28"/>
      <c r="AC36" s="27"/>
      <c r="AD36" s="27"/>
      <c r="AE36" s="33"/>
      <c r="AG36" s="25"/>
      <c r="AH36" s="34"/>
      <c r="AI36" s="27">
        <v>2.5000000000000001E-2</v>
      </c>
      <c r="AJ36" s="27">
        <v>2.5000000000000001E-2</v>
      </c>
      <c r="AK36" s="27">
        <v>2.5000000000000001E-2</v>
      </c>
      <c r="AL36" s="25"/>
      <c r="AM36" s="34"/>
      <c r="AN36" s="27">
        <v>2.5000000000000001E-2</v>
      </c>
      <c r="AO36" s="27"/>
      <c r="AP36" s="36">
        <v>2.5000000000000001E-2</v>
      </c>
      <c r="AQ36" s="194" t="s">
        <v>301</v>
      </c>
      <c r="AR36" s="32" t="s">
        <v>293</v>
      </c>
      <c r="AS36" s="25" t="s">
        <v>72</v>
      </c>
      <c r="AT36" s="27" t="s">
        <v>52</v>
      </c>
      <c r="AU36" s="27"/>
      <c r="AW36" s="25"/>
      <c r="AX36" s="27"/>
      <c r="AY36" s="27"/>
      <c r="AZ36" s="32"/>
      <c r="BA36" s="41">
        <v>1</v>
      </c>
    </row>
    <row r="37" spans="1:53" x14ac:dyDescent="0.2">
      <c r="A37" s="25">
        <v>28</v>
      </c>
      <c r="B37" s="26">
        <v>45372</v>
      </c>
      <c r="C37" s="27" t="s">
        <v>200</v>
      </c>
      <c r="D37" s="25"/>
      <c r="E37" s="28"/>
      <c r="F37" s="27"/>
      <c r="G37" s="28"/>
      <c r="H37" s="27"/>
      <c r="I37" s="28"/>
      <c r="J37" s="27">
        <v>6</v>
      </c>
      <c r="K37" s="29" t="s">
        <v>35</v>
      </c>
      <c r="L37" s="39"/>
      <c r="M37" s="31"/>
      <c r="N37" s="185" t="s">
        <v>240</v>
      </c>
      <c r="O37" s="307"/>
      <c r="P37" s="32"/>
      <c r="Q37" s="25"/>
      <c r="R37" s="27"/>
      <c r="S37" s="27"/>
      <c r="T37" s="28"/>
      <c r="U37" s="27"/>
      <c r="V37" s="27"/>
      <c r="W37" s="28"/>
      <c r="Y37" s="32"/>
      <c r="Z37" s="25"/>
      <c r="AA37" s="27"/>
      <c r="AB37" s="28"/>
      <c r="AC37" s="27"/>
      <c r="AD37" s="27"/>
      <c r="AE37" s="33"/>
      <c r="AG37" s="25"/>
      <c r="AH37" s="34"/>
      <c r="AI37" s="27">
        <v>2.5000000000000001E-2</v>
      </c>
      <c r="AJ37" s="27">
        <v>2.5000000000000001E-2</v>
      </c>
      <c r="AK37" s="27">
        <v>2.5000000000000001E-2</v>
      </c>
      <c r="AL37" s="25"/>
      <c r="AM37" s="34"/>
      <c r="AN37" s="27">
        <v>2.5000000000000001E-2</v>
      </c>
      <c r="AO37" s="27"/>
      <c r="AP37" s="36">
        <v>2.5000000000000001E-2</v>
      </c>
      <c r="AR37" s="32" t="s">
        <v>293</v>
      </c>
      <c r="AS37" s="25" t="s">
        <v>72</v>
      </c>
      <c r="AT37" s="27" t="s">
        <v>52</v>
      </c>
      <c r="AU37" s="27"/>
      <c r="AW37" s="25"/>
      <c r="AX37" s="27"/>
      <c r="AY37" s="27"/>
      <c r="AZ37" s="32"/>
      <c r="BA37" s="41">
        <v>5</v>
      </c>
    </row>
    <row r="38" spans="1:53" ht="17.25" customHeight="1" thickBot="1" x14ac:dyDescent="0.25">
      <c r="A38" s="25">
        <v>29</v>
      </c>
      <c r="B38" s="26">
        <v>45373</v>
      </c>
      <c r="C38" s="27" t="s">
        <v>200</v>
      </c>
      <c r="D38" s="25"/>
      <c r="E38" s="28"/>
      <c r="F38" s="27"/>
      <c r="G38" s="28"/>
      <c r="H38" s="27"/>
      <c r="I38" s="28"/>
      <c r="J38" s="27">
        <v>6</v>
      </c>
      <c r="K38" s="29" t="s">
        <v>35</v>
      </c>
      <c r="L38" s="39"/>
      <c r="M38" s="31"/>
      <c r="N38" s="185" t="s">
        <v>240</v>
      </c>
      <c r="O38" s="307"/>
      <c r="P38" s="32"/>
      <c r="Q38" s="25"/>
      <c r="R38" s="27"/>
      <c r="S38" s="27"/>
      <c r="T38" s="28"/>
      <c r="U38" s="27"/>
      <c r="V38" s="27"/>
      <c r="W38" s="28"/>
      <c r="X38" s="33"/>
      <c r="Y38" s="32"/>
      <c r="Z38" s="25"/>
      <c r="AA38" s="27"/>
      <c r="AB38" s="28"/>
      <c r="AC38" s="27"/>
      <c r="AD38" s="27"/>
      <c r="AE38" s="33"/>
      <c r="AG38" s="25"/>
      <c r="AH38" s="34"/>
      <c r="AI38" s="27">
        <v>0.03</v>
      </c>
      <c r="AJ38" s="27">
        <v>2.5000000000000001E-2</v>
      </c>
      <c r="AK38" s="27">
        <v>2.5000000000000001E-2</v>
      </c>
      <c r="AL38" s="25"/>
      <c r="AM38" s="34"/>
      <c r="AN38" s="27">
        <v>0.05</v>
      </c>
      <c r="AO38" s="27"/>
      <c r="AP38" s="36">
        <v>0.05</v>
      </c>
      <c r="AQ38" s="37"/>
      <c r="AR38" s="32" t="s">
        <v>293</v>
      </c>
      <c r="AS38" s="25" t="s">
        <v>72</v>
      </c>
      <c r="AT38" s="27" t="s">
        <v>52</v>
      </c>
      <c r="AU38" s="27"/>
      <c r="AW38" s="25"/>
      <c r="AX38" s="27"/>
      <c r="AY38" s="27"/>
      <c r="AZ38" s="32"/>
      <c r="BA38" s="41">
        <v>50</v>
      </c>
    </row>
    <row r="39" spans="1:53" s="87" customFormat="1" ht="16" thickBot="1" x14ac:dyDescent="0.25">
      <c r="A39" s="83">
        <v>30</v>
      </c>
      <c r="B39" s="26">
        <v>45374</v>
      </c>
      <c r="C39" s="83" t="s">
        <v>200</v>
      </c>
      <c r="D39" s="83"/>
      <c r="E39" s="83"/>
      <c r="F39" s="83"/>
      <c r="G39" s="83"/>
      <c r="H39" s="83"/>
      <c r="I39" s="83"/>
      <c r="J39" s="202">
        <v>45357</v>
      </c>
      <c r="K39" s="85" t="s">
        <v>35</v>
      </c>
      <c r="L39" s="196" t="s">
        <v>304</v>
      </c>
      <c r="M39" s="86"/>
      <c r="N39" s="27" t="s">
        <v>272</v>
      </c>
      <c r="O39" s="307"/>
      <c r="Q39" s="83"/>
      <c r="R39" s="83"/>
      <c r="S39" s="83"/>
      <c r="T39" s="83"/>
      <c r="U39" s="83"/>
      <c r="V39" s="83"/>
      <c r="W39" s="83"/>
      <c r="X39" s="83"/>
      <c r="Z39" s="83"/>
      <c r="AA39" s="83"/>
      <c r="AB39" s="83"/>
      <c r="AC39" s="83"/>
      <c r="AD39" s="83"/>
      <c r="AE39" s="83"/>
      <c r="AG39" s="83"/>
      <c r="AH39" s="83"/>
      <c r="AI39" s="27"/>
      <c r="AJ39" s="27"/>
      <c r="AK39" s="27"/>
      <c r="AL39" s="83"/>
      <c r="AM39" s="83"/>
      <c r="AN39" s="83">
        <v>0.05</v>
      </c>
      <c r="AO39" s="83"/>
      <c r="AP39" s="83">
        <v>0.05</v>
      </c>
      <c r="AQ39" s="195" t="s">
        <v>302</v>
      </c>
      <c r="AR39" s="87" t="s">
        <v>303</v>
      </c>
      <c r="AS39" s="83" t="s">
        <v>72</v>
      </c>
      <c r="AT39" s="83" t="s">
        <v>52</v>
      </c>
      <c r="AU39" s="83"/>
      <c r="AW39" s="83"/>
      <c r="AX39" s="83"/>
      <c r="AY39" s="83"/>
      <c r="BA39" s="83">
        <v>32</v>
      </c>
    </row>
    <row r="40" spans="1:53" x14ac:dyDescent="0.2">
      <c r="A40" s="25">
        <v>31</v>
      </c>
      <c r="B40" s="26">
        <v>45375</v>
      </c>
      <c r="C40" s="27" t="s">
        <v>232</v>
      </c>
      <c r="D40" s="25"/>
      <c r="E40" s="28"/>
      <c r="F40" s="27"/>
      <c r="G40" s="28"/>
      <c r="H40" s="27"/>
      <c r="I40" s="28"/>
      <c r="J40" s="202">
        <v>45357</v>
      </c>
      <c r="K40" s="29" t="s">
        <v>35</v>
      </c>
      <c r="L40" s="39"/>
      <c r="M40" s="31"/>
      <c r="N40" s="27" t="s">
        <v>272</v>
      </c>
      <c r="O40" s="307"/>
      <c r="P40" s="32"/>
      <c r="Q40" s="25"/>
      <c r="R40" s="27"/>
      <c r="S40" s="27"/>
      <c r="T40" s="28"/>
      <c r="U40" s="27"/>
      <c r="V40" s="27"/>
      <c r="W40" s="28"/>
      <c r="X40" s="33"/>
      <c r="Y40" s="32"/>
      <c r="Z40" s="25"/>
      <c r="AA40" s="27"/>
      <c r="AB40" s="28"/>
      <c r="AC40" s="27"/>
      <c r="AD40" s="27"/>
      <c r="AE40" s="33"/>
      <c r="AG40" s="25"/>
      <c r="AH40" s="34"/>
      <c r="AI40" s="27"/>
      <c r="AJ40" s="27"/>
      <c r="AK40" s="27"/>
      <c r="AL40" s="25"/>
      <c r="AM40" s="34"/>
      <c r="AN40" s="27">
        <v>0.05</v>
      </c>
      <c r="AO40" s="27">
        <v>0.05</v>
      </c>
      <c r="AP40" s="36">
        <v>0.05</v>
      </c>
      <c r="AQ40" s="37"/>
      <c r="AR40" s="66"/>
      <c r="AS40" s="25" t="s">
        <v>72</v>
      </c>
      <c r="AT40" s="27" t="s">
        <v>52</v>
      </c>
      <c r="AU40" s="27"/>
      <c r="AW40" s="25" t="s">
        <v>370</v>
      </c>
      <c r="AX40" s="27"/>
      <c r="AY40" s="27"/>
      <c r="AZ40" s="32"/>
      <c r="BA40" s="41">
        <v>2</v>
      </c>
    </row>
    <row r="41" spans="1:53" x14ac:dyDescent="0.2">
      <c r="A41" s="25">
        <v>32</v>
      </c>
      <c r="B41" s="26">
        <v>45376</v>
      </c>
      <c r="C41" s="27" t="s">
        <v>232</v>
      </c>
      <c r="D41" s="25"/>
      <c r="E41" s="28"/>
      <c r="F41" s="27"/>
      <c r="G41" s="28"/>
      <c r="H41" s="27"/>
      <c r="I41" s="28"/>
      <c r="J41" s="202">
        <v>45357</v>
      </c>
      <c r="K41" s="29" t="s">
        <v>35</v>
      </c>
      <c r="L41" s="39"/>
      <c r="M41" s="31"/>
      <c r="N41" s="27" t="s">
        <v>272</v>
      </c>
      <c r="O41" s="307"/>
      <c r="P41" s="32"/>
      <c r="Q41" s="25"/>
      <c r="R41" s="27"/>
      <c r="S41" s="27"/>
      <c r="T41" s="28"/>
      <c r="U41" s="27"/>
      <c r="V41" s="27"/>
      <c r="W41" s="28"/>
      <c r="X41" s="33"/>
      <c r="Y41" s="32"/>
      <c r="Z41" s="25"/>
      <c r="AA41" s="27"/>
      <c r="AB41" s="28"/>
      <c r="AC41" s="27"/>
      <c r="AD41" s="27"/>
      <c r="AE41" s="33"/>
      <c r="AG41" s="25"/>
      <c r="AH41" s="34"/>
      <c r="AI41" s="27"/>
      <c r="AJ41" s="27"/>
      <c r="AK41" s="27"/>
      <c r="AL41" s="25"/>
      <c r="AM41" s="34"/>
      <c r="AN41" s="27">
        <v>0.05</v>
      </c>
      <c r="AO41" s="27">
        <v>0.05</v>
      </c>
      <c r="AP41" s="36">
        <v>0.05</v>
      </c>
      <c r="AQ41" s="37"/>
      <c r="AR41" s="32"/>
      <c r="AS41" s="25" t="s">
        <v>72</v>
      </c>
      <c r="AT41" s="27" t="s">
        <v>52</v>
      </c>
      <c r="AU41" s="27"/>
      <c r="AW41" s="25" t="s">
        <v>370</v>
      </c>
      <c r="AX41" s="27"/>
      <c r="AY41" s="27"/>
      <c r="AZ41" s="32"/>
      <c r="BA41" s="41">
        <v>2</v>
      </c>
    </row>
    <row r="42" spans="1:53" x14ac:dyDescent="0.2">
      <c r="A42" s="25">
        <v>33</v>
      </c>
      <c r="B42" s="26">
        <v>45377</v>
      </c>
      <c r="C42" s="27" t="s">
        <v>227</v>
      </c>
      <c r="D42" s="25"/>
      <c r="E42" s="28"/>
      <c r="F42" s="27"/>
      <c r="G42" s="28"/>
      <c r="H42" s="27"/>
      <c r="I42" s="28"/>
      <c r="J42" s="202">
        <v>45357</v>
      </c>
      <c r="K42" s="29" t="s">
        <v>35</v>
      </c>
      <c r="L42" s="39"/>
      <c r="M42" s="31"/>
      <c r="N42" s="27" t="s">
        <v>272</v>
      </c>
      <c r="O42" s="307"/>
      <c r="P42" s="32"/>
      <c r="Q42" s="25"/>
      <c r="R42" s="27"/>
      <c r="S42" s="27"/>
      <c r="T42" s="28"/>
      <c r="U42" s="27"/>
      <c r="V42" s="27"/>
      <c r="W42" s="28"/>
      <c r="X42" s="33"/>
      <c r="Y42" s="32"/>
      <c r="Z42" s="25"/>
      <c r="AA42" s="27"/>
      <c r="AB42" s="28"/>
      <c r="AC42" s="27"/>
      <c r="AD42" s="27"/>
      <c r="AE42" s="33"/>
      <c r="AG42" s="25"/>
      <c r="AH42" s="34"/>
      <c r="AI42" s="27"/>
      <c r="AJ42" s="27"/>
      <c r="AK42" s="27"/>
      <c r="AL42" s="25"/>
      <c r="AM42" s="34"/>
      <c r="AN42" s="27">
        <v>0.05</v>
      </c>
      <c r="AO42" s="27">
        <v>0.05</v>
      </c>
      <c r="AP42" s="36">
        <v>0.05</v>
      </c>
      <c r="AQ42" s="37"/>
      <c r="AR42" s="32"/>
      <c r="AS42" s="25" t="s">
        <v>72</v>
      </c>
      <c r="AT42" s="27" t="s">
        <v>52</v>
      </c>
      <c r="AW42" s="25" t="s">
        <v>370</v>
      </c>
      <c r="AX42" s="27"/>
      <c r="AY42" s="27"/>
      <c r="AZ42" s="32"/>
      <c r="BA42" s="41">
        <v>3</v>
      </c>
    </row>
    <row r="43" spans="1:53" ht="16" thickBot="1" x14ac:dyDescent="0.25">
      <c r="A43" s="25">
        <v>34</v>
      </c>
      <c r="B43" s="26">
        <v>45378</v>
      </c>
      <c r="C43" s="27"/>
      <c r="D43" s="25"/>
      <c r="E43" s="28"/>
      <c r="F43" s="27"/>
      <c r="G43" s="28"/>
      <c r="H43" s="27"/>
      <c r="I43" s="28"/>
      <c r="J43" s="202">
        <v>45357</v>
      </c>
      <c r="K43" s="29" t="s">
        <v>35</v>
      </c>
      <c r="L43" s="39"/>
      <c r="M43" s="31"/>
      <c r="N43" s="27" t="s">
        <v>272</v>
      </c>
      <c r="O43" s="307"/>
      <c r="P43" s="32"/>
      <c r="Q43" s="25"/>
      <c r="R43" s="27"/>
      <c r="S43" s="27"/>
      <c r="T43" s="28"/>
      <c r="U43" s="27"/>
      <c r="V43" s="27"/>
      <c r="W43" s="28"/>
      <c r="X43" s="33"/>
      <c r="Y43" s="32"/>
      <c r="Z43" s="25"/>
      <c r="AA43" s="27"/>
      <c r="AB43" s="28"/>
      <c r="AC43" s="27"/>
      <c r="AD43" s="27"/>
      <c r="AE43" s="33"/>
      <c r="AG43" s="25"/>
      <c r="AH43" s="34"/>
      <c r="AI43" s="27"/>
      <c r="AJ43" s="27"/>
      <c r="AK43" s="27"/>
      <c r="AL43" s="25"/>
      <c r="AM43" s="34"/>
      <c r="AN43" s="27">
        <v>0.05</v>
      </c>
      <c r="AO43" s="27">
        <v>0.05</v>
      </c>
      <c r="AP43" s="36">
        <v>0.05</v>
      </c>
      <c r="AQ43" s="37"/>
      <c r="AR43" s="32"/>
      <c r="AS43" s="25" t="s">
        <v>72</v>
      </c>
      <c r="AT43" s="27" t="s">
        <v>52</v>
      </c>
      <c r="AU43" s="27"/>
      <c r="AW43" s="25" t="s">
        <v>370</v>
      </c>
      <c r="AX43" s="27"/>
      <c r="AY43" s="27"/>
      <c r="AZ43" s="32"/>
      <c r="BA43" s="41">
        <v>4</v>
      </c>
    </row>
    <row r="44" spans="1:53" ht="16" thickBot="1" x14ac:dyDescent="0.25">
      <c r="A44" s="25">
        <v>35</v>
      </c>
      <c r="B44" s="26">
        <v>45379</v>
      </c>
      <c r="C44" s="27"/>
      <c r="D44" s="25"/>
      <c r="E44" s="28"/>
      <c r="F44" s="27"/>
      <c r="G44" s="28"/>
      <c r="H44" s="27"/>
      <c r="I44" s="28"/>
      <c r="J44" s="202">
        <v>45357</v>
      </c>
      <c r="K44" s="29" t="s">
        <v>35</v>
      </c>
      <c r="L44" s="39"/>
      <c r="M44" s="31"/>
      <c r="N44" s="27" t="s">
        <v>272</v>
      </c>
      <c r="O44" s="307"/>
      <c r="P44" s="32"/>
      <c r="Q44" s="25"/>
      <c r="R44" s="27"/>
      <c r="S44" s="27"/>
      <c r="T44" s="28"/>
      <c r="U44" s="27"/>
      <c r="V44" s="27"/>
      <c r="W44" s="28"/>
      <c r="X44" s="33"/>
      <c r="Y44" s="32"/>
      <c r="Z44" s="25"/>
      <c r="AA44" s="27"/>
      <c r="AB44" s="28"/>
      <c r="AC44" s="27"/>
      <c r="AD44" s="27"/>
      <c r="AE44" s="33"/>
      <c r="AG44" s="25"/>
      <c r="AH44" s="34"/>
      <c r="AI44" s="27"/>
      <c r="AJ44" s="27"/>
      <c r="AK44" s="27"/>
      <c r="AL44" s="25"/>
      <c r="AM44" s="34"/>
      <c r="AN44" s="27">
        <v>0.05</v>
      </c>
      <c r="AO44" s="27">
        <v>0.05</v>
      </c>
      <c r="AP44" s="36">
        <v>0.05</v>
      </c>
      <c r="AQ44" s="37"/>
      <c r="AR44" s="32"/>
      <c r="AS44" s="25" t="s">
        <v>72</v>
      </c>
      <c r="AT44" s="27" t="s">
        <v>52</v>
      </c>
      <c r="AU44" s="58" t="s">
        <v>77</v>
      </c>
      <c r="AW44" s="25" t="s">
        <v>370</v>
      </c>
      <c r="AX44" s="27"/>
      <c r="AY44" s="27"/>
      <c r="AZ44" s="32"/>
      <c r="BA44" s="41">
        <v>4</v>
      </c>
    </row>
    <row r="45" spans="1:53" ht="16" thickBot="1" x14ac:dyDescent="0.25">
      <c r="A45" s="25">
        <v>36</v>
      </c>
      <c r="B45" s="26">
        <v>45380</v>
      </c>
      <c r="C45" s="27"/>
      <c r="D45" s="25"/>
      <c r="E45" s="28"/>
      <c r="F45" s="27"/>
      <c r="G45" s="28"/>
      <c r="H45" s="27"/>
      <c r="I45" s="28"/>
      <c r="J45" s="202">
        <v>45357</v>
      </c>
      <c r="K45" s="29" t="s">
        <v>35</v>
      </c>
      <c r="L45" s="53"/>
      <c r="M45" s="31"/>
      <c r="N45" s="27" t="s">
        <v>272</v>
      </c>
      <c r="O45" s="307"/>
      <c r="P45" s="32"/>
      <c r="Q45" s="25"/>
      <c r="R45" s="27"/>
      <c r="S45" s="27"/>
      <c r="T45" s="28"/>
      <c r="U45" s="27"/>
      <c r="V45" s="27"/>
      <c r="W45" s="28"/>
      <c r="X45" s="33"/>
      <c r="Y45" s="32"/>
      <c r="Z45" s="25"/>
      <c r="AA45" s="27"/>
      <c r="AB45" s="28"/>
      <c r="AC45" s="27"/>
      <c r="AD45" s="27"/>
      <c r="AE45" s="33"/>
      <c r="AG45" s="25"/>
      <c r="AH45" s="34"/>
      <c r="AI45" s="27"/>
      <c r="AJ45" s="27"/>
      <c r="AK45" s="27"/>
      <c r="AL45" s="25"/>
      <c r="AM45" s="34"/>
      <c r="AN45" s="27">
        <v>0.05</v>
      </c>
      <c r="AO45" s="27">
        <v>0.05</v>
      </c>
      <c r="AP45" s="36">
        <v>0.05</v>
      </c>
      <c r="AQ45" s="37"/>
      <c r="AR45" s="32"/>
      <c r="AS45" s="25" t="s">
        <v>78</v>
      </c>
      <c r="AT45" s="27" t="s">
        <v>52</v>
      </c>
      <c r="AW45" s="25" t="s">
        <v>370</v>
      </c>
      <c r="AX45" s="27"/>
      <c r="AY45" s="27"/>
      <c r="AZ45" s="32"/>
      <c r="BA45" s="41">
        <v>4</v>
      </c>
    </row>
    <row r="46" spans="1:53" ht="16" thickBot="1" x14ac:dyDescent="0.25">
      <c r="A46" s="25">
        <v>37</v>
      </c>
      <c r="B46" s="26">
        <v>45381</v>
      </c>
      <c r="C46" s="27"/>
      <c r="D46" s="25"/>
      <c r="E46" s="28"/>
      <c r="F46" s="27"/>
      <c r="G46" s="28"/>
      <c r="H46" s="27"/>
      <c r="I46" s="28"/>
      <c r="J46" s="202">
        <v>45357</v>
      </c>
      <c r="K46" s="29" t="s">
        <v>35</v>
      </c>
      <c r="L46" s="53"/>
      <c r="M46" s="31"/>
      <c r="N46" s="27" t="s">
        <v>272</v>
      </c>
      <c r="O46" s="307"/>
      <c r="P46" s="32"/>
      <c r="Q46" s="25"/>
      <c r="R46" s="27"/>
      <c r="S46" s="27"/>
      <c r="T46" s="28"/>
      <c r="U46" s="27"/>
      <c r="V46" s="27"/>
      <c r="W46" s="28"/>
      <c r="X46" s="33"/>
      <c r="Y46" s="32"/>
      <c r="Z46" s="59"/>
      <c r="AA46" s="60"/>
      <c r="AB46" s="61"/>
      <c r="AC46" s="27"/>
      <c r="AD46" s="27"/>
      <c r="AE46" s="33"/>
      <c r="AG46" s="25"/>
      <c r="AH46" s="34"/>
      <c r="AI46" s="27"/>
      <c r="AJ46" s="27"/>
      <c r="AK46" s="27"/>
      <c r="AL46" s="25"/>
      <c r="AM46" s="34"/>
      <c r="AN46" s="27">
        <v>0.05</v>
      </c>
      <c r="AO46" s="27">
        <v>0.05</v>
      </c>
      <c r="AP46" s="36">
        <v>0.05</v>
      </c>
      <c r="AQ46" s="37"/>
      <c r="AR46" s="32"/>
      <c r="AS46" s="25" t="s">
        <v>78</v>
      </c>
      <c r="AT46" s="27" t="s">
        <v>52</v>
      </c>
      <c r="AU46" s="27"/>
      <c r="AW46" s="25" t="s">
        <v>370</v>
      </c>
      <c r="AX46" s="27"/>
      <c r="AY46" s="27"/>
      <c r="AZ46" s="32"/>
      <c r="BA46" s="41">
        <v>1</v>
      </c>
    </row>
    <row r="47" spans="1:53" x14ac:dyDescent="0.2">
      <c r="A47" s="25">
        <v>38</v>
      </c>
      <c r="B47" s="26">
        <v>45382</v>
      </c>
      <c r="C47" s="27"/>
      <c r="D47" s="25"/>
      <c r="E47" s="28"/>
      <c r="F47" s="27"/>
      <c r="G47" s="28"/>
      <c r="H47" s="27"/>
      <c r="I47" s="28"/>
      <c r="J47" s="202">
        <v>45357</v>
      </c>
      <c r="K47" s="29" t="s">
        <v>35</v>
      </c>
      <c r="L47" s="39"/>
      <c r="M47" s="31"/>
      <c r="N47" s="27" t="s">
        <v>272</v>
      </c>
      <c r="O47" s="307"/>
      <c r="P47" s="32"/>
      <c r="Q47" s="25"/>
      <c r="R47" s="27"/>
      <c r="S47" s="27"/>
      <c r="T47" s="28"/>
      <c r="U47" s="27"/>
      <c r="V47" s="27"/>
      <c r="W47" s="28"/>
      <c r="X47" s="33"/>
      <c r="Y47" s="32"/>
      <c r="Z47" s="25"/>
      <c r="AA47" s="27"/>
      <c r="AB47" s="28"/>
      <c r="AC47" s="27"/>
      <c r="AD47" s="27"/>
      <c r="AE47" s="33"/>
      <c r="AG47" s="25"/>
      <c r="AH47" s="34"/>
      <c r="AI47" s="27"/>
      <c r="AJ47" s="27"/>
      <c r="AK47" s="27"/>
      <c r="AL47" s="25"/>
      <c r="AM47" s="34"/>
      <c r="AN47" s="27">
        <v>0.05</v>
      </c>
      <c r="AO47" s="27">
        <v>0.05</v>
      </c>
      <c r="AP47" s="36">
        <v>0.05</v>
      </c>
      <c r="AQ47" s="37"/>
      <c r="AR47" s="32"/>
      <c r="AS47" s="25" t="s">
        <v>78</v>
      </c>
      <c r="AT47" s="27" t="s">
        <v>52</v>
      </c>
      <c r="AU47" s="27"/>
      <c r="AW47" s="25" t="s">
        <v>370</v>
      </c>
      <c r="AX47" s="27"/>
      <c r="AY47" s="27"/>
      <c r="AZ47" s="32"/>
      <c r="BA47" s="41">
        <v>0</v>
      </c>
    </row>
    <row r="48" spans="1:53" ht="16" thickBot="1" x14ac:dyDescent="0.25">
      <c r="A48" s="25">
        <v>39</v>
      </c>
      <c r="B48" s="26">
        <v>45383</v>
      </c>
      <c r="C48" s="27"/>
      <c r="D48" s="25"/>
      <c r="E48" s="28"/>
      <c r="F48" s="27"/>
      <c r="G48" s="28"/>
      <c r="H48" s="27"/>
      <c r="I48" s="28"/>
      <c r="J48" s="202">
        <v>45357</v>
      </c>
      <c r="K48" s="29" t="s">
        <v>35</v>
      </c>
      <c r="M48" s="31"/>
      <c r="N48" s="27" t="s">
        <v>272</v>
      </c>
      <c r="O48" s="307"/>
      <c r="P48" s="32"/>
      <c r="Q48" s="25"/>
      <c r="R48" s="27"/>
      <c r="S48" s="27"/>
      <c r="T48" s="28"/>
      <c r="U48" s="27"/>
      <c r="V48" s="27"/>
      <c r="W48" s="28"/>
      <c r="X48" s="33"/>
      <c r="Y48" s="32"/>
      <c r="Z48" s="25"/>
      <c r="AA48" s="27"/>
      <c r="AB48" s="28"/>
      <c r="AC48" s="27"/>
      <c r="AD48" s="27"/>
      <c r="AE48" s="33"/>
      <c r="AG48" s="25"/>
      <c r="AH48" s="34"/>
      <c r="AI48" s="27"/>
      <c r="AJ48" s="27"/>
      <c r="AK48" s="27"/>
      <c r="AL48" s="25"/>
      <c r="AM48" s="34"/>
      <c r="AN48" s="27">
        <v>0.05</v>
      </c>
      <c r="AO48" s="27">
        <v>0.05</v>
      </c>
      <c r="AP48" s="36">
        <v>0.05</v>
      </c>
      <c r="AQ48" s="37"/>
      <c r="AR48" s="32"/>
      <c r="AS48" s="25" t="s">
        <v>78</v>
      </c>
      <c r="AT48" s="27" t="s">
        <v>52</v>
      </c>
      <c r="AU48" s="27"/>
      <c r="AW48" s="25" t="s">
        <v>370</v>
      </c>
      <c r="AX48" s="27"/>
      <c r="AY48" s="27"/>
      <c r="AZ48" s="32"/>
      <c r="BA48" s="41">
        <v>0</v>
      </c>
    </row>
    <row r="49" spans="1:53" ht="16" thickBot="1" x14ac:dyDescent="0.25">
      <c r="A49" s="25">
        <v>40</v>
      </c>
      <c r="B49" s="26">
        <v>45384</v>
      </c>
      <c r="C49" s="27" t="s">
        <v>227</v>
      </c>
      <c r="D49" s="25"/>
      <c r="E49" s="28"/>
      <c r="F49" s="27"/>
      <c r="G49" s="28"/>
      <c r="H49" s="27"/>
      <c r="I49" s="28"/>
      <c r="J49" s="202">
        <v>45357</v>
      </c>
      <c r="K49" s="29" t="s">
        <v>35</v>
      </c>
      <c r="L49" s="53"/>
      <c r="M49" s="31" t="s">
        <v>373</v>
      </c>
      <c r="N49" s="27" t="s">
        <v>272</v>
      </c>
      <c r="O49" s="308"/>
      <c r="Q49" s="25"/>
      <c r="R49" s="27"/>
      <c r="S49" s="27"/>
      <c r="T49" s="28"/>
      <c r="U49" s="27"/>
      <c r="V49" s="27"/>
      <c r="W49" s="28"/>
      <c r="X49" s="33"/>
      <c r="Y49" s="32"/>
      <c r="Z49" s="59"/>
      <c r="AA49" s="60"/>
      <c r="AB49" s="61"/>
      <c r="AC49" s="27"/>
      <c r="AD49" s="27"/>
      <c r="AE49" s="33"/>
      <c r="AG49" s="25"/>
      <c r="AH49" s="34"/>
      <c r="AI49" s="27"/>
      <c r="AJ49" s="27"/>
      <c r="AK49" s="27"/>
      <c r="AL49" s="25"/>
      <c r="AM49" s="34"/>
      <c r="AN49" s="27">
        <v>0.05</v>
      </c>
      <c r="AO49" s="27">
        <v>0.05</v>
      </c>
      <c r="AP49" s="36">
        <v>0.05</v>
      </c>
      <c r="AQ49" s="37"/>
      <c r="AR49" s="32"/>
      <c r="AS49" s="25" t="s">
        <v>79</v>
      </c>
      <c r="AT49" s="27" t="s">
        <v>52</v>
      </c>
      <c r="AU49" s="58" t="s">
        <v>80</v>
      </c>
      <c r="AW49" s="25" t="s">
        <v>370</v>
      </c>
      <c r="AX49" s="27"/>
      <c r="AY49" s="27"/>
      <c r="AZ49" s="32"/>
      <c r="BA49" s="41">
        <v>0</v>
      </c>
    </row>
    <row r="50" spans="1:53" x14ac:dyDescent="0.2">
      <c r="A50" s="25">
        <v>41</v>
      </c>
      <c r="B50" s="26">
        <v>45385</v>
      </c>
      <c r="C50" s="27" t="s">
        <v>232</v>
      </c>
      <c r="D50" s="25"/>
      <c r="E50" s="28"/>
      <c r="F50" s="27"/>
      <c r="G50" s="28"/>
      <c r="H50" s="27"/>
      <c r="I50" s="28"/>
      <c r="J50" s="202">
        <v>45357</v>
      </c>
      <c r="K50" s="29" t="s">
        <v>35</v>
      </c>
      <c r="M50" s="31"/>
      <c r="N50" s="27" t="s">
        <v>272</v>
      </c>
      <c r="P50" s="32"/>
      <c r="Q50" s="25"/>
      <c r="R50" s="27"/>
      <c r="S50" s="27"/>
      <c r="T50" s="28"/>
      <c r="U50" s="27"/>
      <c r="V50" s="27"/>
      <c r="W50" s="28"/>
      <c r="X50" s="33"/>
      <c r="Y50" s="32"/>
      <c r="Z50" s="25"/>
      <c r="AA50" s="27"/>
      <c r="AB50" s="28"/>
      <c r="AC50" s="27"/>
      <c r="AD50" s="27"/>
      <c r="AE50" s="33"/>
      <c r="AG50" s="25"/>
      <c r="AH50" s="34"/>
      <c r="AI50" s="27"/>
      <c r="AJ50" s="27"/>
      <c r="AK50" s="27"/>
      <c r="AL50" s="25"/>
      <c r="AM50" s="34"/>
      <c r="AN50" s="27">
        <v>0.05</v>
      </c>
      <c r="AO50" s="27">
        <v>0.05</v>
      </c>
      <c r="AP50" s="36">
        <v>0.05</v>
      </c>
      <c r="AQ50" s="37"/>
      <c r="AR50" s="32"/>
      <c r="AS50" s="25" t="s">
        <v>79</v>
      </c>
      <c r="AT50" s="27" t="s">
        <v>52</v>
      </c>
      <c r="AU50" s="27"/>
      <c r="AW50" s="25" t="s">
        <v>370</v>
      </c>
      <c r="AX50" s="27"/>
      <c r="AY50" s="27"/>
      <c r="AZ50" s="32"/>
      <c r="BA50" s="41">
        <v>0</v>
      </c>
    </row>
    <row r="51" spans="1:53" x14ac:dyDescent="0.2">
      <c r="A51" s="25">
        <v>42</v>
      </c>
      <c r="B51" s="26">
        <v>45386</v>
      </c>
      <c r="C51" s="27" t="s">
        <v>227</v>
      </c>
      <c r="D51" s="25"/>
      <c r="E51" s="28"/>
      <c r="F51" s="27"/>
      <c r="G51" s="28"/>
      <c r="H51" s="27"/>
      <c r="I51" s="28"/>
      <c r="J51" s="202">
        <v>45357</v>
      </c>
      <c r="K51" s="29" t="s">
        <v>35</v>
      </c>
      <c r="L51" s="39"/>
      <c r="M51" s="31"/>
      <c r="N51" s="27" t="s">
        <v>272</v>
      </c>
      <c r="P51" s="32"/>
      <c r="Q51" s="25"/>
      <c r="R51" s="27"/>
      <c r="S51" s="27"/>
      <c r="T51" s="28"/>
      <c r="U51" s="27"/>
      <c r="V51" s="27"/>
      <c r="W51" s="28"/>
      <c r="X51" s="33"/>
      <c r="Y51" s="32"/>
      <c r="Z51" s="25"/>
      <c r="AA51" s="27"/>
      <c r="AB51" s="28"/>
      <c r="AC51" s="27"/>
      <c r="AD51" s="27"/>
      <c r="AE51" s="33"/>
      <c r="AG51" s="25"/>
      <c r="AH51" s="34"/>
      <c r="AI51" s="27"/>
      <c r="AJ51" s="27"/>
      <c r="AK51" s="27"/>
      <c r="AL51" s="25"/>
      <c r="AM51" s="34"/>
      <c r="AN51" s="27">
        <v>0.05</v>
      </c>
      <c r="AO51" s="27">
        <v>0.05</v>
      </c>
      <c r="AP51" s="36">
        <v>0.05</v>
      </c>
      <c r="AQ51" s="37"/>
      <c r="AR51" s="32"/>
      <c r="AS51" s="25" t="s">
        <v>79</v>
      </c>
      <c r="AT51" s="27" t="s">
        <v>52</v>
      </c>
      <c r="AU51" s="27"/>
      <c r="AW51" s="25" t="s">
        <v>370</v>
      </c>
      <c r="AX51" s="27"/>
      <c r="AY51" s="27"/>
      <c r="AZ51" s="32"/>
      <c r="BA51" s="41">
        <v>0</v>
      </c>
    </row>
    <row r="52" spans="1:53" ht="16" thickBot="1" x14ac:dyDescent="0.25">
      <c r="A52" s="25">
        <v>43</v>
      </c>
      <c r="B52" s="26">
        <v>45387</v>
      </c>
      <c r="C52" s="27" t="s">
        <v>200</v>
      </c>
      <c r="D52" s="25"/>
      <c r="E52" s="28"/>
      <c r="F52" s="27"/>
      <c r="G52" s="28"/>
      <c r="H52" s="27"/>
      <c r="I52" s="28"/>
      <c r="J52" s="202">
        <v>45357</v>
      </c>
      <c r="K52" s="29" t="s">
        <v>35</v>
      </c>
      <c r="L52" s="39"/>
      <c r="M52" s="31"/>
      <c r="N52" s="27" t="s">
        <v>272</v>
      </c>
      <c r="P52" s="32"/>
      <c r="Q52" s="25"/>
      <c r="R52" s="27"/>
      <c r="S52" s="27"/>
      <c r="T52" s="28"/>
      <c r="U52" s="27"/>
      <c r="V52" s="27"/>
      <c r="W52" s="28"/>
      <c r="X52" s="33"/>
      <c r="Y52" s="32"/>
      <c r="Z52" s="25"/>
      <c r="AA52" s="27"/>
      <c r="AB52" s="28"/>
      <c r="AC52" s="27"/>
      <c r="AD52" s="27"/>
      <c r="AE52" s="33"/>
      <c r="AG52" s="25"/>
      <c r="AH52" s="34"/>
      <c r="AI52" s="27"/>
      <c r="AJ52" s="27"/>
      <c r="AK52" s="27"/>
      <c r="AL52" s="25"/>
      <c r="AM52" s="34"/>
      <c r="AN52" s="27">
        <v>0.05</v>
      </c>
      <c r="AO52" s="27">
        <v>0.05</v>
      </c>
      <c r="AP52" s="36">
        <v>0.05</v>
      </c>
      <c r="AQ52" s="37"/>
      <c r="AR52" s="32"/>
      <c r="AS52" s="25" t="s">
        <v>79</v>
      </c>
      <c r="AT52" s="27" t="s">
        <v>52</v>
      </c>
      <c r="AU52" s="27"/>
      <c r="AW52" s="25" t="s">
        <v>370</v>
      </c>
      <c r="AX52" s="27"/>
      <c r="AY52" s="27"/>
      <c r="AZ52" s="32"/>
      <c r="BA52" s="41">
        <v>0</v>
      </c>
    </row>
    <row r="53" spans="1:53" ht="16" thickBot="1" x14ac:dyDescent="0.25">
      <c r="A53" s="25">
        <v>44</v>
      </c>
      <c r="B53" s="26">
        <v>45388</v>
      </c>
      <c r="C53" s="27" t="s">
        <v>200</v>
      </c>
      <c r="D53" s="25"/>
      <c r="E53" s="28"/>
      <c r="F53" s="27"/>
      <c r="G53" s="28"/>
      <c r="H53" s="27"/>
      <c r="I53" s="28"/>
      <c r="J53" s="202">
        <v>45357</v>
      </c>
      <c r="K53" s="29" t="s">
        <v>35</v>
      </c>
      <c r="L53" s="39"/>
      <c r="M53" s="31"/>
      <c r="N53" s="27" t="s">
        <v>272</v>
      </c>
      <c r="P53" s="32"/>
      <c r="Q53" s="27"/>
      <c r="R53" s="27"/>
      <c r="S53" s="27"/>
      <c r="T53" s="28"/>
      <c r="U53" s="27"/>
      <c r="V53" s="27"/>
      <c r="W53" s="28"/>
      <c r="X53" s="33"/>
      <c r="Y53" s="32"/>
      <c r="Z53" s="59"/>
      <c r="AA53" s="60"/>
      <c r="AB53" s="61"/>
      <c r="AC53" s="27"/>
      <c r="AD53" s="27"/>
      <c r="AE53" s="33"/>
      <c r="AG53" s="25"/>
      <c r="AH53" s="34"/>
      <c r="AI53" s="27"/>
      <c r="AJ53" s="27"/>
      <c r="AK53" s="27"/>
      <c r="AL53" s="25"/>
      <c r="AM53" s="34"/>
      <c r="AN53" s="27">
        <v>0.05</v>
      </c>
      <c r="AO53" s="27">
        <v>0.05</v>
      </c>
      <c r="AP53" s="36">
        <v>0.05</v>
      </c>
      <c r="AQ53" s="37"/>
      <c r="AR53" s="32"/>
      <c r="AS53" s="25" t="s">
        <v>79</v>
      </c>
      <c r="AT53" s="27" t="s">
        <v>52</v>
      </c>
      <c r="AU53" s="58" t="s">
        <v>81</v>
      </c>
      <c r="AW53" s="25" t="s">
        <v>370</v>
      </c>
      <c r="AX53" s="27"/>
      <c r="AY53" s="27"/>
      <c r="AZ53" s="32"/>
      <c r="BA53" s="41">
        <v>0</v>
      </c>
    </row>
    <row r="54" spans="1:53" x14ac:dyDescent="0.2">
      <c r="A54" s="25">
        <v>45</v>
      </c>
      <c r="B54" s="26">
        <v>45389</v>
      </c>
      <c r="C54" s="27" t="s">
        <v>232</v>
      </c>
      <c r="D54" s="25"/>
      <c r="E54" s="28"/>
      <c r="F54" s="27"/>
      <c r="G54" s="28"/>
      <c r="H54" s="27"/>
      <c r="I54" s="28"/>
      <c r="J54" s="202">
        <v>45357</v>
      </c>
      <c r="K54" s="29" t="s">
        <v>35</v>
      </c>
      <c r="L54" s="39"/>
      <c r="M54" s="31"/>
      <c r="N54" s="27" t="s">
        <v>272</v>
      </c>
      <c r="P54" s="32"/>
      <c r="Q54" s="25"/>
      <c r="R54" s="27"/>
      <c r="S54" s="27"/>
      <c r="T54" s="28"/>
      <c r="U54" s="27"/>
      <c r="V54" s="27"/>
      <c r="W54" s="28"/>
      <c r="X54" s="33"/>
      <c r="Y54" s="32"/>
      <c r="Z54" s="25"/>
      <c r="AA54" s="27"/>
      <c r="AB54" s="28"/>
      <c r="AC54" s="27"/>
      <c r="AD54" s="27"/>
      <c r="AE54" s="33"/>
      <c r="AG54" s="25"/>
      <c r="AH54" s="34"/>
      <c r="AI54" s="27"/>
      <c r="AJ54" s="27"/>
      <c r="AK54" s="27"/>
      <c r="AL54" s="25"/>
      <c r="AM54" s="34"/>
      <c r="AN54" s="27">
        <v>0.05</v>
      </c>
      <c r="AO54" s="27">
        <v>0.05</v>
      </c>
      <c r="AP54" s="36">
        <v>0.05</v>
      </c>
      <c r="AQ54" s="37"/>
      <c r="AR54" s="32"/>
      <c r="AS54" s="25" t="s">
        <v>78</v>
      </c>
      <c r="AT54" s="27" t="s">
        <v>52</v>
      </c>
      <c r="AU54" t="s">
        <v>380</v>
      </c>
      <c r="AW54" s="25" t="s">
        <v>370</v>
      </c>
      <c r="AX54" s="27"/>
      <c r="AY54" s="27"/>
      <c r="AZ54" s="32"/>
      <c r="BA54" s="41">
        <v>0</v>
      </c>
    </row>
    <row r="55" spans="1:53" x14ac:dyDescent="0.2">
      <c r="A55" s="25">
        <v>46</v>
      </c>
      <c r="B55" s="26">
        <v>45390</v>
      </c>
      <c r="C55" s="27" t="s">
        <v>232</v>
      </c>
      <c r="D55" s="25"/>
      <c r="E55" s="28"/>
      <c r="F55" s="27"/>
      <c r="G55" s="28"/>
      <c r="H55" s="27"/>
      <c r="I55" s="28"/>
      <c r="J55" s="202">
        <v>45357</v>
      </c>
      <c r="K55" s="29" t="s">
        <v>35</v>
      </c>
      <c r="L55" s="39"/>
      <c r="M55" s="31"/>
      <c r="N55" s="27" t="s">
        <v>272</v>
      </c>
      <c r="P55" s="32"/>
      <c r="Q55" s="25"/>
      <c r="R55" s="27"/>
      <c r="S55" s="27"/>
      <c r="T55" s="28"/>
      <c r="U55" s="27"/>
      <c r="V55" s="27"/>
      <c r="W55" s="28"/>
      <c r="X55" s="33"/>
      <c r="Y55" s="32"/>
      <c r="Z55" s="25"/>
      <c r="AA55" s="27"/>
      <c r="AB55" s="28"/>
      <c r="AC55" s="27"/>
      <c r="AD55" s="27"/>
      <c r="AE55" s="33"/>
      <c r="AG55" s="25"/>
      <c r="AH55" s="34"/>
      <c r="AI55" s="27"/>
      <c r="AJ55" s="27"/>
      <c r="AK55" s="27"/>
      <c r="AL55" s="25"/>
      <c r="AM55" s="34"/>
      <c r="AN55" s="27">
        <v>0.05</v>
      </c>
      <c r="AO55" s="27">
        <v>0.05</v>
      </c>
      <c r="AP55" s="36">
        <v>0.05</v>
      </c>
      <c r="AQ55" s="37"/>
      <c r="AR55" s="32"/>
      <c r="AS55" s="25" t="s">
        <v>78</v>
      </c>
      <c r="AT55" s="27" t="s">
        <v>52</v>
      </c>
      <c r="AU55" s="27"/>
      <c r="AW55" s="25" t="s">
        <v>370</v>
      </c>
      <c r="AX55" s="27"/>
      <c r="AY55" s="27"/>
      <c r="AZ55" s="32"/>
      <c r="BA55" s="41">
        <v>0</v>
      </c>
    </row>
    <row r="56" spans="1:53" x14ac:dyDescent="0.2">
      <c r="A56" s="25">
        <v>47</v>
      </c>
      <c r="B56" s="26">
        <v>45391</v>
      </c>
      <c r="C56" s="27" t="s">
        <v>227</v>
      </c>
      <c r="D56" s="25"/>
      <c r="E56" s="28"/>
      <c r="F56" s="27"/>
      <c r="G56" s="28"/>
      <c r="H56" s="27"/>
      <c r="I56" s="28"/>
      <c r="J56" s="202">
        <v>45357</v>
      </c>
      <c r="K56" s="29" t="s">
        <v>35</v>
      </c>
      <c r="L56" s="39"/>
      <c r="M56" s="31"/>
      <c r="N56" s="27" t="s">
        <v>272</v>
      </c>
      <c r="P56" s="32"/>
      <c r="Q56" s="25"/>
      <c r="R56" s="27"/>
      <c r="S56" s="27"/>
      <c r="T56" s="28"/>
      <c r="U56" s="27"/>
      <c r="V56" s="27"/>
      <c r="W56" s="28"/>
      <c r="X56" s="33"/>
      <c r="Y56" s="32"/>
      <c r="Z56" s="25"/>
      <c r="AA56" s="27"/>
      <c r="AB56" s="28"/>
      <c r="AC56" s="27"/>
      <c r="AD56" s="27"/>
      <c r="AE56" s="33"/>
      <c r="AG56" s="25"/>
      <c r="AH56" s="34"/>
      <c r="AI56" s="27"/>
      <c r="AJ56" s="27"/>
      <c r="AK56" s="27"/>
      <c r="AL56" s="25"/>
      <c r="AM56" s="34"/>
      <c r="AN56" s="27">
        <v>0.05</v>
      </c>
      <c r="AO56" s="27">
        <v>0.05</v>
      </c>
      <c r="AP56" s="36">
        <v>0.05</v>
      </c>
      <c r="AQ56" s="37"/>
      <c r="AR56" s="32"/>
      <c r="AS56" s="25" t="s">
        <v>82</v>
      </c>
      <c r="AT56" s="27" t="s">
        <v>52</v>
      </c>
      <c r="AU56" s="27" t="s">
        <v>383</v>
      </c>
      <c r="AW56" s="25" t="s">
        <v>370</v>
      </c>
      <c r="AX56" s="27"/>
      <c r="AY56" s="27"/>
      <c r="AZ56" s="32"/>
      <c r="BA56" s="41">
        <v>0</v>
      </c>
    </row>
    <row r="57" spans="1:53" x14ac:dyDescent="0.2">
      <c r="A57" s="25">
        <v>48</v>
      </c>
      <c r="B57" s="26">
        <v>45392</v>
      </c>
      <c r="C57" s="27" t="s">
        <v>227</v>
      </c>
      <c r="D57" s="25"/>
      <c r="E57" s="28"/>
      <c r="F57" s="27"/>
      <c r="G57" s="28"/>
      <c r="H57" s="27"/>
      <c r="I57" s="28"/>
      <c r="J57" s="202">
        <v>45357</v>
      </c>
      <c r="K57" s="29" t="s">
        <v>35</v>
      </c>
      <c r="M57" s="31"/>
      <c r="N57" s="27"/>
      <c r="P57" s="32" t="s">
        <v>385</v>
      </c>
      <c r="Q57" s="25"/>
      <c r="R57" s="27"/>
      <c r="S57" s="27"/>
      <c r="T57" s="28"/>
      <c r="U57" s="27"/>
      <c r="V57" s="27"/>
      <c r="W57" s="28"/>
      <c r="X57" s="33"/>
      <c r="Y57" s="32"/>
      <c r="Z57" s="25"/>
      <c r="AA57" s="27"/>
      <c r="AB57" s="28"/>
      <c r="AC57" s="27"/>
      <c r="AD57" s="27"/>
      <c r="AE57" s="33"/>
      <c r="AG57" s="25"/>
      <c r="AH57" s="34"/>
      <c r="AI57" s="27"/>
      <c r="AJ57" s="27"/>
      <c r="AK57" s="27"/>
      <c r="AL57" s="25"/>
      <c r="AM57" s="34"/>
      <c r="AN57" s="27">
        <v>0.05</v>
      </c>
      <c r="AO57" s="27">
        <v>0.05</v>
      </c>
      <c r="AP57" s="36">
        <v>0.05</v>
      </c>
      <c r="AQ57" s="37"/>
      <c r="AR57" s="32"/>
      <c r="AS57" s="25" t="s">
        <v>82</v>
      </c>
      <c r="AT57" s="27" t="s">
        <v>52</v>
      </c>
      <c r="AU57" s="27"/>
      <c r="AW57" s="25" t="s">
        <v>370</v>
      </c>
      <c r="AX57" s="27"/>
      <c r="AY57" s="27"/>
      <c r="AZ57" s="32"/>
      <c r="BA57" s="41">
        <v>0</v>
      </c>
    </row>
    <row r="58" spans="1:53" ht="16" thickBot="1" x14ac:dyDescent="0.25">
      <c r="A58" s="25">
        <v>49</v>
      </c>
      <c r="B58" s="26">
        <v>45393</v>
      </c>
      <c r="C58" s="27" t="s">
        <v>227</v>
      </c>
      <c r="D58" s="25"/>
      <c r="E58" s="28"/>
      <c r="F58" s="27"/>
      <c r="G58" s="28"/>
      <c r="H58" s="27"/>
      <c r="I58" s="28"/>
      <c r="J58" s="202">
        <v>45357</v>
      </c>
      <c r="K58" s="29" t="s">
        <v>35</v>
      </c>
      <c r="L58" s="39"/>
      <c r="M58" s="31" t="s">
        <v>387</v>
      </c>
      <c r="N58" s="27"/>
      <c r="P58" s="32"/>
      <c r="Q58" s="25"/>
      <c r="R58" s="27"/>
      <c r="S58" s="27"/>
      <c r="T58" s="28"/>
      <c r="U58" s="27"/>
      <c r="V58" s="27"/>
      <c r="W58" s="28"/>
      <c r="X58" s="33"/>
      <c r="Y58" s="32"/>
      <c r="Z58" s="25"/>
      <c r="AA58" s="27"/>
      <c r="AB58" s="28"/>
      <c r="AC58" s="27"/>
      <c r="AD58" s="27"/>
      <c r="AE58" s="33"/>
      <c r="AG58" s="25"/>
      <c r="AH58" s="34"/>
      <c r="AI58" s="27"/>
      <c r="AJ58" s="27"/>
      <c r="AK58" s="27"/>
      <c r="AL58" s="25"/>
      <c r="AM58" s="34"/>
      <c r="AN58" s="27">
        <v>0.05</v>
      </c>
      <c r="AO58" s="27">
        <v>0.05</v>
      </c>
      <c r="AP58" s="36">
        <v>0.05</v>
      </c>
      <c r="AQ58" s="37" t="s">
        <v>388</v>
      </c>
      <c r="AR58" s="32"/>
      <c r="AS58" s="25" t="s">
        <v>82</v>
      </c>
      <c r="AT58" s="27" t="s">
        <v>52</v>
      </c>
      <c r="AU58" s="27"/>
      <c r="AW58" s="25" t="s">
        <v>370</v>
      </c>
      <c r="AX58" s="27"/>
      <c r="AY58" s="27"/>
      <c r="AZ58" s="32"/>
      <c r="BA58" s="41">
        <v>0</v>
      </c>
    </row>
    <row r="59" spans="1:53" ht="16" thickBot="1" x14ac:dyDescent="0.25">
      <c r="A59" s="25">
        <v>50</v>
      </c>
      <c r="B59" s="26">
        <v>45394</v>
      </c>
      <c r="C59" s="27" t="s">
        <v>200</v>
      </c>
      <c r="D59" s="25"/>
      <c r="E59" s="28"/>
      <c r="F59" s="27"/>
      <c r="G59" s="28"/>
      <c r="H59" s="27"/>
      <c r="I59" s="28"/>
      <c r="J59" s="202">
        <v>45357</v>
      </c>
      <c r="K59" s="29" t="s">
        <v>35</v>
      </c>
      <c r="L59" s="44" t="s">
        <v>83</v>
      </c>
      <c r="M59" s="31"/>
      <c r="N59" s="27"/>
      <c r="O59" s="45" t="s">
        <v>84</v>
      </c>
      <c r="P59" s="46" t="s">
        <v>85</v>
      </c>
      <c r="Q59" s="25"/>
      <c r="R59" s="27"/>
      <c r="S59" s="27"/>
      <c r="T59" s="28"/>
      <c r="U59" s="27"/>
      <c r="V59" s="27"/>
      <c r="W59" s="28"/>
      <c r="X59" s="33"/>
      <c r="Y59" s="32"/>
      <c r="Z59" s="25"/>
      <c r="AA59" s="27"/>
      <c r="AB59" s="28"/>
      <c r="AC59" s="27"/>
      <c r="AD59" s="27"/>
      <c r="AE59" s="33"/>
      <c r="AG59" s="25"/>
      <c r="AH59" s="34"/>
      <c r="AI59" s="27"/>
      <c r="AJ59" s="27"/>
      <c r="AK59" s="27"/>
      <c r="AL59" s="25"/>
      <c r="AM59" s="34"/>
      <c r="AN59" s="27"/>
      <c r="AO59" s="27"/>
      <c r="AP59" s="36"/>
      <c r="AQ59" s="37"/>
      <c r="AR59" s="32"/>
      <c r="AS59" s="25" t="s">
        <v>86</v>
      </c>
      <c r="AT59" s="27" t="s">
        <v>87</v>
      </c>
      <c r="AU59" s="58" t="s">
        <v>88</v>
      </c>
      <c r="AW59" s="25"/>
      <c r="AX59" s="27"/>
      <c r="AY59" s="27"/>
      <c r="AZ59" s="32"/>
      <c r="BA59" s="41"/>
    </row>
    <row r="60" spans="1:53" ht="16" thickBot="1" x14ac:dyDescent="0.25">
      <c r="A60" s="25">
        <v>51</v>
      </c>
      <c r="B60" s="26">
        <v>45395</v>
      </c>
      <c r="C60" s="27"/>
      <c r="D60" s="25"/>
      <c r="E60" s="28"/>
      <c r="F60" s="27"/>
      <c r="G60" s="28"/>
      <c r="H60" s="27"/>
      <c r="I60" s="28"/>
      <c r="J60" s="27">
        <v>6</v>
      </c>
      <c r="K60" s="29" t="s">
        <v>35</v>
      </c>
      <c r="L60" s="88" t="s">
        <v>89</v>
      </c>
      <c r="M60" s="31"/>
      <c r="N60" s="27"/>
      <c r="P60" s="46"/>
      <c r="Q60" s="27"/>
      <c r="R60" s="27"/>
      <c r="S60" s="27"/>
      <c r="T60" s="28"/>
      <c r="U60" s="27"/>
      <c r="V60" s="27"/>
      <c r="W60" s="28"/>
      <c r="X60" s="33"/>
      <c r="Y60" s="32"/>
      <c r="Z60" s="25"/>
      <c r="AA60" s="27"/>
      <c r="AB60" s="28"/>
      <c r="AC60" s="27"/>
      <c r="AD60" s="27"/>
      <c r="AE60" s="33"/>
      <c r="AG60" s="25"/>
      <c r="AH60" s="34"/>
      <c r="AI60" s="27"/>
      <c r="AJ60" s="27"/>
      <c r="AK60" s="27"/>
      <c r="AL60" s="25"/>
      <c r="AM60" s="34"/>
      <c r="AN60" s="27"/>
      <c r="AO60" s="27"/>
      <c r="AP60" s="36"/>
      <c r="AQ60" s="37"/>
      <c r="AR60" s="32"/>
      <c r="AS60" s="25" t="s">
        <v>86</v>
      </c>
      <c r="AT60" s="27" t="s">
        <v>87</v>
      </c>
      <c r="AU60" s="27"/>
      <c r="AW60" s="25"/>
      <c r="AX60" s="27"/>
      <c r="AY60" s="27"/>
      <c r="AZ60" s="32"/>
      <c r="BA60" s="41"/>
    </row>
    <row r="61" spans="1:53" ht="16" thickBot="1" x14ac:dyDescent="0.25">
      <c r="A61" s="25">
        <v>52</v>
      </c>
      <c r="B61" s="26">
        <v>45396</v>
      </c>
      <c r="C61" s="27"/>
      <c r="D61" s="25"/>
      <c r="E61" s="28"/>
      <c r="F61" s="27"/>
      <c r="G61" s="28"/>
      <c r="H61" s="27"/>
      <c r="I61" s="28"/>
      <c r="J61" s="27">
        <v>6</v>
      </c>
      <c r="K61" s="29" t="s">
        <v>35</v>
      </c>
      <c r="L61" s="39"/>
      <c r="M61" s="31"/>
      <c r="N61" s="27"/>
      <c r="P61" s="32"/>
      <c r="Q61" s="25"/>
      <c r="R61" s="27"/>
      <c r="S61" s="27"/>
      <c r="T61" s="28"/>
      <c r="U61" s="27"/>
      <c r="V61" s="27"/>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W61" s="25"/>
      <c r="AX61" s="27"/>
      <c r="AY61" s="27"/>
      <c r="AZ61" s="32"/>
      <c r="BA61" s="41"/>
    </row>
    <row r="62" spans="1:53" ht="16" thickBot="1" x14ac:dyDescent="0.25">
      <c r="A62" s="25">
        <v>53</v>
      </c>
      <c r="B62" s="26">
        <v>45397</v>
      </c>
      <c r="C62" s="27"/>
      <c r="D62" s="25"/>
      <c r="E62" s="28"/>
      <c r="F62" s="27"/>
      <c r="G62" s="28"/>
      <c r="H62" s="27"/>
      <c r="I62" s="28"/>
      <c r="J62" s="27">
        <v>6</v>
      </c>
      <c r="K62" s="29" t="s">
        <v>35</v>
      </c>
      <c r="L62" s="39"/>
      <c r="M62" s="31"/>
      <c r="N62" s="27"/>
      <c r="P62" s="32"/>
      <c r="Q62" s="25"/>
      <c r="R62" s="27"/>
      <c r="S62" s="27"/>
      <c r="T62" s="28"/>
      <c r="U62" s="27"/>
      <c r="V62" s="27"/>
      <c r="W62" s="28"/>
      <c r="X62" s="33"/>
      <c r="Y62" s="32"/>
      <c r="Z62" s="25"/>
      <c r="AA62" s="27"/>
      <c r="AB62" s="28"/>
      <c r="AC62" s="27"/>
      <c r="AD62" s="27"/>
      <c r="AE62" s="33"/>
      <c r="AG62" s="25"/>
      <c r="AH62" s="34"/>
      <c r="AI62" s="27"/>
      <c r="AJ62" s="27"/>
      <c r="AK62" s="27"/>
      <c r="AL62" s="25"/>
      <c r="AM62" s="34"/>
      <c r="AN62" s="27"/>
      <c r="AO62" s="27"/>
      <c r="AP62" s="36"/>
      <c r="AQ62" s="37"/>
      <c r="AR62" s="32"/>
      <c r="AS62" s="25" t="s">
        <v>86</v>
      </c>
      <c r="AT62" s="27" t="s">
        <v>87</v>
      </c>
      <c r="AU62" s="27"/>
      <c r="AW62" s="25" t="s">
        <v>90</v>
      </c>
      <c r="AX62" s="27" t="s">
        <v>91</v>
      </c>
      <c r="AY62" s="89" t="s">
        <v>92</v>
      </c>
      <c r="AZ62" s="32"/>
      <c r="BA62" s="41"/>
    </row>
    <row r="63" spans="1:53" ht="16" thickBot="1" x14ac:dyDescent="0.25">
      <c r="A63" s="25">
        <v>54</v>
      </c>
      <c r="B63" s="26">
        <v>45398</v>
      </c>
      <c r="C63" s="27"/>
      <c r="D63" s="25"/>
      <c r="E63" s="28"/>
      <c r="F63" s="27"/>
      <c r="G63" s="28"/>
      <c r="H63" s="27"/>
      <c r="I63" s="28"/>
      <c r="J63" s="27">
        <v>6</v>
      </c>
      <c r="K63" s="29" t="s">
        <v>35</v>
      </c>
      <c r="L63" s="39"/>
      <c r="M63" s="31"/>
      <c r="N63" s="27"/>
      <c r="P63" s="32"/>
      <c r="Q63" s="25"/>
      <c r="R63" s="27"/>
      <c r="S63" s="27"/>
      <c r="T63" s="28"/>
      <c r="U63" s="27"/>
      <c r="V63" s="27"/>
      <c r="W63" s="28"/>
      <c r="X63" s="33"/>
      <c r="Y63" s="32"/>
      <c r="Z63" s="25"/>
      <c r="AA63" s="27"/>
      <c r="AB63" s="28"/>
      <c r="AC63" s="27"/>
      <c r="AD63" s="27"/>
      <c r="AE63" s="33"/>
      <c r="AG63" s="25"/>
      <c r="AH63" s="34"/>
      <c r="AI63" s="27"/>
      <c r="AJ63" s="27"/>
      <c r="AK63" s="27"/>
      <c r="AL63" s="25"/>
      <c r="AM63" s="34"/>
      <c r="AN63" s="27"/>
      <c r="AO63" s="27"/>
      <c r="AP63" s="36"/>
      <c r="AQ63" s="37"/>
      <c r="AR63" s="32"/>
      <c r="AS63" s="25" t="s">
        <v>86</v>
      </c>
      <c r="AT63" s="27" t="s">
        <v>87</v>
      </c>
      <c r="AU63" s="27"/>
      <c r="AW63" s="25" t="s">
        <v>90</v>
      </c>
      <c r="AX63" s="27" t="s">
        <v>91</v>
      </c>
      <c r="AY63" s="27"/>
      <c r="AZ63" s="32"/>
      <c r="BA63" s="41"/>
    </row>
    <row r="64" spans="1:53" ht="16" thickBot="1" x14ac:dyDescent="0.25">
      <c r="A64" s="25">
        <v>55</v>
      </c>
      <c r="B64" s="26">
        <v>45399</v>
      </c>
      <c r="C64" s="27"/>
      <c r="D64" s="25"/>
      <c r="E64" s="28"/>
      <c r="F64" s="27"/>
      <c r="G64" s="28"/>
      <c r="H64" s="27"/>
      <c r="I64" s="28"/>
      <c r="J64" s="27">
        <v>6</v>
      </c>
      <c r="K64" s="29" t="s">
        <v>35</v>
      </c>
      <c r="L64" s="39"/>
      <c r="M64" s="31"/>
      <c r="N64" s="27"/>
      <c r="P64" s="32"/>
      <c r="Q64" s="25"/>
      <c r="R64" s="27"/>
      <c r="S64" s="27"/>
      <c r="T64" s="28"/>
      <c r="U64" s="27"/>
      <c r="V64" s="27"/>
      <c r="W64" s="28"/>
      <c r="X64" s="33"/>
      <c r="Y64" s="32"/>
      <c r="Z64" s="25"/>
      <c r="AA64" s="27"/>
      <c r="AB64" s="28"/>
      <c r="AC64" s="27"/>
      <c r="AD64" s="27"/>
      <c r="AE64" s="33"/>
      <c r="AG64" s="25"/>
      <c r="AH64" s="34"/>
      <c r="AI64" s="27"/>
      <c r="AJ64" s="27"/>
      <c r="AK64" s="27"/>
      <c r="AL64" s="25"/>
      <c r="AM64" s="34"/>
      <c r="AN64" s="27"/>
      <c r="AO64" s="27"/>
      <c r="AP64" s="36"/>
      <c r="AQ64" s="82"/>
      <c r="AR64" s="32"/>
      <c r="AS64" s="25" t="s">
        <v>86</v>
      </c>
      <c r="AT64" s="27" t="s">
        <v>87</v>
      </c>
      <c r="AW64" s="25" t="s">
        <v>90</v>
      </c>
      <c r="AX64" s="27" t="s">
        <v>91</v>
      </c>
      <c r="AY64" s="27"/>
      <c r="AZ64" s="32"/>
      <c r="BA64" s="41"/>
    </row>
    <row r="65" spans="1:53" x14ac:dyDescent="0.2">
      <c r="A65" s="25">
        <v>56</v>
      </c>
      <c r="B65" s="26">
        <v>45400</v>
      </c>
      <c r="C65" s="27"/>
      <c r="D65" s="25"/>
      <c r="E65" s="28"/>
      <c r="F65" s="27"/>
      <c r="G65" s="28"/>
      <c r="H65" s="27"/>
      <c r="I65" s="28"/>
      <c r="J65" s="27">
        <v>6</v>
      </c>
      <c r="K65" s="29" t="s">
        <v>35</v>
      </c>
      <c r="L65" s="39"/>
      <c r="M65" s="31"/>
      <c r="N65" s="27"/>
      <c r="P65" s="32"/>
      <c r="Q65" s="25"/>
      <c r="R65" s="27"/>
      <c r="S65" s="27"/>
      <c r="T65" s="28"/>
      <c r="U65" s="27"/>
      <c r="V65" s="27"/>
      <c r="W65" s="28"/>
      <c r="X65" s="33"/>
      <c r="Y65" s="32"/>
      <c r="Z65" s="25"/>
      <c r="AA65" s="27"/>
      <c r="AB65" s="28"/>
      <c r="AC65" s="27"/>
      <c r="AD65" s="27"/>
      <c r="AE65" s="33"/>
      <c r="AG65" s="25"/>
      <c r="AH65" s="34"/>
      <c r="AI65" s="27"/>
      <c r="AJ65" s="27"/>
      <c r="AK65" s="27"/>
      <c r="AL65" s="25"/>
      <c r="AM65" s="34"/>
      <c r="AN65" s="27"/>
      <c r="AO65" s="27"/>
      <c r="AP65" s="36"/>
      <c r="AQ65" s="37"/>
      <c r="AR65" s="32"/>
      <c r="AS65" s="25" t="s">
        <v>86</v>
      </c>
      <c r="AT65" s="27" t="s">
        <v>87</v>
      </c>
      <c r="AU65" s="27"/>
      <c r="AW65" s="25" t="s">
        <v>90</v>
      </c>
      <c r="AX65" s="27" t="s">
        <v>91</v>
      </c>
      <c r="AY65" s="27"/>
      <c r="AZ65" s="32"/>
      <c r="BA65" s="41"/>
    </row>
    <row r="66" spans="1:53" ht="16" thickBot="1" x14ac:dyDescent="0.25">
      <c r="A66" s="25">
        <v>57</v>
      </c>
      <c r="B66" s="26">
        <v>45401</v>
      </c>
      <c r="C66" s="27"/>
      <c r="D66" s="25"/>
      <c r="E66" s="28"/>
      <c r="F66" s="27"/>
      <c r="G66" s="28"/>
      <c r="H66" s="27"/>
      <c r="I66" s="28"/>
      <c r="J66" s="27">
        <v>6</v>
      </c>
      <c r="K66" s="29" t="s">
        <v>35</v>
      </c>
      <c r="L66" s="39"/>
      <c r="M66" s="31"/>
      <c r="N66" s="27"/>
      <c r="P66" s="32"/>
      <c r="Q66" s="25"/>
      <c r="R66" s="27"/>
      <c r="S66" s="27"/>
      <c r="T66" s="28"/>
      <c r="U66" s="27"/>
      <c r="V66" s="27"/>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27"/>
      <c r="AW66" s="25" t="s">
        <v>90</v>
      </c>
      <c r="AX66" s="27" t="s">
        <v>91</v>
      </c>
      <c r="AY66" s="27"/>
      <c r="AZ66" s="32"/>
      <c r="BA66" s="41"/>
    </row>
    <row r="67" spans="1:53" ht="16" thickBot="1" x14ac:dyDescent="0.25">
      <c r="A67" s="25">
        <v>58</v>
      </c>
      <c r="B67" s="26">
        <v>45402</v>
      </c>
      <c r="C67" s="27"/>
      <c r="D67" s="25"/>
      <c r="E67" s="28"/>
      <c r="F67" s="27"/>
      <c r="G67" s="28"/>
      <c r="H67" s="27"/>
      <c r="I67" s="28"/>
      <c r="J67" s="27">
        <v>6</v>
      </c>
      <c r="K67" s="29" t="s">
        <v>35</v>
      </c>
      <c r="L67" s="39"/>
      <c r="M67" s="31"/>
      <c r="N67" s="27"/>
      <c r="P67" s="32"/>
      <c r="Q67" s="25"/>
      <c r="R67" s="27"/>
      <c r="S67" s="27"/>
      <c r="T67" s="28"/>
      <c r="U67" s="27"/>
      <c r="V67" s="27"/>
      <c r="W67" s="28"/>
      <c r="X67" s="33"/>
      <c r="Y67" s="32"/>
      <c r="Z67" s="25"/>
      <c r="AA67" s="27"/>
      <c r="AB67" s="28"/>
      <c r="AC67" s="27"/>
      <c r="AD67" s="27"/>
      <c r="AE67" s="33"/>
      <c r="AG67" s="25"/>
      <c r="AH67" s="34"/>
      <c r="AI67" s="27"/>
      <c r="AJ67" s="27"/>
      <c r="AK67" s="27"/>
      <c r="AL67" s="25"/>
      <c r="AM67" s="34"/>
      <c r="AN67" s="27"/>
      <c r="AO67" s="27"/>
      <c r="AP67" s="36"/>
      <c r="AQ67" s="37"/>
      <c r="AR67" s="32"/>
      <c r="AS67" s="25" t="s">
        <v>86</v>
      </c>
      <c r="AT67" s="27" t="s">
        <v>87</v>
      </c>
      <c r="AU67" s="27"/>
      <c r="AW67" s="25" t="s">
        <v>90</v>
      </c>
      <c r="AX67" s="27" t="s">
        <v>91</v>
      </c>
      <c r="AY67" s="89" t="s">
        <v>94</v>
      </c>
      <c r="AZ67" s="32"/>
      <c r="BA67" s="41"/>
    </row>
    <row r="68" spans="1:53" ht="16" thickBot="1" x14ac:dyDescent="0.25">
      <c r="A68" s="25">
        <v>59</v>
      </c>
      <c r="B68" s="26">
        <v>45403</v>
      </c>
      <c r="C68" s="27"/>
      <c r="D68" s="25"/>
      <c r="E68" s="28"/>
      <c r="F68" s="27"/>
      <c r="G68" s="28"/>
      <c r="H68" s="27"/>
      <c r="I68" s="28"/>
      <c r="J68" s="27">
        <v>6</v>
      </c>
      <c r="K68" s="29" t="s">
        <v>35</v>
      </c>
      <c r="L68" s="39"/>
      <c r="M68" s="31"/>
      <c r="N68" s="27"/>
      <c r="P68" s="32"/>
      <c r="Q68" s="25"/>
      <c r="R68" s="27"/>
      <c r="S68" s="27"/>
      <c r="T68" s="28"/>
      <c r="U68" s="27"/>
      <c r="V68" s="27"/>
      <c r="W68" s="28"/>
      <c r="X68" s="33"/>
      <c r="Y68" s="32"/>
      <c r="Z68" s="25"/>
      <c r="AA68" s="27"/>
      <c r="AB68" s="28"/>
      <c r="AC68" s="27"/>
      <c r="AD68" s="27"/>
      <c r="AE68" s="33"/>
      <c r="AG68" s="25"/>
      <c r="AH68" s="34"/>
      <c r="AI68" s="27"/>
      <c r="AJ68" s="27"/>
      <c r="AK68" s="27"/>
      <c r="AL68" s="25"/>
      <c r="AM68" s="34"/>
      <c r="AN68" s="27"/>
      <c r="AO68" s="27"/>
      <c r="AP68" s="36"/>
      <c r="AQ68" s="37"/>
      <c r="AR68" s="32"/>
      <c r="AS68" s="25" t="s">
        <v>86</v>
      </c>
      <c r="AT68" s="27" t="s">
        <v>87</v>
      </c>
      <c r="AU68" s="27"/>
      <c r="AW68" s="25" t="s">
        <v>90</v>
      </c>
      <c r="AX68" s="27" t="s">
        <v>95</v>
      </c>
      <c r="AY68" s="27"/>
      <c r="AZ68" s="32"/>
      <c r="BA68" s="41"/>
    </row>
    <row r="69" spans="1:53" ht="16" thickBot="1" x14ac:dyDescent="0.25">
      <c r="A69" s="25">
        <v>60</v>
      </c>
      <c r="B69" s="26">
        <v>45404</v>
      </c>
      <c r="C69" s="27"/>
      <c r="D69" s="25"/>
      <c r="E69" s="28"/>
      <c r="F69" s="27"/>
      <c r="G69" s="28"/>
      <c r="H69" s="27"/>
      <c r="I69" s="28"/>
      <c r="J69" s="27">
        <v>6</v>
      </c>
      <c r="K69" s="29" t="s">
        <v>35</v>
      </c>
      <c r="L69" s="39"/>
      <c r="M69" s="31"/>
      <c r="N69" s="27"/>
      <c r="P69" s="32"/>
      <c r="Q69" s="25"/>
      <c r="R69" s="27"/>
      <c r="S69" s="27"/>
      <c r="T69" s="28"/>
      <c r="U69" s="27"/>
      <c r="V69" s="27"/>
      <c r="W69" s="28"/>
      <c r="X69" s="33"/>
      <c r="Y69" s="32"/>
      <c r="Z69" s="25"/>
      <c r="AA69" s="27"/>
      <c r="AB69" s="28"/>
      <c r="AC69" s="27"/>
      <c r="AD69" s="27"/>
      <c r="AE69" s="33"/>
      <c r="AG69" s="25"/>
      <c r="AH69" s="34"/>
      <c r="AI69" s="27"/>
      <c r="AJ69" s="27"/>
      <c r="AK69" s="27"/>
      <c r="AL69" s="25"/>
      <c r="AM69" s="34"/>
      <c r="AN69" s="27"/>
      <c r="AO69" s="27"/>
      <c r="AP69" s="36"/>
      <c r="AQ69" s="37"/>
      <c r="AR69" s="32"/>
      <c r="AS69" s="25" t="s">
        <v>96</v>
      </c>
      <c r="AT69" s="27" t="s">
        <v>87</v>
      </c>
      <c r="AU69" s="58" t="s">
        <v>97</v>
      </c>
      <c r="AW69" s="25" t="s">
        <v>90</v>
      </c>
      <c r="AX69" s="27" t="s">
        <v>95</v>
      </c>
      <c r="AY69" s="27"/>
      <c r="AZ69" s="32"/>
      <c r="BA69" s="41"/>
    </row>
    <row r="70" spans="1:53" x14ac:dyDescent="0.2">
      <c r="A70" s="25">
        <v>61</v>
      </c>
      <c r="B70" s="26">
        <v>45405</v>
      </c>
      <c r="C70" s="27"/>
      <c r="D70" s="25"/>
      <c r="E70" s="28"/>
      <c r="F70" s="27"/>
      <c r="G70" s="28"/>
      <c r="H70" s="27"/>
      <c r="I70" s="28"/>
      <c r="J70" s="27">
        <v>6</v>
      </c>
      <c r="K70" s="29" t="s">
        <v>35</v>
      </c>
      <c r="L70" s="39"/>
      <c r="M70" s="31"/>
      <c r="N70" s="27"/>
      <c r="P70" s="32"/>
      <c r="Q70" s="25"/>
      <c r="R70" s="27"/>
      <c r="S70" s="27"/>
      <c r="T70" s="28"/>
      <c r="U70" s="27"/>
      <c r="V70" s="27"/>
      <c r="W70" s="28"/>
      <c r="X70" s="33"/>
      <c r="Y70" s="32"/>
      <c r="Z70" s="25"/>
      <c r="AA70" s="27"/>
      <c r="AB70" s="28"/>
      <c r="AC70" s="27"/>
      <c r="AD70" s="27"/>
      <c r="AE70" s="33"/>
      <c r="AG70" s="25"/>
      <c r="AH70" s="34"/>
      <c r="AI70" s="27"/>
      <c r="AJ70" s="27"/>
      <c r="AK70" s="27"/>
      <c r="AL70" s="25"/>
      <c r="AM70" s="34"/>
      <c r="AN70" s="27"/>
      <c r="AO70" s="27"/>
      <c r="AP70" s="36"/>
      <c r="AQ70" s="37"/>
      <c r="AR70" s="32"/>
      <c r="AS70" s="25" t="s">
        <v>96</v>
      </c>
      <c r="AT70" s="27" t="s">
        <v>87</v>
      </c>
      <c r="AU70" s="27"/>
      <c r="AW70" s="25" t="s">
        <v>90</v>
      </c>
      <c r="AX70" s="27" t="s">
        <v>95</v>
      </c>
      <c r="AY70" s="27"/>
      <c r="AZ70" s="32"/>
      <c r="BA70" s="41"/>
    </row>
    <row r="71" spans="1:53" x14ac:dyDescent="0.2">
      <c r="A71" s="25">
        <v>62</v>
      </c>
      <c r="B71" s="26">
        <v>45406</v>
      </c>
      <c r="C71" s="27"/>
      <c r="D71" s="25"/>
      <c r="E71" s="28"/>
      <c r="F71" s="27"/>
      <c r="G71" s="28"/>
      <c r="H71" s="27"/>
      <c r="I71" s="28"/>
      <c r="J71" s="27">
        <v>6</v>
      </c>
      <c r="K71" s="29" t="s">
        <v>35</v>
      </c>
      <c r="L71" s="39"/>
      <c r="M71" s="31"/>
      <c r="N71" s="27"/>
      <c r="P71" s="32"/>
      <c r="Q71" s="25"/>
      <c r="R71" s="27"/>
      <c r="S71" s="27"/>
      <c r="T71" s="28"/>
      <c r="U71" s="27"/>
      <c r="V71" s="27"/>
      <c r="W71" s="28"/>
      <c r="X71" s="33"/>
      <c r="Y71" s="32"/>
      <c r="Z71" s="25"/>
      <c r="AA71" s="27"/>
      <c r="AB71" s="28"/>
      <c r="AC71" s="27"/>
      <c r="AD71" s="27"/>
      <c r="AE71" s="33"/>
      <c r="AG71" s="25"/>
      <c r="AH71" s="34"/>
      <c r="AI71" s="27"/>
      <c r="AJ71" s="27"/>
      <c r="AK71" s="27"/>
      <c r="AL71" s="25"/>
      <c r="AM71" s="34"/>
      <c r="AN71" s="27"/>
      <c r="AO71" s="27"/>
      <c r="AP71" s="36"/>
      <c r="AQ71" s="37"/>
      <c r="AR71" s="32"/>
      <c r="AS71" s="25" t="s">
        <v>96</v>
      </c>
      <c r="AT71" s="27" t="s">
        <v>87</v>
      </c>
      <c r="AU71" s="27"/>
      <c r="AW71" s="25" t="s">
        <v>90</v>
      </c>
      <c r="AX71" s="27" t="s">
        <v>95</v>
      </c>
      <c r="AY71" s="27"/>
      <c r="AZ71" s="32"/>
      <c r="BA71" s="41"/>
    </row>
    <row r="72" spans="1:53" x14ac:dyDescent="0.2">
      <c r="A72" s="25">
        <v>63</v>
      </c>
      <c r="B72" s="26">
        <v>45407</v>
      </c>
      <c r="C72" s="27"/>
      <c r="D72" s="25"/>
      <c r="E72" s="28"/>
      <c r="F72" s="27"/>
      <c r="G72" s="28"/>
      <c r="H72" s="27"/>
      <c r="I72" s="28"/>
      <c r="J72" s="27">
        <v>6</v>
      </c>
      <c r="K72" s="29" t="s">
        <v>35</v>
      </c>
      <c r="L72" s="39"/>
      <c r="M72" s="31"/>
      <c r="N72" s="27"/>
      <c r="P72" s="32"/>
      <c r="Q72" s="25"/>
      <c r="R72" s="27"/>
      <c r="S72" s="27"/>
      <c r="T72" s="28"/>
      <c r="U72" s="27"/>
      <c r="V72" s="27"/>
      <c r="W72" s="28"/>
      <c r="X72" s="33"/>
      <c r="Y72" s="32"/>
      <c r="Z72" s="25"/>
      <c r="AA72" s="27"/>
      <c r="AB72" s="28"/>
      <c r="AC72" s="27"/>
      <c r="AD72" s="27"/>
      <c r="AE72" s="33"/>
      <c r="AG72" s="25"/>
      <c r="AH72" s="34"/>
      <c r="AI72" s="27"/>
      <c r="AJ72" s="27"/>
      <c r="AK72" s="27"/>
      <c r="AL72" s="25"/>
      <c r="AM72" s="34"/>
      <c r="AN72" s="27"/>
      <c r="AO72" s="27"/>
      <c r="AP72" s="36"/>
      <c r="AQ72" s="37"/>
      <c r="AR72" s="32"/>
      <c r="AS72" s="25" t="s">
        <v>96</v>
      </c>
      <c r="AT72" s="27" t="s">
        <v>87</v>
      </c>
      <c r="AU72" s="27"/>
      <c r="AW72" s="25" t="s">
        <v>90</v>
      </c>
      <c r="AX72" s="27" t="s">
        <v>95</v>
      </c>
      <c r="AY72" s="27"/>
      <c r="AZ72" s="32"/>
      <c r="BA72" s="41"/>
    </row>
    <row r="73" spans="1:53" x14ac:dyDescent="0.2">
      <c r="A73" s="25">
        <v>64</v>
      </c>
      <c r="B73" s="26">
        <v>45408</v>
      </c>
      <c r="C73" s="27"/>
      <c r="D73" s="25"/>
      <c r="E73" s="28"/>
      <c r="F73" s="27"/>
      <c r="G73" s="28"/>
      <c r="H73" s="27"/>
      <c r="I73" s="28"/>
      <c r="J73" s="27">
        <v>6</v>
      </c>
      <c r="K73" s="29" t="s">
        <v>35</v>
      </c>
      <c r="L73" s="39"/>
      <c r="M73" s="31"/>
      <c r="N73" s="27"/>
      <c r="P73" s="32"/>
      <c r="Q73" s="25"/>
      <c r="R73" s="27"/>
      <c r="S73" s="27"/>
      <c r="T73" s="28"/>
      <c r="U73" s="27"/>
      <c r="V73" s="27"/>
      <c r="W73" s="28"/>
      <c r="X73" s="33"/>
      <c r="Y73" s="32"/>
      <c r="Z73" s="25"/>
      <c r="AA73" s="27"/>
      <c r="AB73" s="28"/>
      <c r="AC73" s="27"/>
      <c r="AD73" s="27"/>
      <c r="AE73" s="33"/>
      <c r="AG73" s="25"/>
      <c r="AH73" s="34"/>
      <c r="AI73" s="27"/>
      <c r="AJ73" s="27"/>
      <c r="AK73" s="27"/>
      <c r="AL73" s="25"/>
      <c r="AM73" s="34"/>
      <c r="AN73" s="27"/>
      <c r="AO73" s="27"/>
      <c r="AP73" s="36"/>
      <c r="AQ73" s="37"/>
      <c r="AR73" s="32"/>
      <c r="AS73" s="25" t="s">
        <v>96</v>
      </c>
      <c r="AT73" s="27" t="s">
        <v>87</v>
      </c>
      <c r="AU73" s="27"/>
      <c r="AW73" s="25" t="s">
        <v>90</v>
      </c>
      <c r="AX73" s="27" t="s">
        <v>95</v>
      </c>
      <c r="AY73" s="27"/>
      <c r="AZ73" s="32"/>
      <c r="BA73" s="41"/>
    </row>
    <row r="74" spans="1:53" x14ac:dyDescent="0.2">
      <c r="A74" s="25">
        <v>65</v>
      </c>
      <c r="B74" s="26">
        <v>45409</v>
      </c>
      <c r="C74" s="27"/>
      <c r="D74" s="25"/>
      <c r="E74" s="28"/>
      <c r="F74" s="27"/>
      <c r="G74" s="28"/>
      <c r="H74" s="27"/>
      <c r="I74" s="28"/>
      <c r="J74" s="27">
        <v>6</v>
      </c>
      <c r="K74" s="29" t="s">
        <v>35</v>
      </c>
      <c r="L74" s="39"/>
      <c r="M74" s="31"/>
      <c r="N74" s="27"/>
      <c r="P74" s="32"/>
      <c r="Q74" s="25"/>
      <c r="R74" s="27"/>
      <c r="S74" s="27"/>
      <c r="T74" s="28"/>
      <c r="U74" s="27"/>
      <c r="V74" s="27"/>
      <c r="W74" s="28"/>
      <c r="X74" s="33"/>
      <c r="Y74" s="32"/>
      <c r="Z74" s="25"/>
      <c r="AA74" s="27"/>
      <c r="AB74" s="28"/>
      <c r="AC74" s="27"/>
      <c r="AD74" s="27"/>
      <c r="AE74" s="33"/>
      <c r="AG74" s="25"/>
      <c r="AH74" s="34"/>
      <c r="AI74" s="27"/>
      <c r="AJ74" s="27"/>
      <c r="AK74" s="27"/>
      <c r="AL74" s="25"/>
      <c r="AM74" s="34"/>
      <c r="AN74" s="27"/>
      <c r="AO74" s="27"/>
      <c r="AP74" s="36"/>
      <c r="AQ74" s="37"/>
      <c r="AR74" s="32"/>
      <c r="AS74" s="25" t="s">
        <v>96</v>
      </c>
      <c r="AT74" s="27" t="s">
        <v>87</v>
      </c>
      <c r="AU74" s="27"/>
      <c r="AW74" s="25" t="s">
        <v>90</v>
      </c>
      <c r="AX74" s="27" t="s">
        <v>95</v>
      </c>
      <c r="AY74" s="27"/>
      <c r="AZ74" s="32"/>
      <c r="BA74" s="41"/>
    </row>
    <row r="75" spans="1:53" x14ac:dyDescent="0.2">
      <c r="A75" s="25">
        <v>66</v>
      </c>
      <c r="B75" s="26">
        <v>45410</v>
      </c>
      <c r="C75" s="27"/>
      <c r="D75" s="25"/>
      <c r="E75" s="28"/>
      <c r="F75" s="27"/>
      <c r="G75" s="28"/>
      <c r="H75" s="27"/>
      <c r="I75" s="28"/>
      <c r="J75" s="27">
        <v>6</v>
      </c>
      <c r="K75" s="29" t="s">
        <v>35</v>
      </c>
      <c r="L75" s="39"/>
      <c r="M75" s="31"/>
      <c r="N75" s="27"/>
      <c r="P75" s="32"/>
      <c r="Q75" s="25"/>
      <c r="R75" s="27"/>
      <c r="S75" s="27"/>
      <c r="T75" s="28"/>
      <c r="U75" s="27"/>
      <c r="V75" s="27"/>
      <c r="W75" s="28"/>
      <c r="X75" s="33"/>
      <c r="Y75" s="32"/>
      <c r="Z75" s="25"/>
      <c r="AA75" s="27"/>
      <c r="AB75" s="28"/>
      <c r="AC75" s="27"/>
      <c r="AD75" s="27"/>
      <c r="AE75" s="33"/>
      <c r="AG75" s="25"/>
      <c r="AH75" s="34"/>
      <c r="AI75" s="27"/>
      <c r="AJ75" s="27"/>
      <c r="AK75" s="27"/>
      <c r="AL75" s="25"/>
      <c r="AM75" s="34"/>
      <c r="AN75" s="27"/>
      <c r="AO75" s="27"/>
      <c r="AP75" s="36"/>
      <c r="AQ75" s="37"/>
      <c r="AR75" s="32"/>
      <c r="AS75" s="25" t="s">
        <v>96</v>
      </c>
      <c r="AT75" s="27" t="s">
        <v>87</v>
      </c>
      <c r="AU75" s="27"/>
      <c r="AW75" s="25" t="s">
        <v>90</v>
      </c>
      <c r="AX75" s="27" t="s">
        <v>95</v>
      </c>
      <c r="AY75" s="27"/>
      <c r="AZ75" s="32"/>
      <c r="BA75" s="41"/>
    </row>
    <row r="76" spans="1:53" x14ac:dyDescent="0.2">
      <c r="A76" s="25">
        <v>67</v>
      </c>
      <c r="B76" s="26">
        <v>45411</v>
      </c>
      <c r="C76" s="27"/>
      <c r="D76" s="25"/>
      <c r="E76" s="28"/>
      <c r="F76" s="27"/>
      <c r="G76" s="28"/>
      <c r="H76" s="27"/>
      <c r="I76" s="28"/>
      <c r="J76" s="27">
        <v>6</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27"/>
      <c r="AW76" s="25" t="s">
        <v>90</v>
      </c>
      <c r="AX76" s="27" t="s">
        <v>95</v>
      </c>
      <c r="AY76" s="27"/>
      <c r="AZ76" s="32"/>
      <c r="BA76" s="41"/>
    </row>
    <row r="77" spans="1:53" x14ac:dyDescent="0.2">
      <c r="A77" s="25">
        <v>68</v>
      </c>
      <c r="B77" s="26">
        <v>45412</v>
      </c>
      <c r="C77" s="27"/>
      <c r="D77" s="25"/>
      <c r="E77" s="28"/>
      <c r="F77" s="27"/>
      <c r="G77" s="28"/>
      <c r="H77" s="27"/>
      <c r="I77" s="28"/>
      <c r="J77" s="27">
        <v>6</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ht="16" thickBot="1" x14ac:dyDescent="0.25">
      <c r="A78" s="25">
        <v>69</v>
      </c>
      <c r="B78" s="26">
        <v>45413</v>
      </c>
      <c r="C78" s="27"/>
      <c r="D78" s="25"/>
      <c r="E78" s="28"/>
      <c r="F78" s="27"/>
      <c r="G78" s="28"/>
      <c r="H78" s="27"/>
      <c r="I78" s="28"/>
      <c r="J78" s="27">
        <v>6</v>
      </c>
      <c r="K78" s="29" t="s">
        <v>35</v>
      </c>
      <c r="L78" s="39"/>
      <c r="M78" s="31"/>
      <c r="N78" s="27"/>
      <c r="P78" s="32"/>
      <c r="Q78" s="25"/>
      <c r="R78" s="27"/>
      <c r="S78" s="27"/>
      <c r="T78" s="28"/>
      <c r="U78" s="27"/>
      <c r="V78" s="27"/>
      <c r="W78" s="28"/>
      <c r="X78" s="33"/>
      <c r="Y78" s="32"/>
      <c r="Z78" s="25"/>
      <c r="AA78" s="27"/>
      <c r="AB78" s="28"/>
      <c r="AC78" s="27"/>
      <c r="AD78" s="27"/>
      <c r="AE78" s="33"/>
      <c r="AG78" s="25"/>
      <c r="AH78" s="34"/>
      <c r="AI78" s="27"/>
      <c r="AJ78" s="27"/>
      <c r="AK78" s="27"/>
      <c r="AL78" s="25"/>
      <c r="AM78" s="34"/>
      <c r="AN78" s="27"/>
      <c r="AO78" s="27"/>
      <c r="AP78" s="36"/>
      <c r="AQ78" s="37"/>
      <c r="AR78" s="32"/>
      <c r="AS78" s="25" t="s">
        <v>96</v>
      </c>
      <c r="AT78" s="27" t="s">
        <v>87</v>
      </c>
      <c r="AU78" s="27"/>
      <c r="AW78" s="25" t="s">
        <v>90</v>
      </c>
      <c r="AX78" s="27" t="s">
        <v>95</v>
      </c>
      <c r="AY78" s="27"/>
      <c r="AZ78" s="32"/>
      <c r="BA78" s="41"/>
    </row>
    <row r="79" spans="1:53" ht="16" thickBot="1" x14ac:dyDescent="0.25">
      <c r="A79" s="25">
        <v>70</v>
      </c>
      <c r="B79" s="26">
        <v>45414</v>
      </c>
      <c r="C79" s="27"/>
      <c r="D79" s="25"/>
      <c r="E79" s="28"/>
      <c r="F79" s="27"/>
      <c r="G79" s="28"/>
      <c r="H79" s="27"/>
      <c r="I79" s="28"/>
      <c r="J79" s="27">
        <v>6</v>
      </c>
      <c r="K79" s="29" t="s">
        <v>35</v>
      </c>
      <c r="L79" s="39"/>
      <c r="M79" s="31"/>
      <c r="N79" s="27"/>
      <c r="P79" s="32"/>
      <c r="Q79" s="25"/>
      <c r="R79" s="27"/>
      <c r="S79" s="27"/>
      <c r="T79" s="28"/>
      <c r="U79" s="27"/>
      <c r="V79" s="27"/>
      <c r="W79" s="28"/>
      <c r="X79" s="33"/>
      <c r="Y79" s="32"/>
      <c r="Z79" s="25"/>
      <c r="AA79" s="27"/>
      <c r="AB79" s="28"/>
      <c r="AC79" s="27"/>
      <c r="AD79" s="27"/>
      <c r="AE79" s="33"/>
      <c r="AG79" s="25"/>
      <c r="AH79" s="34"/>
      <c r="AI79" s="27"/>
      <c r="AJ79" s="27"/>
      <c r="AK79" s="27"/>
      <c r="AL79" s="25"/>
      <c r="AM79" s="34"/>
      <c r="AN79" s="27"/>
      <c r="AO79" s="27"/>
      <c r="AP79" s="36"/>
      <c r="AQ79" s="82" t="s">
        <v>93</v>
      </c>
      <c r="AR79" s="32"/>
      <c r="AS79" s="25" t="s">
        <v>96</v>
      </c>
      <c r="AT79" s="27" t="s">
        <v>87</v>
      </c>
      <c r="AU79" s="27"/>
      <c r="AW79" s="25" t="s">
        <v>90</v>
      </c>
      <c r="AX79" s="27" t="s">
        <v>95</v>
      </c>
      <c r="AY79" s="27"/>
      <c r="AZ79" s="32"/>
      <c r="BA79" s="41"/>
    </row>
    <row r="80" spans="1:53" x14ac:dyDescent="0.2">
      <c r="A80" s="25">
        <v>71</v>
      </c>
      <c r="B80" s="26">
        <v>45415</v>
      </c>
      <c r="C80" s="27"/>
      <c r="D80" s="25"/>
      <c r="E80" s="28"/>
      <c r="F80" s="27"/>
      <c r="G80" s="28"/>
      <c r="H80" s="27"/>
      <c r="I80" s="28"/>
      <c r="J80" s="27">
        <v>6</v>
      </c>
      <c r="K80" s="29" t="s">
        <v>35</v>
      </c>
      <c r="L80" s="39"/>
      <c r="M80" s="31"/>
      <c r="N80" s="27"/>
      <c r="P80" s="32"/>
      <c r="Q80" s="25"/>
      <c r="R80" s="27"/>
      <c r="S80" s="27"/>
      <c r="T80" s="28"/>
      <c r="U80" s="27"/>
      <c r="V80" s="27"/>
      <c r="W80" s="28"/>
      <c r="X80" s="33"/>
      <c r="Y80" s="32"/>
      <c r="Z80" s="25"/>
      <c r="AA80" s="27"/>
      <c r="AB80" s="28"/>
      <c r="AC80" s="27"/>
      <c r="AD80" s="27"/>
      <c r="AE80" s="33"/>
      <c r="AF80" s="32"/>
      <c r="AG80" s="90"/>
      <c r="AH80" s="91"/>
      <c r="AI80" s="27"/>
      <c r="AJ80" s="27"/>
      <c r="AK80" s="28"/>
      <c r="AL80" s="27"/>
      <c r="AM80" s="27"/>
      <c r="AN80" s="27"/>
      <c r="AO80" s="27"/>
      <c r="AP80" s="36"/>
      <c r="AQ80" s="37"/>
      <c r="AS80" s="25" t="s">
        <v>96</v>
      </c>
      <c r="AT80" s="27" t="s">
        <v>87</v>
      </c>
      <c r="AU80" s="27"/>
      <c r="AW80" s="25" t="s">
        <v>90</v>
      </c>
      <c r="AX80" s="27" t="s">
        <v>95</v>
      </c>
      <c r="AY80" s="27"/>
      <c r="AZ80" s="32"/>
      <c r="BA80" s="41"/>
    </row>
    <row r="81" spans="1:53" x14ac:dyDescent="0.2">
      <c r="A81" s="25">
        <v>72</v>
      </c>
      <c r="B81" s="26">
        <v>45416</v>
      </c>
      <c r="C81" s="27"/>
      <c r="D81" s="25"/>
      <c r="E81" s="28"/>
      <c r="F81" s="27"/>
      <c r="G81" s="28"/>
      <c r="H81" s="27"/>
      <c r="I81" s="28"/>
      <c r="J81" s="27"/>
      <c r="K81" s="29" t="s">
        <v>35</v>
      </c>
      <c r="L81" s="39"/>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c r="AO81" s="27"/>
      <c r="AP81" s="36"/>
      <c r="AQ81" s="37"/>
      <c r="AS81" s="25" t="s">
        <v>96</v>
      </c>
      <c r="AT81" s="27" t="s">
        <v>87</v>
      </c>
      <c r="AU81" s="27"/>
      <c r="AW81" s="25" t="s">
        <v>90</v>
      </c>
      <c r="AX81" s="27" t="s">
        <v>95</v>
      </c>
      <c r="AY81" s="27"/>
      <c r="AZ81" s="32"/>
      <c r="BA81" s="41"/>
    </row>
    <row r="82" spans="1:53" x14ac:dyDescent="0.2">
      <c r="A82" s="25">
        <v>73</v>
      </c>
      <c r="B82" s="26">
        <v>45417</v>
      </c>
      <c r="C82" s="27"/>
      <c r="D82" s="25"/>
      <c r="E82" s="28"/>
      <c r="F82" s="27"/>
      <c r="G82" s="28"/>
      <c r="H82" s="27"/>
      <c r="I82" s="28"/>
      <c r="J82" s="27"/>
      <c r="K82" s="29" t="s">
        <v>35</v>
      </c>
      <c r="L82" s="173"/>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c r="AO82" s="27"/>
      <c r="AP82" s="36"/>
      <c r="AQ82" s="37"/>
      <c r="AS82" s="25" t="s">
        <v>96</v>
      </c>
      <c r="AT82" s="27" t="s">
        <v>87</v>
      </c>
      <c r="AU82" s="27"/>
      <c r="AW82" s="25" t="s">
        <v>90</v>
      </c>
      <c r="AX82" s="27" t="s">
        <v>95</v>
      </c>
      <c r="AY82" s="27"/>
      <c r="AZ82" s="32"/>
      <c r="BA82" s="41"/>
    </row>
    <row r="83" spans="1:53" x14ac:dyDescent="0.2">
      <c r="A83" s="25">
        <v>74</v>
      </c>
      <c r="B83" s="26">
        <v>45418</v>
      </c>
      <c r="C83" s="27"/>
      <c r="D83" s="25"/>
      <c r="E83" s="28"/>
      <c r="F83" s="27"/>
      <c r="G83" s="28"/>
      <c r="H83" s="27"/>
      <c r="I83" s="28"/>
      <c r="J83" s="27"/>
      <c r="K83" s="29" t="s">
        <v>35</v>
      </c>
      <c r="L83" s="173"/>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c r="AO83" s="27"/>
      <c r="AP83" s="36"/>
      <c r="AQ83" s="37"/>
      <c r="AS83" s="25" t="s">
        <v>96</v>
      </c>
      <c r="AT83" s="27" t="s">
        <v>87</v>
      </c>
      <c r="AU83" s="27"/>
      <c r="AW83" s="25" t="s">
        <v>90</v>
      </c>
      <c r="AX83" s="27" t="s">
        <v>95</v>
      </c>
      <c r="AY83" s="27"/>
      <c r="AZ83" s="32"/>
      <c r="BA83" s="41"/>
    </row>
    <row r="84" spans="1:53" x14ac:dyDescent="0.2">
      <c r="A84" s="25">
        <v>75</v>
      </c>
      <c r="B84" s="26">
        <v>45419</v>
      </c>
      <c r="C84" s="27"/>
      <c r="D84" s="25"/>
      <c r="E84" s="28"/>
      <c r="F84" s="27"/>
      <c r="G84" s="28"/>
      <c r="H84" s="27"/>
      <c r="I84" s="28"/>
      <c r="J84" s="27"/>
      <c r="K84" s="29" t="s">
        <v>35</v>
      </c>
      <c r="L84" s="173"/>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c r="AO84" s="27"/>
      <c r="AP84" s="36"/>
      <c r="AQ84" s="37"/>
      <c r="AR84" s="32"/>
      <c r="AS84" s="25" t="s">
        <v>96</v>
      </c>
      <c r="AT84" s="27" t="s">
        <v>87</v>
      </c>
      <c r="AU84" s="27"/>
      <c r="AW84" s="25" t="s">
        <v>90</v>
      </c>
      <c r="AX84" s="27" t="s">
        <v>95</v>
      </c>
      <c r="AY84" s="27"/>
      <c r="AZ84" s="32"/>
      <c r="BA84" s="41"/>
    </row>
    <row r="85" spans="1:53" x14ac:dyDescent="0.2">
      <c r="A85" s="25">
        <v>76</v>
      </c>
      <c r="B85" s="26">
        <v>45420</v>
      </c>
      <c r="C85" s="27"/>
      <c r="D85" s="25"/>
      <c r="E85" s="28"/>
      <c r="F85" s="27"/>
      <c r="G85" s="28"/>
      <c r="H85" s="27"/>
      <c r="I85" s="28"/>
      <c r="J85" s="27"/>
      <c r="K85" s="29" t="s">
        <v>35</v>
      </c>
      <c r="L85" s="173"/>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c r="AO85" s="27"/>
      <c r="AP85" s="36"/>
      <c r="AQ85" s="37"/>
      <c r="AR85" s="32"/>
      <c r="AS85" s="25" t="s">
        <v>96</v>
      </c>
      <c r="AT85" s="27" t="s">
        <v>87</v>
      </c>
      <c r="AU85" s="27"/>
      <c r="AW85" s="25" t="s">
        <v>90</v>
      </c>
      <c r="AX85" s="27" t="s">
        <v>95</v>
      </c>
      <c r="AY85" s="27"/>
      <c r="AZ85" s="32"/>
      <c r="BA85" s="41"/>
    </row>
    <row r="86" spans="1:53" x14ac:dyDescent="0.2">
      <c r="A86" s="25">
        <v>77</v>
      </c>
      <c r="B86" s="26">
        <v>45421</v>
      </c>
      <c r="C86" s="27"/>
      <c r="D86" s="25"/>
      <c r="E86" s="28"/>
      <c r="F86" s="27"/>
      <c r="G86" s="28"/>
      <c r="H86" s="27"/>
      <c r="I86" s="28"/>
      <c r="J86" s="27"/>
      <c r="K86" s="29" t="s">
        <v>35</v>
      </c>
      <c r="L86" s="173"/>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c r="AO86" s="27"/>
      <c r="AP86" s="36"/>
      <c r="AQ86" s="37"/>
      <c r="AR86" s="32"/>
      <c r="AS86" s="25" t="s">
        <v>96</v>
      </c>
      <c r="AT86" s="27" t="s">
        <v>87</v>
      </c>
      <c r="AU86" s="27"/>
      <c r="AW86" s="25" t="s">
        <v>90</v>
      </c>
      <c r="AX86" s="27" t="s">
        <v>95</v>
      </c>
      <c r="AY86" s="27"/>
      <c r="AZ86" s="32"/>
      <c r="BA86" s="41"/>
    </row>
    <row r="87" spans="1:53" x14ac:dyDescent="0.2">
      <c r="A87" s="25">
        <v>78</v>
      </c>
      <c r="B87" s="26">
        <v>45422</v>
      </c>
      <c r="C87" s="27"/>
      <c r="D87" s="25"/>
      <c r="E87" s="28"/>
      <c r="F87" s="27"/>
      <c r="G87" s="28"/>
      <c r="H87" s="27"/>
      <c r="I87" s="28"/>
      <c r="J87" s="27"/>
      <c r="K87" s="29" t="s">
        <v>35</v>
      </c>
      <c r="L87" s="173"/>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R87" s="32"/>
      <c r="AS87" s="25" t="s">
        <v>96</v>
      </c>
      <c r="AT87" s="27" t="s">
        <v>87</v>
      </c>
      <c r="AU87" s="27"/>
      <c r="AW87" s="25" t="s">
        <v>90</v>
      </c>
      <c r="AX87" s="27" t="s">
        <v>95</v>
      </c>
      <c r="AY87" s="27"/>
      <c r="AZ87" s="32"/>
      <c r="BA87" s="41"/>
    </row>
    <row r="88" spans="1:53" x14ac:dyDescent="0.2">
      <c r="A88" s="25">
        <v>79</v>
      </c>
      <c r="B88" s="26">
        <v>45423</v>
      </c>
      <c r="C88" s="27"/>
      <c r="D88" s="25"/>
      <c r="E88" s="28"/>
      <c r="F88" s="27"/>
      <c r="G88" s="28"/>
      <c r="H88" s="27"/>
      <c r="I88" s="28"/>
      <c r="J88" s="27"/>
      <c r="K88" s="29" t="s">
        <v>35</v>
      </c>
      <c r="L88" s="173"/>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R88" s="32"/>
      <c r="AS88" s="25" t="s">
        <v>96</v>
      </c>
      <c r="AT88" s="27" t="s">
        <v>87</v>
      </c>
      <c r="AU88" s="27"/>
      <c r="AW88" s="25" t="s">
        <v>90</v>
      </c>
      <c r="AX88" s="27" t="s">
        <v>95</v>
      </c>
      <c r="AY88" s="27"/>
      <c r="AZ88" s="32"/>
      <c r="BA88" s="41"/>
    </row>
    <row r="89" spans="1:53" x14ac:dyDescent="0.2">
      <c r="A89" s="25">
        <v>80</v>
      </c>
      <c r="B89" s="26">
        <v>45424</v>
      </c>
      <c r="C89" s="27"/>
      <c r="D89" s="25"/>
      <c r="E89" s="28"/>
      <c r="F89" s="27"/>
      <c r="G89" s="28"/>
      <c r="H89" s="27"/>
      <c r="I89" s="28"/>
      <c r="J89" s="27"/>
      <c r="K89" s="29" t="s">
        <v>35</v>
      </c>
      <c r="L89" s="173"/>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R89" s="32"/>
      <c r="AS89" s="25" t="s">
        <v>96</v>
      </c>
      <c r="AT89" s="27" t="s">
        <v>87</v>
      </c>
      <c r="AU89" s="27"/>
      <c r="AW89" s="25" t="s">
        <v>90</v>
      </c>
      <c r="AX89" s="27" t="s">
        <v>95</v>
      </c>
      <c r="AY89" s="27"/>
      <c r="AZ89" s="32"/>
      <c r="BA89" s="41"/>
    </row>
    <row r="90" spans="1:53" x14ac:dyDescent="0.2">
      <c r="A90" s="25">
        <v>81</v>
      </c>
      <c r="B90" s="26">
        <v>45425</v>
      </c>
      <c r="C90" s="27"/>
      <c r="D90" s="25"/>
      <c r="E90" s="28"/>
      <c r="F90" s="27"/>
      <c r="G90" s="28"/>
      <c r="H90" s="27"/>
      <c r="I90" s="28"/>
      <c r="J90" s="27"/>
      <c r="K90" s="29" t="s">
        <v>35</v>
      </c>
      <c r="L90" s="173"/>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R90" s="32"/>
      <c r="AS90" s="25" t="s">
        <v>96</v>
      </c>
      <c r="AT90" s="27" t="s">
        <v>87</v>
      </c>
      <c r="AU90" s="27" t="s">
        <v>187</v>
      </c>
      <c r="AW90" s="25" t="s">
        <v>90</v>
      </c>
      <c r="AX90" s="27" t="s">
        <v>95</v>
      </c>
      <c r="AY90" s="27"/>
      <c r="AZ90" s="32"/>
      <c r="BA90" s="41"/>
    </row>
    <row r="91" spans="1:53" x14ac:dyDescent="0.2">
      <c r="A91" s="25">
        <v>82</v>
      </c>
      <c r="B91" s="26">
        <v>45426</v>
      </c>
      <c r="C91" s="27"/>
      <c r="D91" s="25"/>
      <c r="E91" s="28"/>
      <c r="F91" s="27"/>
      <c r="G91" s="28"/>
      <c r="H91" s="27"/>
      <c r="I91" s="28"/>
      <c r="J91" s="27"/>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t="s">
        <v>96</v>
      </c>
      <c r="AT91" s="27" t="s">
        <v>87</v>
      </c>
      <c r="AU91" s="27"/>
      <c r="AW91" s="25" t="s">
        <v>90</v>
      </c>
      <c r="AX91" s="27" t="s">
        <v>95</v>
      </c>
      <c r="AY91" s="27"/>
      <c r="AZ91" s="32"/>
      <c r="BA91" s="41"/>
    </row>
    <row r="92" spans="1:53" x14ac:dyDescent="0.2">
      <c r="A92" s="25">
        <v>83</v>
      </c>
      <c r="B92" s="26">
        <v>45427</v>
      </c>
      <c r="C92" s="27"/>
      <c r="D92" s="25"/>
      <c r="E92" s="28"/>
      <c r="F92" s="27"/>
      <c r="G92" s="28"/>
      <c r="H92" s="27"/>
      <c r="I92" s="28"/>
      <c r="J92" s="27"/>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t="s">
        <v>96</v>
      </c>
      <c r="AT92" s="27" t="s">
        <v>87</v>
      </c>
      <c r="AU92" s="27"/>
      <c r="AW92" s="25" t="s">
        <v>90</v>
      </c>
      <c r="AX92" s="27" t="s">
        <v>95</v>
      </c>
      <c r="AY92" s="27"/>
      <c r="AZ92" s="32"/>
      <c r="BA92" s="41"/>
    </row>
    <row r="93" spans="1:53" x14ac:dyDescent="0.2">
      <c r="A93" s="25">
        <v>84</v>
      </c>
      <c r="B93" s="26">
        <v>45428</v>
      </c>
      <c r="C93" s="27"/>
      <c r="D93" s="25"/>
      <c r="E93" s="28"/>
      <c r="F93" s="27"/>
      <c r="G93" s="28"/>
      <c r="H93" s="27"/>
      <c r="I93" s="28"/>
      <c r="J93" s="27"/>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t="s">
        <v>96</v>
      </c>
      <c r="AT93" s="27" t="s">
        <v>87</v>
      </c>
      <c r="AU93" s="27"/>
      <c r="AW93" s="25" t="s">
        <v>90</v>
      </c>
      <c r="AX93" s="27" t="s">
        <v>95</v>
      </c>
      <c r="AY93" s="27"/>
      <c r="AZ93" s="32"/>
      <c r="BA93" s="41"/>
    </row>
    <row r="94" spans="1:53" x14ac:dyDescent="0.2">
      <c r="A94" s="25">
        <v>85</v>
      </c>
      <c r="B94" s="26">
        <v>45429</v>
      </c>
      <c r="C94" s="27"/>
      <c r="D94" s="25"/>
      <c r="E94" s="28"/>
      <c r="F94" s="27"/>
      <c r="G94" s="28"/>
      <c r="H94" s="27"/>
      <c r="I94" s="28"/>
      <c r="J94" s="27"/>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t="s">
        <v>96</v>
      </c>
      <c r="AT94" s="27" t="s">
        <v>87</v>
      </c>
      <c r="AU94" s="27"/>
      <c r="AW94" s="25" t="s">
        <v>90</v>
      </c>
      <c r="AX94" s="27" t="s">
        <v>95</v>
      </c>
      <c r="AY94" s="27"/>
      <c r="AZ94" s="32"/>
      <c r="BA94" s="41"/>
    </row>
    <row r="95" spans="1:53" x14ac:dyDescent="0.2">
      <c r="A95" s="25">
        <v>86</v>
      </c>
      <c r="B95" s="26">
        <v>45430</v>
      </c>
      <c r="C95" s="27"/>
      <c r="D95" s="25"/>
      <c r="E95" s="28"/>
      <c r="F95" s="27"/>
      <c r="G95" s="28"/>
      <c r="H95" s="27"/>
      <c r="I95" s="28"/>
      <c r="J95" s="27"/>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t="s">
        <v>96</v>
      </c>
      <c r="AT95" s="27" t="s">
        <v>87</v>
      </c>
      <c r="AU95" s="27"/>
      <c r="AW95" s="25" t="s">
        <v>90</v>
      </c>
      <c r="AX95" s="27" t="s">
        <v>95</v>
      </c>
      <c r="AY95" s="27"/>
      <c r="AZ95" s="32"/>
      <c r="BA95" s="41"/>
    </row>
    <row r="96" spans="1:53" x14ac:dyDescent="0.2">
      <c r="A96" s="25">
        <v>87</v>
      </c>
      <c r="B96" s="26">
        <v>45431</v>
      </c>
      <c r="C96" s="27"/>
      <c r="D96" s="25"/>
      <c r="E96" s="28"/>
      <c r="F96" s="27"/>
      <c r="G96" s="28"/>
      <c r="H96" s="27"/>
      <c r="I96" s="28"/>
      <c r="J96" s="27"/>
      <c r="K96" s="29" t="s">
        <v>35</v>
      </c>
      <c r="L96" s="39"/>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t="s">
        <v>96</v>
      </c>
      <c r="AT96" s="27" t="s">
        <v>87</v>
      </c>
      <c r="AU96" s="27"/>
      <c r="AW96" s="25" t="s">
        <v>90</v>
      </c>
      <c r="AX96" s="27" t="s">
        <v>95</v>
      </c>
      <c r="AY96" s="27"/>
      <c r="AZ96" s="32"/>
      <c r="BA96" s="41"/>
    </row>
    <row r="97" spans="1:53" x14ac:dyDescent="0.2">
      <c r="A97" s="25">
        <v>88</v>
      </c>
      <c r="B97" s="26">
        <v>45432</v>
      </c>
      <c r="C97" s="27"/>
      <c r="D97" s="25"/>
      <c r="E97" s="28"/>
      <c r="F97" s="27"/>
      <c r="G97" s="28"/>
      <c r="H97" s="27"/>
      <c r="I97" s="28"/>
      <c r="J97" s="27"/>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t="s">
        <v>96</v>
      </c>
      <c r="AT97" s="27" t="s">
        <v>87</v>
      </c>
      <c r="AU97" s="27"/>
      <c r="AW97" s="25" t="s">
        <v>90</v>
      </c>
      <c r="AX97" s="27" t="s">
        <v>95</v>
      </c>
      <c r="AY97" s="27"/>
      <c r="AZ97" s="32"/>
      <c r="BA97" s="41"/>
    </row>
    <row r="98" spans="1:53" x14ac:dyDescent="0.2">
      <c r="A98" s="25">
        <v>89</v>
      </c>
      <c r="B98" s="26">
        <v>45433</v>
      </c>
      <c r="C98" s="27"/>
      <c r="D98" s="25"/>
      <c r="E98" s="28"/>
      <c r="F98" s="27"/>
      <c r="G98" s="28"/>
      <c r="H98" s="27"/>
      <c r="I98" s="28"/>
      <c r="J98" s="27"/>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c r="AO98" s="27"/>
      <c r="AP98" s="36"/>
      <c r="AQ98" s="37"/>
      <c r="AR98" s="32"/>
      <c r="AS98" s="25" t="s">
        <v>96</v>
      </c>
      <c r="AT98" s="27" t="s">
        <v>87</v>
      </c>
      <c r="AU98" s="27"/>
      <c r="AW98" s="25" t="s">
        <v>90</v>
      </c>
      <c r="AX98" s="27" t="s">
        <v>95</v>
      </c>
      <c r="AY98" s="27"/>
      <c r="AZ98" s="32"/>
      <c r="BA98" s="41"/>
    </row>
    <row r="99" spans="1:53" x14ac:dyDescent="0.2">
      <c r="A99" s="25">
        <v>90</v>
      </c>
      <c r="B99" s="26">
        <v>45434</v>
      </c>
      <c r="C99" s="27"/>
      <c r="D99" s="25"/>
      <c r="E99" s="28"/>
      <c r="F99" s="27"/>
      <c r="G99" s="28"/>
      <c r="H99" s="27"/>
      <c r="I99" s="28"/>
      <c r="J99" s="27"/>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c r="AO99" s="27"/>
      <c r="AP99" s="36"/>
      <c r="AQ99" s="37"/>
      <c r="AR99" s="32"/>
      <c r="AS99" s="25" t="s">
        <v>96</v>
      </c>
      <c r="AT99" s="27" t="s">
        <v>87</v>
      </c>
      <c r="AU99" s="27"/>
      <c r="AW99" s="25" t="s">
        <v>90</v>
      </c>
      <c r="AX99" s="27" t="s">
        <v>95</v>
      </c>
      <c r="AY99" s="27"/>
      <c r="AZ99" s="32"/>
      <c r="BA99" s="41"/>
    </row>
    <row r="100" spans="1:53" x14ac:dyDescent="0.2">
      <c r="A100" s="25">
        <v>91</v>
      </c>
      <c r="B100" s="26">
        <v>45435</v>
      </c>
      <c r="C100" s="27"/>
      <c r="AS100" s="25" t="s">
        <v>96</v>
      </c>
      <c r="AT100" s="27" t="s">
        <v>87</v>
      </c>
      <c r="AU100" s="27"/>
      <c r="AW100" s="25" t="s">
        <v>90</v>
      </c>
      <c r="AX100" s="27" t="s">
        <v>95</v>
      </c>
    </row>
    <row r="101" spans="1:53" x14ac:dyDescent="0.2">
      <c r="A101" s="25">
        <v>92</v>
      </c>
      <c r="B101" s="26">
        <v>45436</v>
      </c>
      <c r="C101" s="27"/>
      <c r="AS101" s="25" t="s">
        <v>96</v>
      </c>
      <c r="AT101" s="27" t="s">
        <v>87</v>
      </c>
      <c r="AU101" s="27"/>
      <c r="AW101" s="25" t="s">
        <v>90</v>
      </c>
      <c r="AX101" s="27" t="s">
        <v>95</v>
      </c>
    </row>
    <row r="102" spans="1:53" x14ac:dyDescent="0.2">
      <c r="A102" s="25">
        <v>93</v>
      </c>
      <c r="B102" s="26">
        <v>45437</v>
      </c>
      <c r="C102" s="27"/>
      <c r="AS102" s="25" t="s">
        <v>96</v>
      </c>
      <c r="AT102" s="27" t="s">
        <v>87</v>
      </c>
      <c r="AU102" s="27"/>
      <c r="AW102" s="25" t="s">
        <v>90</v>
      </c>
      <c r="AX102" s="27" t="s">
        <v>95</v>
      </c>
    </row>
    <row r="103" spans="1:53" x14ac:dyDescent="0.2">
      <c r="A103" s="25">
        <v>94</v>
      </c>
      <c r="B103" s="26">
        <v>45438</v>
      </c>
      <c r="C103" s="27"/>
      <c r="AS103" s="25" t="s">
        <v>96</v>
      </c>
      <c r="AT103" s="27" t="s">
        <v>87</v>
      </c>
      <c r="AU103" s="27"/>
      <c r="AW103" s="25" t="s">
        <v>90</v>
      </c>
      <c r="AX103" s="27" t="s">
        <v>95</v>
      </c>
    </row>
    <row r="104" spans="1:53" x14ac:dyDescent="0.2">
      <c r="A104" s="25">
        <v>95</v>
      </c>
      <c r="B104" s="26">
        <v>45439</v>
      </c>
      <c r="C104" s="27"/>
      <c r="AS104" s="25" t="s">
        <v>96</v>
      </c>
      <c r="AT104" s="27" t="s">
        <v>87</v>
      </c>
      <c r="AU104" s="27"/>
      <c r="AW104" s="25" t="s">
        <v>90</v>
      </c>
      <c r="AX104" s="27" t="s">
        <v>95</v>
      </c>
    </row>
    <row r="105" spans="1:53" x14ac:dyDescent="0.2">
      <c r="A105" s="25">
        <v>96</v>
      </c>
      <c r="B105" s="26">
        <v>45440</v>
      </c>
      <c r="C105" s="27"/>
      <c r="AS105" s="25" t="s">
        <v>96</v>
      </c>
      <c r="AT105" s="27" t="s">
        <v>87</v>
      </c>
      <c r="AU105" s="27"/>
      <c r="AW105" s="25" t="s">
        <v>90</v>
      </c>
      <c r="AX105" s="27" t="s">
        <v>95</v>
      </c>
      <c r="BA105">
        <v>0</v>
      </c>
    </row>
    <row r="106" spans="1:53" x14ac:dyDescent="0.2">
      <c r="A106" s="25">
        <v>97</v>
      </c>
      <c r="B106" s="26">
        <v>45441</v>
      </c>
      <c r="C106" s="27"/>
      <c r="AS106" s="25" t="s">
        <v>96</v>
      </c>
      <c r="AT106" s="27" t="s">
        <v>87</v>
      </c>
      <c r="AU106" s="27"/>
      <c r="AW106" s="25" t="s">
        <v>90</v>
      </c>
      <c r="AX106" s="27" t="s">
        <v>95</v>
      </c>
    </row>
    <row r="107" spans="1:53" x14ac:dyDescent="0.2">
      <c r="A107" s="25">
        <v>98</v>
      </c>
      <c r="B107" s="26">
        <v>45442</v>
      </c>
      <c r="C107" s="27"/>
      <c r="K107" s="172">
        <v>0.5083333333333333</v>
      </c>
      <c r="AS107" s="25" t="s">
        <v>96</v>
      </c>
      <c r="AT107" s="27" t="s">
        <v>87</v>
      </c>
      <c r="AU107" s="27"/>
      <c r="AW107" s="25" t="s">
        <v>90</v>
      </c>
      <c r="AX107" s="27" t="s">
        <v>95</v>
      </c>
      <c r="BA107">
        <v>0</v>
      </c>
    </row>
    <row r="108" spans="1:53" x14ac:dyDescent="0.2">
      <c r="A108" s="25">
        <v>99</v>
      </c>
      <c r="B108" s="26">
        <v>45443</v>
      </c>
      <c r="AS108" s="25" t="s">
        <v>96</v>
      </c>
      <c r="AT108" s="27" t="s">
        <v>87</v>
      </c>
      <c r="AU108" s="27"/>
      <c r="AW108" s="25" t="s">
        <v>90</v>
      </c>
      <c r="AX108" s="27" t="s">
        <v>95</v>
      </c>
    </row>
    <row r="109" spans="1:53" x14ac:dyDescent="0.2">
      <c r="A109" s="25">
        <v>100</v>
      </c>
      <c r="B109" s="26">
        <v>45444</v>
      </c>
      <c r="C109" s="27"/>
      <c r="AS109" s="25" t="s">
        <v>96</v>
      </c>
      <c r="AT109" s="27" t="s">
        <v>87</v>
      </c>
      <c r="AU109" s="27"/>
      <c r="AW109" s="25" t="s">
        <v>90</v>
      </c>
      <c r="AX109" s="27" t="s">
        <v>95</v>
      </c>
    </row>
    <row r="110" spans="1:53" x14ac:dyDescent="0.2">
      <c r="A110" s="25">
        <v>101</v>
      </c>
      <c r="B110" s="26">
        <v>45445</v>
      </c>
      <c r="C110" s="27"/>
      <c r="AS110" s="25" t="s">
        <v>96</v>
      </c>
      <c r="AT110" s="27" t="s">
        <v>87</v>
      </c>
      <c r="AU110" s="27"/>
      <c r="AW110" s="25" t="s">
        <v>90</v>
      </c>
      <c r="AX110" s="27" t="s">
        <v>95</v>
      </c>
    </row>
    <row r="111" spans="1:53" x14ac:dyDescent="0.2">
      <c r="A111" s="25">
        <v>102</v>
      </c>
      <c r="B111" s="26">
        <v>45446</v>
      </c>
      <c r="C111" s="27"/>
      <c r="AS111" s="25" t="s">
        <v>96</v>
      </c>
      <c r="AT111" s="27" t="s">
        <v>87</v>
      </c>
      <c r="AU111" s="27"/>
      <c r="AW111" s="25" t="s">
        <v>90</v>
      </c>
      <c r="AX111" s="27" t="s">
        <v>95</v>
      </c>
    </row>
    <row r="112" spans="1:53" x14ac:dyDescent="0.2">
      <c r="A112" s="25">
        <v>103</v>
      </c>
      <c r="B112" s="26">
        <v>45447</v>
      </c>
      <c r="C112" s="27"/>
      <c r="AS112" s="25" t="s">
        <v>96</v>
      </c>
      <c r="AT112" s="27" t="s">
        <v>87</v>
      </c>
      <c r="AU112" s="27"/>
      <c r="AW112" s="25" t="s">
        <v>90</v>
      </c>
      <c r="AX112" s="27" t="s">
        <v>95</v>
      </c>
    </row>
    <row r="113" spans="1:50" x14ac:dyDescent="0.2">
      <c r="A113" s="25">
        <v>104</v>
      </c>
      <c r="B113" s="26">
        <v>45448</v>
      </c>
      <c r="C113" s="27"/>
      <c r="AS113" s="25" t="s">
        <v>96</v>
      </c>
      <c r="AT113" s="27" t="s">
        <v>87</v>
      </c>
      <c r="AU113" s="27"/>
      <c r="AW113" s="25" t="s">
        <v>90</v>
      </c>
      <c r="AX113" s="27" t="s">
        <v>95</v>
      </c>
    </row>
    <row r="114" spans="1:50" x14ac:dyDescent="0.2">
      <c r="A114" s="25">
        <v>105</v>
      </c>
      <c r="B114" s="26">
        <v>45449</v>
      </c>
      <c r="C114" s="27"/>
      <c r="AS114" s="25" t="s">
        <v>96</v>
      </c>
      <c r="AT114" s="27" t="s">
        <v>87</v>
      </c>
      <c r="AU114" s="27"/>
      <c r="AW114" s="25" t="s">
        <v>90</v>
      </c>
      <c r="AX114" s="27" t="s">
        <v>95</v>
      </c>
    </row>
    <row r="115" spans="1:50" x14ac:dyDescent="0.2">
      <c r="A115" s="25">
        <v>106</v>
      </c>
      <c r="B115" s="26">
        <v>45450</v>
      </c>
    </row>
    <row r="116" spans="1:50" x14ac:dyDescent="0.2">
      <c r="A116" s="25">
        <v>107</v>
      </c>
      <c r="B116" s="26">
        <v>45451</v>
      </c>
      <c r="C116" s="27"/>
    </row>
    <row r="117" spans="1:50" x14ac:dyDescent="0.2">
      <c r="A117" s="25">
        <v>108</v>
      </c>
      <c r="B117" s="26">
        <v>45452</v>
      </c>
      <c r="C117" s="27"/>
    </row>
    <row r="118" spans="1:50" x14ac:dyDescent="0.2">
      <c r="A118" s="25">
        <v>109</v>
      </c>
      <c r="B118" s="26">
        <v>45453</v>
      </c>
      <c r="C118" s="27"/>
    </row>
    <row r="119" spans="1:50" x14ac:dyDescent="0.2">
      <c r="A119" s="25">
        <v>110</v>
      </c>
      <c r="B119" s="26">
        <v>45454</v>
      </c>
      <c r="C119" s="27"/>
    </row>
    <row r="120" spans="1:50" x14ac:dyDescent="0.2">
      <c r="A120" s="25">
        <v>111</v>
      </c>
      <c r="B120" s="26">
        <v>45455</v>
      </c>
      <c r="C120" s="27"/>
    </row>
    <row r="121" spans="1:50" s="173" customFormat="1" x14ac:dyDescent="0.2">
      <c r="A121" s="173">
        <v>112</v>
      </c>
      <c r="B121" s="26">
        <v>45456</v>
      </c>
    </row>
    <row r="122" spans="1:50" x14ac:dyDescent="0.2">
      <c r="A122" s="25">
        <v>113</v>
      </c>
      <c r="B122" s="26">
        <v>45457</v>
      </c>
      <c r="C122" s="27"/>
    </row>
    <row r="123" spans="1:50" x14ac:dyDescent="0.2">
      <c r="A123" s="25">
        <v>114</v>
      </c>
      <c r="B123" s="26">
        <v>45458</v>
      </c>
      <c r="C123" s="27"/>
    </row>
    <row r="124" spans="1:50" x14ac:dyDescent="0.2">
      <c r="A124" s="25">
        <v>115</v>
      </c>
      <c r="B124" s="26">
        <v>45459</v>
      </c>
      <c r="C124" s="27"/>
    </row>
  </sheetData>
  <mergeCells count="52">
    <mergeCell ref="X13:X20"/>
    <mergeCell ref="AV6:AV8"/>
    <mergeCell ref="AW6:AW8"/>
    <mergeCell ref="AG6:AG7"/>
    <mergeCell ref="X6:X8"/>
    <mergeCell ref="O29:O49"/>
    <mergeCell ref="AR6:AR8"/>
    <mergeCell ref="AS6:AS8"/>
    <mergeCell ref="AT6:AT8"/>
    <mergeCell ref="AU6:AU8"/>
    <mergeCell ref="AH6:AH8"/>
    <mergeCell ref="AI6:AK7"/>
    <mergeCell ref="AL6:AL8"/>
    <mergeCell ref="AM6:AM7"/>
    <mergeCell ref="AN6:AP7"/>
    <mergeCell ref="AQ6:AQ8"/>
    <mergeCell ref="Y6:Y8"/>
    <mergeCell ref="Z6:AB7"/>
    <mergeCell ref="AC6:AD7"/>
    <mergeCell ref="AE6:AE8"/>
    <mergeCell ref="AF6:AF8"/>
    <mergeCell ref="H6:I7"/>
    <mergeCell ref="J6:J8"/>
    <mergeCell ref="K6:K8"/>
    <mergeCell ref="L6:L8"/>
    <mergeCell ref="M6:M8"/>
    <mergeCell ref="N6:N8"/>
    <mergeCell ref="AS3:AV5"/>
    <mergeCell ref="AW3:AZ5"/>
    <mergeCell ref="BA3:BA5"/>
    <mergeCell ref="AG5:AK5"/>
    <mergeCell ref="AM5:AP5"/>
    <mergeCell ref="AG3:AP4"/>
    <mergeCell ref="O6:O8"/>
    <mergeCell ref="P6:P8"/>
    <mergeCell ref="Q6:Q8"/>
    <mergeCell ref="R6:T7"/>
    <mergeCell ref="U6:W7"/>
    <mergeCell ref="AX6:AX8"/>
    <mergeCell ref="AY6:AY8"/>
    <mergeCell ref="AZ6:AZ8"/>
    <mergeCell ref="BA6:BA8"/>
    <mergeCell ref="A6:A8"/>
    <mergeCell ref="B6:B8"/>
    <mergeCell ref="C6:C8"/>
    <mergeCell ref="D6:E7"/>
    <mergeCell ref="F6:G7"/>
    <mergeCell ref="A3:C5"/>
    <mergeCell ref="D3:M5"/>
    <mergeCell ref="N3:P5"/>
    <mergeCell ref="Q3:Y5"/>
    <mergeCell ref="Z3:AF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78F96-0E99-4404-B562-C244A2A01F13}">
  <dimension ref="A1:BA125"/>
  <sheetViews>
    <sheetView zoomScale="85" zoomScaleNormal="85" workbookViewId="0">
      <pane xSplit="1" topLeftCell="B1" activePane="topRight" state="frozen"/>
      <selection pane="topRight" activeCell="M23" sqref="M23"/>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0.33203125"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22.33203125"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13.83203125" customWidth="1"/>
    <col min="50" max="50" width="26.5" bestFit="1" customWidth="1"/>
    <col min="51" max="51" width="24.1640625" bestFit="1" customWidth="1"/>
    <col min="52" max="52" width="41.1640625" bestFit="1" customWidth="1"/>
    <col min="53" max="53" width="18.83203125" bestFit="1" customWidth="1"/>
  </cols>
  <sheetData>
    <row r="1" spans="1:53" x14ac:dyDescent="0.2">
      <c r="A1" t="s">
        <v>305</v>
      </c>
    </row>
    <row r="2" spans="1:53" ht="16" thickBot="1" x14ac:dyDescent="0.25">
      <c r="A2" t="s">
        <v>365</v>
      </c>
    </row>
    <row r="3" spans="1:53" ht="23" x14ac:dyDescent="0.2">
      <c r="A3" s="209" t="s">
        <v>0</v>
      </c>
      <c r="B3" s="210"/>
      <c r="C3" s="210"/>
      <c r="D3" s="215" t="s">
        <v>1</v>
      </c>
      <c r="E3" s="215"/>
      <c r="F3" s="215"/>
      <c r="G3" s="215"/>
      <c r="H3" s="215"/>
      <c r="I3" s="215"/>
      <c r="J3" s="215"/>
      <c r="K3" s="215"/>
      <c r="L3" s="215"/>
      <c r="M3" s="215"/>
      <c r="N3" s="218" t="s">
        <v>2</v>
      </c>
      <c r="O3" s="218"/>
      <c r="P3" s="219"/>
      <c r="Q3" s="224" t="s">
        <v>3</v>
      </c>
      <c r="R3" s="225"/>
      <c r="S3" s="225"/>
      <c r="T3" s="225"/>
      <c r="U3" s="225"/>
      <c r="V3" s="225"/>
      <c r="W3" s="225"/>
      <c r="X3" s="225"/>
      <c r="Y3" s="226"/>
      <c r="Z3" s="230" t="s">
        <v>4</v>
      </c>
      <c r="AA3" s="231"/>
      <c r="AB3" s="231"/>
      <c r="AC3" s="231"/>
      <c r="AD3" s="231"/>
      <c r="AE3" s="231"/>
      <c r="AF3" s="232"/>
      <c r="AG3" s="271" t="s">
        <v>5</v>
      </c>
      <c r="AH3" s="271"/>
      <c r="AI3" s="271"/>
      <c r="AJ3" s="271"/>
      <c r="AK3" s="271"/>
      <c r="AL3" s="271"/>
      <c r="AM3" s="271"/>
      <c r="AN3" s="271"/>
      <c r="AO3" s="271"/>
      <c r="AP3" s="271"/>
      <c r="AQ3" s="1"/>
      <c r="AR3" s="2"/>
      <c r="AS3" s="251" t="s">
        <v>6</v>
      </c>
      <c r="AT3" s="252"/>
      <c r="AU3" s="252"/>
      <c r="AV3" s="252"/>
      <c r="AW3" s="257" t="s">
        <v>7</v>
      </c>
      <c r="AX3" s="258"/>
      <c r="AY3" s="258"/>
      <c r="AZ3" s="259"/>
      <c r="BA3" s="266" t="s">
        <v>8</v>
      </c>
    </row>
    <row r="4" spans="1:53" ht="23" x14ac:dyDescent="0.2">
      <c r="A4" s="211"/>
      <c r="B4" s="212"/>
      <c r="C4" s="212"/>
      <c r="D4" s="216"/>
      <c r="E4" s="216"/>
      <c r="F4" s="216"/>
      <c r="G4" s="216"/>
      <c r="H4" s="216"/>
      <c r="I4" s="216"/>
      <c r="J4" s="216"/>
      <c r="K4" s="216"/>
      <c r="L4" s="216"/>
      <c r="M4" s="216"/>
      <c r="N4" s="220"/>
      <c r="O4" s="220"/>
      <c r="P4" s="221"/>
      <c r="Q4" s="227"/>
      <c r="R4" s="228"/>
      <c r="S4" s="228"/>
      <c r="T4" s="228"/>
      <c r="U4" s="228"/>
      <c r="V4" s="228"/>
      <c r="W4" s="228"/>
      <c r="X4" s="228"/>
      <c r="Y4" s="229"/>
      <c r="Z4" s="233"/>
      <c r="AA4" s="234"/>
      <c r="AB4" s="234"/>
      <c r="AC4" s="234"/>
      <c r="AD4" s="234"/>
      <c r="AE4" s="234"/>
      <c r="AF4" s="235"/>
      <c r="AG4" s="272"/>
      <c r="AH4" s="272"/>
      <c r="AI4" s="272"/>
      <c r="AJ4" s="272"/>
      <c r="AK4" s="272"/>
      <c r="AL4" s="272"/>
      <c r="AM4" s="272"/>
      <c r="AN4" s="272"/>
      <c r="AO4" s="272"/>
      <c r="AP4" s="272"/>
      <c r="AQ4" s="3"/>
      <c r="AR4" s="4"/>
      <c r="AS4" s="253"/>
      <c r="AT4" s="254"/>
      <c r="AU4" s="254"/>
      <c r="AV4" s="254"/>
      <c r="AW4" s="260"/>
      <c r="AX4" s="261"/>
      <c r="AY4" s="261"/>
      <c r="AZ4" s="262"/>
      <c r="BA4" s="267"/>
    </row>
    <row r="5" spans="1:53" ht="21" thickBot="1" x14ac:dyDescent="0.25">
      <c r="A5" s="213"/>
      <c r="B5" s="214"/>
      <c r="C5" s="214"/>
      <c r="D5" s="217"/>
      <c r="E5" s="217"/>
      <c r="F5" s="217"/>
      <c r="G5" s="217"/>
      <c r="H5" s="217"/>
      <c r="I5" s="217"/>
      <c r="J5" s="217"/>
      <c r="K5" s="217"/>
      <c r="L5" s="217"/>
      <c r="M5" s="217"/>
      <c r="N5" s="222"/>
      <c r="O5" s="222"/>
      <c r="P5" s="223"/>
      <c r="Q5" s="227"/>
      <c r="R5" s="228"/>
      <c r="S5" s="228"/>
      <c r="T5" s="228"/>
      <c r="U5" s="228"/>
      <c r="V5" s="228"/>
      <c r="W5" s="228"/>
      <c r="X5" s="228"/>
      <c r="Y5" s="229"/>
      <c r="Z5" s="233"/>
      <c r="AA5" s="234"/>
      <c r="AB5" s="234"/>
      <c r="AC5" s="234"/>
      <c r="AD5" s="234"/>
      <c r="AE5" s="234"/>
      <c r="AF5" s="235"/>
      <c r="AG5" s="269" t="s">
        <v>9</v>
      </c>
      <c r="AH5" s="269"/>
      <c r="AI5" s="269"/>
      <c r="AJ5" s="269"/>
      <c r="AK5" s="270"/>
      <c r="AL5" s="5"/>
      <c r="AM5" s="269" t="s">
        <v>10</v>
      </c>
      <c r="AN5" s="269"/>
      <c r="AO5" s="269"/>
      <c r="AP5" s="270"/>
      <c r="AQ5" s="6"/>
      <c r="AR5" s="7"/>
      <c r="AS5" s="255"/>
      <c r="AT5" s="256"/>
      <c r="AU5" s="256"/>
      <c r="AV5" s="256"/>
      <c r="AW5" s="263"/>
      <c r="AX5" s="264"/>
      <c r="AY5" s="264"/>
      <c r="AZ5" s="265"/>
      <c r="BA5" s="268"/>
    </row>
    <row r="6" spans="1:53" x14ac:dyDescent="0.2">
      <c r="A6" s="236" t="s">
        <v>11</v>
      </c>
      <c r="B6" s="239" t="s">
        <v>12</v>
      </c>
      <c r="C6" s="239" t="s">
        <v>13</v>
      </c>
      <c r="D6" s="242" t="s">
        <v>14</v>
      </c>
      <c r="E6" s="243"/>
      <c r="F6" s="246" t="s">
        <v>15</v>
      </c>
      <c r="G6" s="243"/>
      <c r="H6" s="292" t="s">
        <v>16</v>
      </c>
      <c r="I6" s="293"/>
      <c r="J6" s="296" t="s">
        <v>17</v>
      </c>
      <c r="K6" s="299" t="s">
        <v>18</v>
      </c>
      <c r="L6" s="292" t="s">
        <v>19</v>
      </c>
      <c r="M6" s="303" t="s">
        <v>20</v>
      </c>
      <c r="N6" s="248" t="s">
        <v>21</v>
      </c>
      <c r="O6" s="248" t="s">
        <v>19</v>
      </c>
      <c r="P6" s="248" t="s">
        <v>20</v>
      </c>
      <c r="Q6" s="273" t="s">
        <v>22</v>
      </c>
      <c r="R6" s="276" t="s">
        <v>23</v>
      </c>
      <c r="S6" s="276"/>
      <c r="T6" s="277"/>
      <c r="U6" s="280" t="s">
        <v>24</v>
      </c>
      <c r="V6" s="280"/>
      <c r="W6" s="281"/>
      <c r="X6" s="353" t="s">
        <v>19</v>
      </c>
      <c r="Y6" s="330" t="s">
        <v>20</v>
      </c>
      <c r="Z6" s="333" t="s">
        <v>23</v>
      </c>
      <c r="AA6" s="334"/>
      <c r="AB6" s="335"/>
      <c r="AC6" s="339" t="s">
        <v>24</v>
      </c>
      <c r="AD6" s="339"/>
      <c r="AE6" s="339" t="s">
        <v>19</v>
      </c>
      <c r="AF6" s="342" t="s">
        <v>20</v>
      </c>
      <c r="AG6" s="351" t="s">
        <v>25</v>
      </c>
      <c r="AH6" s="318" t="s">
        <v>26</v>
      </c>
      <c r="AI6" s="321" t="s">
        <v>24</v>
      </c>
      <c r="AJ6" s="321"/>
      <c r="AK6" s="321"/>
      <c r="AL6" s="323" t="s">
        <v>27</v>
      </c>
      <c r="AM6" s="325" t="s">
        <v>25</v>
      </c>
      <c r="AN6" s="321" t="s">
        <v>24</v>
      </c>
      <c r="AO6" s="321"/>
      <c r="AP6" s="309"/>
      <c r="AQ6" s="327" t="s">
        <v>19</v>
      </c>
      <c r="AR6" s="309" t="s">
        <v>20</v>
      </c>
      <c r="AS6" s="312" t="s">
        <v>28</v>
      </c>
      <c r="AT6" s="315" t="s">
        <v>29</v>
      </c>
      <c r="AU6" s="315" t="s">
        <v>19</v>
      </c>
      <c r="AV6" s="315" t="s">
        <v>20</v>
      </c>
      <c r="AW6" s="348" t="s">
        <v>30</v>
      </c>
      <c r="AX6" s="284" t="s">
        <v>29</v>
      </c>
      <c r="AY6" s="284" t="s">
        <v>19</v>
      </c>
      <c r="AZ6" s="287" t="s">
        <v>20</v>
      </c>
      <c r="BA6" s="290" t="s">
        <v>31</v>
      </c>
    </row>
    <row r="7" spans="1:53" x14ac:dyDescent="0.2">
      <c r="A7" s="237"/>
      <c r="B7" s="240"/>
      <c r="C7" s="240"/>
      <c r="D7" s="244"/>
      <c r="E7" s="245"/>
      <c r="F7" s="247"/>
      <c r="G7" s="245"/>
      <c r="H7" s="294"/>
      <c r="I7" s="295"/>
      <c r="J7" s="297"/>
      <c r="K7" s="300"/>
      <c r="L7" s="294"/>
      <c r="M7" s="304"/>
      <c r="N7" s="249"/>
      <c r="O7" s="249"/>
      <c r="P7" s="249"/>
      <c r="Q7" s="274"/>
      <c r="R7" s="278"/>
      <c r="S7" s="278"/>
      <c r="T7" s="279"/>
      <c r="U7" s="282"/>
      <c r="V7" s="282"/>
      <c r="W7" s="283"/>
      <c r="X7" s="354"/>
      <c r="Y7" s="331"/>
      <c r="Z7" s="336"/>
      <c r="AA7" s="337"/>
      <c r="AB7" s="338"/>
      <c r="AC7" s="340"/>
      <c r="AD7" s="340"/>
      <c r="AE7" s="340"/>
      <c r="AF7" s="343"/>
      <c r="AG7" s="352"/>
      <c r="AH7" s="319"/>
      <c r="AI7" s="322"/>
      <c r="AJ7" s="322"/>
      <c r="AK7" s="322"/>
      <c r="AL7" s="324"/>
      <c r="AM7" s="326"/>
      <c r="AN7" s="322"/>
      <c r="AO7" s="322"/>
      <c r="AP7" s="310"/>
      <c r="AQ7" s="328"/>
      <c r="AR7" s="310"/>
      <c r="AS7" s="313"/>
      <c r="AT7" s="316"/>
      <c r="AU7" s="316"/>
      <c r="AV7" s="316"/>
      <c r="AW7" s="349"/>
      <c r="AX7" s="285"/>
      <c r="AY7" s="285"/>
      <c r="AZ7" s="288"/>
      <c r="BA7" s="290"/>
    </row>
    <row r="8" spans="1:53" ht="57" thickBot="1" x14ac:dyDescent="0.25">
      <c r="A8" s="238"/>
      <c r="B8" s="241"/>
      <c r="C8" s="241"/>
      <c r="D8" s="8" t="s">
        <v>32</v>
      </c>
      <c r="E8" s="9" t="s">
        <v>33</v>
      </c>
      <c r="F8" s="10" t="s">
        <v>32</v>
      </c>
      <c r="G8" s="9" t="s">
        <v>33</v>
      </c>
      <c r="H8" s="11" t="s">
        <v>32</v>
      </c>
      <c r="I8" s="12" t="s">
        <v>33</v>
      </c>
      <c r="J8" s="298"/>
      <c r="K8" s="301"/>
      <c r="L8" s="302"/>
      <c r="M8" s="305"/>
      <c r="N8" s="250"/>
      <c r="O8" s="250"/>
      <c r="P8" s="250"/>
      <c r="Q8" s="275"/>
      <c r="R8" s="13" t="s">
        <v>32</v>
      </c>
      <c r="S8" s="13" t="s">
        <v>34</v>
      </c>
      <c r="T8" s="14" t="s">
        <v>33</v>
      </c>
      <c r="U8" s="15" t="s">
        <v>32</v>
      </c>
      <c r="V8" s="15" t="s">
        <v>34</v>
      </c>
      <c r="W8" s="16" t="s">
        <v>33</v>
      </c>
      <c r="X8" s="355"/>
      <c r="Y8" s="332"/>
      <c r="Z8" s="17" t="s">
        <v>32</v>
      </c>
      <c r="AA8" s="18" t="s">
        <v>34</v>
      </c>
      <c r="AB8" s="19" t="s">
        <v>33</v>
      </c>
      <c r="AC8" s="20" t="s">
        <v>32</v>
      </c>
      <c r="AD8" s="20" t="s">
        <v>34</v>
      </c>
      <c r="AE8" s="341"/>
      <c r="AF8" s="344"/>
      <c r="AG8" s="21" t="s">
        <v>34</v>
      </c>
      <c r="AH8" s="320"/>
      <c r="AI8" s="22" t="s">
        <v>32</v>
      </c>
      <c r="AJ8" s="22" t="s">
        <v>34</v>
      </c>
      <c r="AK8" s="22" t="s">
        <v>33</v>
      </c>
      <c r="AL8" s="324"/>
      <c r="AM8" s="23" t="s">
        <v>33</v>
      </c>
      <c r="AN8" s="22" t="s">
        <v>32</v>
      </c>
      <c r="AO8" s="22" t="s">
        <v>34</v>
      </c>
      <c r="AP8" s="24" t="s">
        <v>33</v>
      </c>
      <c r="AQ8" s="329"/>
      <c r="AR8" s="311"/>
      <c r="AS8" s="314"/>
      <c r="AT8" s="317"/>
      <c r="AU8" s="317"/>
      <c r="AV8" s="317"/>
      <c r="AW8" s="350"/>
      <c r="AX8" s="286"/>
      <c r="AY8" s="286"/>
      <c r="AZ8" s="289"/>
      <c r="BA8" s="291"/>
    </row>
    <row r="9" spans="1:53" ht="16" thickBot="1" x14ac:dyDescent="0.25">
      <c r="A9" s="25">
        <v>0</v>
      </c>
      <c r="B9" s="26">
        <v>45370</v>
      </c>
      <c r="C9" s="27" t="s">
        <v>200</v>
      </c>
      <c r="D9" s="25"/>
      <c r="E9" s="28"/>
      <c r="F9" s="27"/>
      <c r="G9" s="28"/>
      <c r="H9" s="27"/>
      <c r="I9" s="28"/>
      <c r="J9" s="27">
        <v>4</v>
      </c>
      <c r="K9" s="29" t="s">
        <v>35</v>
      </c>
      <c r="L9" s="30" t="s">
        <v>160</v>
      </c>
      <c r="M9" s="31" t="s">
        <v>364</v>
      </c>
      <c r="N9" s="27"/>
      <c r="P9" s="32"/>
      <c r="Q9" s="25"/>
      <c r="R9" s="27"/>
      <c r="S9" s="27"/>
      <c r="T9" s="28"/>
      <c r="U9" s="27"/>
      <c r="V9" s="27"/>
      <c r="W9" s="28"/>
      <c r="X9" s="33"/>
      <c r="Y9" s="32"/>
      <c r="Z9" s="25"/>
      <c r="AA9" s="27"/>
      <c r="AB9" s="28"/>
      <c r="AC9" s="27"/>
      <c r="AD9" s="27"/>
      <c r="AE9" s="33"/>
      <c r="AG9" s="25"/>
      <c r="AH9" s="34"/>
      <c r="AI9" s="27"/>
      <c r="AJ9" s="27"/>
      <c r="AK9" s="27"/>
      <c r="AL9" s="25"/>
      <c r="AM9" s="35"/>
      <c r="AN9" s="27"/>
      <c r="AO9" s="27"/>
      <c r="AP9" s="36"/>
      <c r="AQ9" s="37"/>
      <c r="AR9" s="32"/>
      <c r="AS9" s="25"/>
      <c r="AT9" s="27"/>
      <c r="AU9" s="27"/>
      <c r="AW9" s="25"/>
      <c r="AX9" s="27"/>
      <c r="AY9" s="27"/>
      <c r="AZ9" s="32"/>
      <c r="BA9" s="38"/>
    </row>
    <row r="10" spans="1:53" ht="16" thickBot="1" x14ac:dyDescent="0.25">
      <c r="A10" s="25">
        <v>1</v>
      </c>
      <c r="B10" s="26">
        <v>45371</v>
      </c>
      <c r="C10" s="27" t="s">
        <v>200</v>
      </c>
      <c r="D10" s="25"/>
      <c r="E10" s="28"/>
      <c r="F10" s="27"/>
      <c r="G10" s="28"/>
      <c r="H10" s="27"/>
      <c r="I10" s="28"/>
      <c r="J10" s="27">
        <v>4</v>
      </c>
      <c r="K10" s="29" t="s">
        <v>35</v>
      </c>
      <c r="L10" s="39"/>
      <c r="M10" s="31"/>
      <c r="N10" s="27"/>
      <c r="P10" s="32"/>
      <c r="Q10" s="40"/>
      <c r="R10" s="27"/>
      <c r="S10" s="27"/>
      <c r="T10" s="28"/>
      <c r="U10" s="27"/>
      <c r="V10" s="27"/>
      <c r="W10" s="28"/>
      <c r="X10" s="33"/>
      <c r="Y10" s="32"/>
      <c r="Z10" s="25"/>
      <c r="AA10" s="27"/>
      <c r="AB10" s="28"/>
      <c r="AC10" s="27"/>
      <c r="AD10" s="27"/>
      <c r="AE10" s="33"/>
      <c r="AG10" s="25"/>
      <c r="AH10" s="34"/>
      <c r="AI10" s="27"/>
      <c r="AJ10" s="27"/>
      <c r="AK10" s="27"/>
      <c r="AL10" s="25"/>
      <c r="AM10" s="34"/>
      <c r="AN10" s="27"/>
      <c r="AO10" s="27"/>
      <c r="AP10" s="36"/>
      <c r="AQ10" s="37"/>
      <c r="AR10" s="32"/>
      <c r="AS10" s="25"/>
      <c r="AT10" s="27"/>
      <c r="AU10" s="27"/>
      <c r="AW10" s="25"/>
      <c r="AX10" s="27"/>
      <c r="AY10" s="27"/>
      <c r="AZ10" s="32"/>
      <c r="BA10" s="41"/>
    </row>
    <row r="11" spans="1:53" ht="16" thickBot="1" x14ac:dyDescent="0.25">
      <c r="A11" s="25">
        <v>2</v>
      </c>
      <c r="B11" s="26">
        <v>45372</v>
      </c>
      <c r="C11" s="27" t="s">
        <v>200</v>
      </c>
      <c r="D11" s="25"/>
      <c r="E11" s="28"/>
      <c r="F11" s="27"/>
      <c r="G11" s="28"/>
      <c r="H11" s="27"/>
      <c r="I11" s="28"/>
      <c r="J11" s="27">
        <v>4</v>
      </c>
      <c r="K11" s="29" t="s">
        <v>35</v>
      </c>
      <c r="L11" s="39"/>
      <c r="M11" s="31"/>
      <c r="N11" s="27"/>
      <c r="O11" s="42"/>
      <c r="Q11" s="43" t="s">
        <v>37</v>
      </c>
      <c r="R11" s="27"/>
      <c r="S11" s="27"/>
      <c r="T11" s="28"/>
      <c r="U11" s="27"/>
      <c r="V11" s="27"/>
      <c r="W11" s="28"/>
      <c r="X11" s="33"/>
      <c r="Y11" s="32"/>
      <c r="Z11" s="25"/>
      <c r="AA11" s="27"/>
      <c r="AB11" s="28"/>
      <c r="AC11" s="27"/>
      <c r="AD11" s="27"/>
      <c r="AE11" s="33"/>
      <c r="AG11" s="25"/>
      <c r="AH11" s="34"/>
      <c r="AI11" s="27"/>
      <c r="AJ11" s="27"/>
      <c r="AK11" s="27"/>
      <c r="AL11" s="25"/>
      <c r="AM11" s="34"/>
      <c r="AN11" s="27"/>
      <c r="AO11" s="27"/>
      <c r="AP11" s="36"/>
      <c r="AQ11" s="37"/>
      <c r="AR11" s="32"/>
      <c r="AS11" s="25"/>
      <c r="AT11" s="27"/>
      <c r="AU11" s="27"/>
      <c r="AW11" s="25"/>
      <c r="AX11" s="27"/>
      <c r="AY11" s="27"/>
      <c r="AZ11" s="32"/>
      <c r="BA11" s="41"/>
    </row>
    <row r="12" spans="1:53" ht="16" thickBot="1" x14ac:dyDescent="0.25">
      <c r="A12" s="25">
        <v>3</v>
      </c>
      <c r="B12" s="26">
        <v>45373</v>
      </c>
      <c r="C12" s="27" t="s">
        <v>200</v>
      </c>
      <c r="D12" s="25"/>
      <c r="E12" s="28"/>
      <c r="F12" s="27"/>
      <c r="G12" s="28"/>
      <c r="H12" s="27"/>
      <c r="I12" s="28"/>
      <c r="J12" s="27">
        <v>6</v>
      </c>
      <c r="K12" s="29" t="s">
        <v>35</v>
      </c>
      <c r="L12" s="44" t="s">
        <v>287</v>
      </c>
      <c r="M12" s="31" t="s">
        <v>353</v>
      </c>
      <c r="N12" s="27" t="s">
        <v>240</v>
      </c>
      <c r="O12" s="45" t="s">
        <v>41</v>
      </c>
      <c r="P12" s="46"/>
      <c r="Q12" s="25"/>
      <c r="R12" s="27"/>
      <c r="S12" s="27"/>
      <c r="T12" s="28"/>
      <c r="U12" s="27">
        <v>5</v>
      </c>
      <c r="V12" s="27"/>
      <c r="W12" s="28">
        <v>5</v>
      </c>
      <c r="X12" s="47" t="s">
        <v>43</v>
      </c>
      <c r="Y12" s="32"/>
      <c r="Z12" s="25"/>
      <c r="AA12" s="27"/>
      <c r="AB12" s="28"/>
      <c r="AC12" s="27">
        <v>3</v>
      </c>
      <c r="AD12" s="27">
        <v>2</v>
      </c>
      <c r="AE12" s="48" t="s">
        <v>342</v>
      </c>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4</v>
      </c>
      <c r="B13" s="26">
        <v>45374</v>
      </c>
      <c r="C13" s="27" t="s">
        <v>200</v>
      </c>
      <c r="D13" s="25"/>
      <c r="E13" s="28"/>
      <c r="F13" s="27"/>
      <c r="G13" s="28"/>
      <c r="H13" s="27"/>
      <c r="I13" s="28"/>
      <c r="J13" s="27">
        <v>6</v>
      </c>
      <c r="K13" s="29" t="s">
        <v>35</v>
      </c>
      <c r="L13" s="39"/>
      <c r="M13" s="31"/>
      <c r="N13" s="27" t="s">
        <v>240</v>
      </c>
      <c r="O13" t="s">
        <v>46</v>
      </c>
      <c r="P13" s="32"/>
      <c r="Q13" s="25"/>
      <c r="R13" s="27"/>
      <c r="S13" s="27"/>
      <c r="T13" s="28"/>
      <c r="U13" s="27">
        <v>5</v>
      </c>
      <c r="V13" s="27"/>
      <c r="W13" s="28">
        <v>5</v>
      </c>
      <c r="X13" s="345" t="s">
        <v>47</v>
      </c>
      <c r="Y13" s="32"/>
      <c r="Z13" s="25"/>
      <c r="AA13" s="27"/>
      <c r="AB13" s="28"/>
      <c r="AC13" s="27">
        <v>3</v>
      </c>
      <c r="AD13" s="27">
        <v>2</v>
      </c>
      <c r="AE13" s="33"/>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5</v>
      </c>
      <c r="B14" s="26">
        <v>45375</v>
      </c>
      <c r="C14" s="27" t="s">
        <v>232</v>
      </c>
      <c r="D14" s="25"/>
      <c r="E14" s="28"/>
      <c r="F14" s="27"/>
      <c r="G14" s="28"/>
      <c r="H14" s="27"/>
      <c r="I14" s="28"/>
      <c r="J14" s="27">
        <v>6</v>
      </c>
      <c r="K14" s="29" t="s">
        <v>35</v>
      </c>
      <c r="L14" s="39"/>
      <c r="M14" s="31"/>
      <c r="N14" s="27" t="s">
        <v>240</v>
      </c>
      <c r="P14" s="32"/>
      <c r="Q14" s="25"/>
      <c r="R14" s="27"/>
      <c r="S14" s="27"/>
      <c r="T14" s="28"/>
      <c r="U14" s="27">
        <v>5</v>
      </c>
      <c r="V14" s="27"/>
      <c r="W14" s="28">
        <v>5</v>
      </c>
      <c r="X14" s="346"/>
      <c r="Y14" s="32"/>
      <c r="Z14" s="25"/>
      <c r="AA14" s="27"/>
      <c r="AB14" s="28"/>
      <c r="AC14" s="27">
        <v>3</v>
      </c>
      <c r="AD14" s="27">
        <v>2</v>
      </c>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6</v>
      </c>
      <c r="B15" s="26">
        <v>45376</v>
      </c>
      <c r="C15" s="27" t="s">
        <v>232</v>
      </c>
      <c r="D15" s="25"/>
      <c r="E15" s="28"/>
      <c r="F15" s="27"/>
      <c r="G15" s="28"/>
      <c r="H15" s="27"/>
      <c r="I15" s="28"/>
      <c r="J15" s="27">
        <v>6</v>
      </c>
      <c r="K15" s="29" t="s">
        <v>35</v>
      </c>
      <c r="L15" s="39"/>
      <c r="M15" s="31"/>
      <c r="N15" s="27" t="s">
        <v>240</v>
      </c>
      <c r="P15" s="32"/>
      <c r="Q15" s="25"/>
      <c r="R15" s="27"/>
      <c r="S15" s="27"/>
      <c r="T15" s="28"/>
      <c r="U15" s="27">
        <v>5</v>
      </c>
      <c r="V15" s="27"/>
      <c r="W15" s="28">
        <v>5</v>
      </c>
      <c r="X15" s="346"/>
      <c r="Y15" s="32"/>
      <c r="Z15" s="25"/>
      <c r="AA15" s="27"/>
      <c r="AB15" s="28"/>
      <c r="AC15" s="27">
        <v>3</v>
      </c>
      <c r="AD15" s="27">
        <v>2</v>
      </c>
      <c r="AE15" s="33"/>
      <c r="AG15" s="25"/>
      <c r="AH15" s="34"/>
      <c r="AI15" s="27"/>
      <c r="AJ15" s="27"/>
      <c r="AK15" s="27"/>
      <c r="AL15" s="25"/>
      <c r="AM15" s="34"/>
      <c r="AN15" s="27"/>
      <c r="AO15" s="27"/>
      <c r="AP15" s="36"/>
      <c r="AQ15" s="37"/>
      <c r="AR15" s="32"/>
      <c r="AS15" s="25"/>
      <c r="AT15" s="27"/>
      <c r="AU15" s="27"/>
      <c r="AW15" s="25"/>
      <c r="AX15" s="27"/>
      <c r="AY15" s="27"/>
      <c r="AZ15" s="32"/>
      <c r="BA15" s="41"/>
    </row>
    <row r="16" spans="1:53" x14ac:dyDescent="0.2">
      <c r="A16" s="25">
        <v>7</v>
      </c>
      <c r="B16" s="26">
        <v>45377</v>
      </c>
      <c r="C16" s="27" t="s">
        <v>227</v>
      </c>
      <c r="D16" s="25"/>
      <c r="E16" s="28"/>
      <c r="F16" s="27"/>
      <c r="G16" s="28"/>
      <c r="H16" s="27"/>
      <c r="I16" s="28"/>
      <c r="J16" s="27">
        <v>6</v>
      </c>
      <c r="K16" s="29" t="s">
        <v>35</v>
      </c>
      <c r="L16" s="39"/>
      <c r="M16" s="31"/>
      <c r="N16" s="27" t="s">
        <v>240</v>
      </c>
      <c r="P16" s="32"/>
      <c r="Q16" s="25"/>
      <c r="R16" s="27"/>
      <c r="S16" s="27"/>
      <c r="T16" s="28"/>
      <c r="U16" s="27">
        <v>5</v>
      </c>
      <c r="V16" s="27"/>
      <c r="W16" s="28">
        <v>5</v>
      </c>
      <c r="X16" s="346"/>
      <c r="Y16" s="32"/>
      <c r="Z16" s="25"/>
      <c r="AA16" s="27"/>
      <c r="AB16" s="28"/>
      <c r="AC16" s="27">
        <v>3</v>
      </c>
      <c r="AD16" s="27">
        <v>2</v>
      </c>
      <c r="AE16" s="33"/>
      <c r="AG16" s="25"/>
      <c r="AH16" s="34"/>
      <c r="AI16" s="27"/>
      <c r="AJ16" s="27"/>
      <c r="AK16" s="27"/>
      <c r="AL16" s="25"/>
      <c r="AM16" s="34"/>
      <c r="AN16" s="27"/>
      <c r="AO16" s="27"/>
      <c r="AP16" s="36"/>
      <c r="AQ16" s="37"/>
      <c r="AR16" s="32"/>
      <c r="AS16" s="25"/>
      <c r="AT16" s="27"/>
      <c r="AU16" s="27"/>
      <c r="AW16" s="25"/>
      <c r="AX16" s="27"/>
      <c r="AY16" s="27"/>
      <c r="AZ16" s="32"/>
      <c r="BA16" s="41"/>
    </row>
    <row r="17" spans="1:53" x14ac:dyDescent="0.2">
      <c r="A17" s="25">
        <v>8</v>
      </c>
      <c r="B17" s="26">
        <v>45378</v>
      </c>
      <c r="C17" s="27"/>
      <c r="D17" s="25"/>
      <c r="E17" s="28"/>
      <c r="F17" s="27"/>
      <c r="G17" s="28"/>
      <c r="H17" s="27"/>
      <c r="I17" s="28"/>
      <c r="J17" s="27">
        <v>6</v>
      </c>
      <c r="K17" s="29" t="s">
        <v>35</v>
      </c>
      <c r="L17" s="39"/>
      <c r="M17" s="31"/>
      <c r="N17" s="27" t="s">
        <v>240</v>
      </c>
      <c r="P17" s="32"/>
      <c r="Q17" s="25"/>
      <c r="R17" s="27"/>
      <c r="S17" s="27"/>
      <c r="T17" s="28"/>
      <c r="U17" s="27">
        <v>5</v>
      </c>
      <c r="V17" s="27"/>
      <c r="W17" s="28">
        <v>5</v>
      </c>
      <c r="X17" s="346"/>
      <c r="Y17" s="32"/>
      <c r="Z17" s="25"/>
      <c r="AA17" s="27"/>
      <c r="AB17" s="28"/>
      <c r="AC17" s="27">
        <v>3</v>
      </c>
      <c r="AD17" s="27">
        <v>2</v>
      </c>
      <c r="AE17" s="33"/>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9</v>
      </c>
      <c r="B18" s="26">
        <v>45379</v>
      </c>
      <c r="C18" s="27"/>
      <c r="D18" s="25"/>
      <c r="E18" s="28"/>
      <c r="F18" s="27"/>
      <c r="G18" s="28"/>
      <c r="H18" s="27"/>
      <c r="I18" s="28"/>
      <c r="J18" s="27">
        <v>6</v>
      </c>
      <c r="K18" s="29" t="s">
        <v>35</v>
      </c>
      <c r="L18" s="39"/>
      <c r="M18" s="31"/>
      <c r="N18" s="27" t="s">
        <v>240</v>
      </c>
      <c r="P18" s="32"/>
      <c r="Q18" s="25"/>
      <c r="R18" s="27"/>
      <c r="S18" s="27"/>
      <c r="T18" s="28"/>
      <c r="U18" s="27">
        <v>5</v>
      </c>
      <c r="V18" s="27"/>
      <c r="W18" s="28">
        <v>5</v>
      </c>
      <c r="X18" s="346"/>
      <c r="Y18" s="32"/>
      <c r="Z18" s="25"/>
      <c r="AA18" s="27"/>
      <c r="AB18" s="28"/>
      <c r="AC18" s="27">
        <v>3</v>
      </c>
      <c r="AD18" s="27">
        <v>2</v>
      </c>
      <c r="AE18" s="33"/>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10</v>
      </c>
      <c r="B19" s="26">
        <v>45380</v>
      </c>
      <c r="C19" s="27"/>
      <c r="D19" s="25"/>
      <c r="E19" s="28"/>
      <c r="F19" s="27"/>
      <c r="G19" s="28"/>
      <c r="H19" s="27"/>
      <c r="I19" s="28"/>
      <c r="J19" s="27">
        <v>6</v>
      </c>
      <c r="K19" s="29" t="s">
        <v>35</v>
      </c>
      <c r="L19" s="39"/>
      <c r="M19" s="31"/>
      <c r="N19" s="27" t="s">
        <v>240</v>
      </c>
      <c r="O19" s="49"/>
      <c r="P19" s="32"/>
      <c r="Q19" s="25"/>
      <c r="R19" s="27"/>
      <c r="S19" s="27"/>
      <c r="T19" s="28"/>
      <c r="U19" s="27">
        <v>5</v>
      </c>
      <c r="V19" s="27"/>
      <c r="W19" s="28">
        <v>5</v>
      </c>
      <c r="X19" s="346"/>
      <c r="Y19" s="32"/>
      <c r="Z19" s="25"/>
      <c r="AA19" s="27"/>
      <c r="AB19" s="28"/>
      <c r="AC19" s="27">
        <v>5</v>
      </c>
      <c r="AD19" s="27">
        <v>5</v>
      </c>
      <c r="AE19" s="50" t="s">
        <v>343</v>
      </c>
      <c r="AG19" s="25"/>
      <c r="AH19" s="34"/>
      <c r="AI19" s="27"/>
      <c r="AJ19" s="27"/>
      <c r="AK19" s="27"/>
      <c r="AL19" s="25"/>
      <c r="AM19" s="34"/>
      <c r="AN19" s="27"/>
      <c r="AO19" s="27"/>
      <c r="AP19" s="36"/>
      <c r="AQ19" s="37"/>
      <c r="AR19" s="32"/>
      <c r="AS19" s="25"/>
      <c r="AT19" s="27"/>
      <c r="AU19" s="27"/>
      <c r="AW19" s="25"/>
      <c r="AX19" s="27"/>
      <c r="AY19" s="27"/>
      <c r="AZ19" s="32"/>
      <c r="BA19" s="41"/>
    </row>
    <row r="20" spans="1:53" ht="16" thickBot="1" x14ac:dyDescent="0.25">
      <c r="A20" s="25">
        <v>11</v>
      </c>
      <c r="B20" s="26">
        <v>45381</v>
      </c>
      <c r="C20" s="27"/>
      <c r="D20" s="25"/>
      <c r="E20" s="28"/>
      <c r="F20" s="27"/>
      <c r="G20" s="28"/>
      <c r="H20" s="27"/>
      <c r="I20" s="28"/>
      <c r="J20" s="27">
        <v>6</v>
      </c>
      <c r="K20" s="29" t="s">
        <v>35</v>
      </c>
      <c r="L20" s="52"/>
      <c r="M20" s="31"/>
      <c r="N20" s="27" t="s">
        <v>240</v>
      </c>
      <c r="P20" s="32"/>
      <c r="Q20" s="25"/>
      <c r="R20" s="27"/>
      <c r="S20" s="27"/>
      <c r="T20" s="28"/>
      <c r="U20" s="27">
        <v>5</v>
      </c>
      <c r="V20" s="27"/>
      <c r="W20" s="28">
        <v>5</v>
      </c>
      <c r="X20" s="347"/>
      <c r="Y20" s="32"/>
      <c r="Z20" s="25"/>
      <c r="AA20" s="27"/>
      <c r="AB20" s="28"/>
      <c r="AC20" s="27">
        <v>5</v>
      </c>
      <c r="AD20" s="27">
        <v>5</v>
      </c>
      <c r="AE20" s="33"/>
      <c r="AF20" s="32"/>
      <c r="AG20" s="25"/>
      <c r="AH20" s="34"/>
      <c r="AI20" s="27"/>
      <c r="AJ20" s="27"/>
      <c r="AK20" s="27"/>
      <c r="AL20" s="25"/>
      <c r="AM20" s="34"/>
      <c r="AN20" s="27"/>
      <c r="AO20" s="27"/>
      <c r="AP20" s="36"/>
      <c r="AQ20" s="37"/>
      <c r="AR20" s="32"/>
      <c r="AS20" s="25"/>
      <c r="AT20" s="27"/>
      <c r="AU20" s="27"/>
      <c r="AW20" s="25"/>
      <c r="AX20" s="27"/>
      <c r="AY20" s="27"/>
      <c r="AZ20" s="32"/>
      <c r="BA20" s="41"/>
    </row>
    <row r="21" spans="1:53" ht="16" thickBot="1" x14ac:dyDescent="0.25">
      <c r="A21" s="25">
        <v>12</v>
      </c>
      <c r="B21" s="26">
        <v>45382</v>
      </c>
      <c r="C21" s="27"/>
      <c r="D21" s="25"/>
      <c r="E21" s="28"/>
      <c r="F21" s="27"/>
      <c r="G21" s="28"/>
      <c r="H21" s="27"/>
      <c r="I21" s="28"/>
      <c r="J21" s="27">
        <v>6</v>
      </c>
      <c r="K21" s="29" t="s">
        <v>35</v>
      </c>
      <c r="L21" s="53"/>
      <c r="M21" s="31"/>
      <c r="N21" s="27" t="s">
        <v>240</v>
      </c>
      <c r="P21" s="32"/>
      <c r="Q21" s="25"/>
      <c r="R21" s="27"/>
      <c r="S21" s="27"/>
      <c r="T21" s="28"/>
      <c r="U21" s="27">
        <v>1</v>
      </c>
      <c r="V21" s="27"/>
      <c r="W21" s="28">
        <v>1</v>
      </c>
      <c r="X21" s="54" t="s">
        <v>49</v>
      </c>
      <c r="Y21" s="32"/>
      <c r="Z21" s="25"/>
      <c r="AA21" s="27"/>
      <c r="AB21" s="28"/>
      <c r="AC21" s="27">
        <v>10</v>
      </c>
      <c r="AD21" s="27">
        <v>5</v>
      </c>
      <c r="AE21" s="50" t="s">
        <v>344</v>
      </c>
      <c r="AG21" s="25"/>
      <c r="AH21" s="34"/>
      <c r="AI21" s="27"/>
      <c r="AJ21" s="27"/>
      <c r="AK21" s="27"/>
      <c r="AL21" s="25"/>
      <c r="AM21" s="34"/>
      <c r="AN21" s="27"/>
      <c r="AO21" s="27"/>
      <c r="AP21" s="36"/>
      <c r="AQ21" s="37"/>
      <c r="AR21" s="32"/>
      <c r="AS21" s="25"/>
      <c r="AT21" s="27"/>
      <c r="AU21" s="27"/>
      <c r="AW21" s="25"/>
      <c r="AX21" s="27"/>
      <c r="AY21" s="27"/>
      <c r="AZ21" s="32"/>
      <c r="BA21" s="41"/>
    </row>
    <row r="22" spans="1:53" ht="16" thickBot="1" x14ac:dyDescent="0.25">
      <c r="A22" s="25">
        <v>13</v>
      </c>
      <c r="B22" s="26">
        <v>45383</v>
      </c>
      <c r="C22" s="27"/>
      <c r="D22" s="25"/>
      <c r="E22" s="28"/>
      <c r="F22" s="27"/>
      <c r="G22" s="28"/>
      <c r="H22" s="27"/>
      <c r="I22" s="28"/>
      <c r="J22" s="27">
        <v>6</v>
      </c>
      <c r="K22" s="29" t="s">
        <v>35</v>
      </c>
      <c r="L22" s="39"/>
      <c r="M22" s="31"/>
      <c r="N22" s="27" t="s">
        <v>240</v>
      </c>
      <c r="P22" s="32"/>
      <c r="Q22" s="25"/>
      <c r="R22" s="27"/>
      <c r="S22" s="27"/>
      <c r="T22" s="28"/>
      <c r="U22" s="27">
        <v>1</v>
      </c>
      <c r="V22" s="27"/>
      <c r="W22" s="28">
        <v>1</v>
      </c>
      <c r="X22" s="33"/>
      <c r="Y22" s="32"/>
      <c r="Z22" s="55"/>
      <c r="AA22" s="56"/>
      <c r="AB22" s="57"/>
      <c r="AC22" s="27">
        <v>10</v>
      </c>
      <c r="AD22" s="27">
        <v>5</v>
      </c>
      <c r="AE22" s="33"/>
      <c r="AG22" s="25"/>
      <c r="AH22" s="34"/>
      <c r="AI22" s="27"/>
      <c r="AJ22" s="27"/>
      <c r="AK22" s="27"/>
      <c r="AL22" s="25"/>
      <c r="AM22" s="34"/>
      <c r="AN22" s="27"/>
      <c r="AO22" s="27"/>
      <c r="AP22" s="36"/>
      <c r="AQ22" s="37"/>
      <c r="AR22" s="32"/>
      <c r="AS22" s="25"/>
      <c r="AT22" s="27"/>
      <c r="AU22" s="201"/>
      <c r="AW22" s="25"/>
      <c r="AX22" s="27"/>
      <c r="AY22" s="27"/>
      <c r="AZ22" s="32"/>
      <c r="BA22" s="41"/>
    </row>
    <row r="23" spans="1:53" ht="16" thickBot="1" x14ac:dyDescent="0.25">
      <c r="A23" s="25">
        <v>14</v>
      </c>
      <c r="B23" s="26">
        <v>45384</v>
      </c>
      <c r="C23" s="27" t="s">
        <v>227</v>
      </c>
      <c r="D23" s="25"/>
      <c r="E23" s="28"/>
      <c r="F23" s="27"/>
      <c r="G23" s="28"/>
      <c r="H23" s="27"/>
      <c r="I23" s="28"/>
      <c r="J23" s="27">
        <v>6</v>
      </c>
      <c r="K23" s="29" t="s">
        <v>35</v>
      </c>
      <c r="L23" s="39" t="s">
        <v>373</v>
      </c>
      <c r="M23" s="31" t="s">
        <v>375</v>
      </c>
      <c r="N23" s="27" t="s">
        <v>240</v>
      </c>
      <c r="P23" s="32"/>
      <c r="Q23" s="25"/>
      <c r="R23" s="27"/>
      <c r="S23" s="27"/>
      <c r="T23" s="28"/>
      <c r="U23" s="27">
        <v>1</v>
      </c>
      <c r="V23" s="27"/>
      <c r="W23" s="28">
        <v>1</v>
      </c>
      <c r="X23" s="33"/>
      <c r="Y23" s="32"/>
      <c r="Z23" s="59"/>
      <c r="AA23" s="60"/>
      <c r="AB23" s="61"/>
      <c r="AC23" s="27">
        <v>10</v>
      </c>
      <c r="AD23" s="27">
        <v>5</v>
      </c>
      <c r="AE23" s="33"/>
      <c r="AG23" s="25"/>
      <c r="AH23" s="34"/>
      <c r="AI23" s="27"/>
      <c r="AJ23" s="27"/>
      <c r="AK23" s="27"/>
      <c r="AL23" s="25"/>
      <c r="AM23" s="34"/>
      <c r="AN23" s="27"/>
      <c r="AO23" s="27"/>
      <c r="AP23" s="36"/>
      <c r="AQ23" s="37"/>
      <c r="AR23" s="32"/>
      <c r="AS23" s="25"/>
      <c r="AT23" s="27"/>
      <c r="AW23" s="25"/>
      <c r="AX23" s="27"/>
      <c r="AY23" s="27"/>
      <c r="AZ23" s="32"/>
      <c r="BA23" s="62"/>
    </row>
    <row r="24" spans="1:53" ht="16" thickBot="1" x14ac:dyDescent="0.25">
      <c r="A24" s="25">
        <v>15</v>
      </c>
      <c r="B24" s="26">
        <v>45385</v>
      </c>
      <c r="C24" s="27"/>
      <c r="D24" s="25"/>
      <c r="E24" s="28"/>
      <c r="F24" s="27"/>
      <c r="G24" s="28"/>
      <c r="H24" s="27"/>
      <c r="I24" s="28"/>
      <c r="J24" s="27">
        <v>6</v>
      </c>
      <c r="K24" s="29" t="s">
        <v>35</v>
      </c>
      <c r="L24" s="39"/>
      <c r="M24" s="31"/>
      <c r="N24" s="27" t="s">
        <v>240</v>
      </c>
      <c r="P24" s="32"/>
      <c r="Q24" s="25"/>
      <c r="R24" s="27"/>
      <c r="S24" s="27"/>
      <c r="T24" s="28"/>
      <c r="U24" s="27">
        <v>1</v>
      </c>
      <c r="V24" s="27"/>
      <c r="W24" s="28">
        <v>1</v>
      </c>
      <c r="X24" s="33"/>
      <c r="Y24" s="32"/>
      <c r="Z24" s="25"/>
      <c r="AA24" s="27"/>
      <c r="AB24" s="28"/>
      <c r="AC24" s="27">
        <v>10</v>
      </c>
      <c r="AD24" s="27">
        <v>5</v>
      </c>
      <c r="AE24" s="33"/>
      <c r="AG24" s="25"/>
      <c r="AH24" s="34"/>
      <c r="AI24" s="27"/>
      <c r="AJ24" s="27"/>
      <c r="AK24" s="27"/>
      <c r="AL24" s="25"/>
      <c r="AM24" s="34"/>
      <c r="AN24" s="27"/>
      <c r="AO24" s="27"/>
      <c r="AP24" s="36"/>
      <c r="AQ24" s="37"/>
      <c r="AR24" s="32"/>
      <c r="AS24" s="25"/>
      <c r="AT24" s="27"/>
      <c r="AU24" s="201"/>
      <c r="AW24" s="25"/>
      <c r="AX24" s="27"/>
      <c r="AY24" s="27"/>
      <c r="AZ24" s="32"/>
      <c r="BA24" s="41"/>
    </row>
    <row r="25" spans="1:53" ht="16" thickBot="1" x14ac:dyDescent="0.25">
      <c r="A25" s="25">
        <v>16</v>
      </c>
      <c r="B25" s="26">
        <v>45386</v>
      </c>
      <c r="C25" s="27"/>
      <c r="D25" s="25"/>
      <c r="E25" s="28"/>
      <c r="F25" s="27"/>
      <c r="G25" s="28"/>
      <c r="H25" s="27"/>
      <c r="I25" s="28"/>
      <c r="J25" s="27">
        <v>6</v>
      </c>
      <c r="K25" s="29" t="s">
        <v>35</v>
      </c>
      <c r="L25" s="44" t="s">
        <v>288</v>
      </c>
      <c r="M25" s="31"/>
      <c r="N25" s="27" t="s">
        <v>240</v>
      </c>
      <c r="P25" s="32"/>
      <c r="Q25" s="25"/>
      <c r="R25" s="27"/>
      <c r="S25" s="27"/>
      <c r="T25" s="28"/>
      <c r="U25" s="27">
        <v>1</v>
      </c>
      <c r="V25" s="27"/>
      <c r="W25" s="28">
        <v>1</v>
      </c>
      <c r="X25" s="63" t="s">
        <v>60</v>
      </c>
      <c r="Y25" s="46" t="s">
        <v>61</v>
      </c>
      <c r="AB25" s="28"/>
      <c r="AC25" s="27">
        <v>10</v>
      </c>
      <c r="AD25" s="27">
        <v>5</v>
      </c>
      <c r="AE25" s="33"/>
      <c r="AG25" s="25"/>
      <c r="AH25" s="34"/>
      <c r="AI25" s="27"/>
      <c r="AJ25" s="27"/>
      <c r="AK25" s="27"/>
      <c r="AL25" s="25"/>
      <c r="AM25" s="34"/>
      <c r="AN25" s="27"/>
      <c r="AO25" s="27"/>
      <c r="AP25" s="36"/>
      <c r="AQ25" s="64"/>
      <c r="AR25" s="65"/>
      <c r="AS25" s="25"/>
      <c r="AT25" s="27"/>
      <c r="AU25" s="27"/>
      <c r="AW25" s="25"/>
      <c r="AX25" s="27"/>
      <c r="AY25" s="27"/>
      <c r="AZ25" s="32"/>
      <c r="BA25" s="41"/>
    </row>
    <row r="26" spans="1:53" x14ac:dyDescent="0.2">
      <c r="A26" s="25">
        <v>17</v>
      </c>
      <c r="B26" s="26">
        <v>45387</v>
      </c>
      <c r="C26" s="27"/>
      <c r="D26" s="25"/>
      <c r="E26" s="28"/>
      <c r="F26" s="27"/>
      <c r="G26" s="28"/>
      <c r="H26" s="27"/>
      <c r="I26" s="28"/>
      <c r="J26" s="27">
        <v>6</v>
      </c>
      <c r="K26" s="29" t="s">
        <v>35</v>
      </c>
      <c r="L26" s="39"/>
      <c r="M26" s="31"/>
      <c r="N26" s="27" t="s">
        <v>240</v>
      </c>
      <c r="P26" s="32"/>
      <c r="Q26" s="25"/>
      <c r="R26" s="27"/>
      <c r="S26" s="27"/>
      <c r="T26" s="28"/>
      <c r="U26" s="27"/>
      <c r="V26" s="27" t="s">
        <v>154</v>
      </c>
      <c r="W26" s="28"/>
      <c r="X26" s="33" t="s">
        <v>155</v>
      </c>
      <c r="Y26" s="32"/>
      <c r="Z26" s="25"/>
      <c r="AA26" s="27"/>
      <c r="AB26" s="28"/>
      <c r="AC26" s="27">
        <v>10</v>
      </c>
      <c r="AD26" s="27">
        <v>5</v>
      </c>
      <c r="AE26" s="33"/>
      <c r="AG26" s="25"/>
      <c r="AH26" s="34"/>
      <c r="AI26" s="27"/>
      <c r="AJ26" s="27"/>
      <c r="AK26" s="27"/>
      <c r="AL26" s="25"/>
      <c r="AM26" s="34"/>
      <c r="AN26" s="27"/>
      <c r="AO26" s="27"/>
      <c r="AP26" s="36"/>
      <c r="AQ26" s="37"/>
      <c r="AR26" s="32"/>
      <c r="AS26" s="25"/>
      <c r="AT26" s="27"/>
      <c r="AU26" s="27"/>
      <c r="AW26" s="25"/>
      <c r="AX26" s="27"/>
      <c r="AY26" s="27"/>
      <c r="AZ26" s="32"/>
      <c r="BA26" s="41"/>
    </row>
    <row r="27" spans="1:53" ht="16" thickBot="1" x14ac:dyDescent="0.25">
      <c r="A27" s="25">
        <v>18</v>
      </c>
      <c r="B27" s="26">
        <v>45388</v>
      </c>
      <c r="C27" s="27"/>
      <c r="D27" s="25"/>
      <c r="E27" s="28"/>
      <c r="F27" s="27"/>
      <c r="G27" s="28"/>
      <c r="H27" s="27"/>
      <c r="I27" s="28"/>
      <c r="J27" s="27">
        <v>6</v>
      </c>
      <c r="K27" s="29" t="s">
        <v>35</v>
      </c>
      <c r="L27" s="39"/>
      <c r="M27" s="31"/>
      <c r="N27" s="27" t="s">
        <v>240</v>
      </c>
      <c r="P27" s="66"/>
      <c r="Q27" s="25"/>
      <c r="R27" s="27"/>
      <c r="S27" s="27"/>
      <c r="T27" s="28"/>
      <c r="U27" s="27"/>
      <c r="V27" s="27" t="s">
        <v>154</v>
      </c>
      <c r="W27" s="28"/>
      <c r="X27" s="33"/>
      <c r="Y27" s="32"/>
      <c r="Z27" s="25"/>
      <c r="AA27" s="27"/>
      <c r="AB27" s="28"/>
      <c r="AC27" s="27">
        <v>10</v>
      </c>
      <c r="AD27" s="27">
        <v>5</v>
      </c>
      <c r="AE27" s="33"/>
      <c r="AG27" s="25"/>
      <c r="AH27" s="34"/>
      <c r="AI27" s="27"/>
      <c r="AJ27" s="27"/>
      <c r="AK27" s="27"/>
      <c r="AL27" s="25"/>
      <c r="AM27" s="34"/>
      <c r="AN27" s="27"/>
      <c r="AO27" s="27"/>
      <c r="AP27" s="36"/>
      <c r="AQ27" s="67" t="s">
        <v>65</v>
      </c>
      <c r="AR27" s="46" t="s">
        <v>350</v>
      </c>
      <c r="AS27" s="25"/>
      <c r="AT27" s="27"/>
      <c r="AW27" s="25"/>
      <c r="AX27" s="27"/>
      <c r="AY27" s="27"/>
      <c r="AZ27" s="32"/>
      <c r="BA27" s="41"/>
    </row>
    <row r="28" spans="1:53" ht="16" thickBot="1" x14ac:dyDescent="0.25">
      <c r="A28" s="25">
        <v>19</v>
      </c>
      <c r="B28" s="26">
        <v>45389</v>
      </c>
      <c r="C28" s="27"/>
      <c r="D28" s="25"/>
      <c r="E28" s="28"/>
      <c r="F28" s="27"/>
      <c r="G28" s="28"/>
      <c r="H28" s="27"/>
      <c r="I28" s="28"/>
      <c r="J28" s="27">
        <v>6</v>
      </c>
      <c r="K28" s="29" t="s">
        <v>35</v>
      </c>
      <c r="L28" s="39"/>
      <c r="M28" s="31"/>
      <c r="N28" s="27" t="s">
        <v>240</v>
      </c>
      <c r="P28" s="32"/>
      <c r="Q28" s="25"/>
      <c r="R28" s="27"/>
      <c r="S28" s="27"/>
      <c r="T28" s="28"/>
      <c r="U28" s="27"/>
      <c r="V28" s="27" t="s">
        <v>154</v>
      </c>
      <c r="W28" s="28"/>
      <c r="X28" s="33"/>
      <c r="Y28" s="32"/>
      <c r="Z28" s="25"/>
      <c r="AA28" s="27"/>
      <c r="AB28" s="28"/>
      <c r="AC28" s="27">
        <v>10</v>
      </c>
      <c r="AD28" s="27">
        <v>5</v>
      </c>
      <c r="AE28" s="33"/>
      <c r="AG28" s="25"/>
      <c r="AH28" s="34"/>
      <c r="AI28" s="27"/>
      <c r="AJ28" s="27"/>
      <c r="AK28" s="27"/>
      <c r="AL28" s="25"/>
      <c r="AM28" s="34"/>
      <c r="AN28" s="27"/>
      <c r="AO28" s="27"/>
      <c r="AP28" s="36"/>
      <c r="AQ28" s="203"/>
      <c r="AR28" s="32" t="s">
        <v>64</v>
      </c>
      <c r="AS28" s="25"/>
      <c r="AT28" s="27"/>
      <c r="AU28" s="27"/>
      <c r="AW28" s="25"/>
      <c r="AX28" s="27"/>
      <c r="AY28" s="27"/>
      <c r="AZ28" s="32"/>
      <c r="BA28" s="62"/>
    </row>
    <row r="29" spans="1:53" x14ac:dyDescent="0.2">
      <c r="A29" s="25">
        <v>20</v>
      </c>
      <c r="B29" s="26">
        <v>45390</v>
      </c>
      <c r="C29" s="27"/>
      <c r="D29" s="25"/>
      <c r="E29" s="28"/>
      <c r="F29" s="27"/>
      <c r="G29" s="28"/>
      <c r="H29" s="27"/>
      <c r="I29" s="28"/>
      <c r="J29" s="27">
        <v>6</v>
      </c>
      <c r="K29" s="29" t="s">
        <v>35</v>
      </c>
      <c r="L29" s="39"/>
      <c r="M29" s="197"/>
      <c r="N29" s="27" t="s">
        <v>240</v>
      </c>
      <c r="O29" s="306" t="s">
        <v>66</v>
      </c>
      <c r="P29" s="32"/>
      <c r="Q29" s="25"/>
      <c r="R29" s="27"/>
      <c r="S29" s="27"/>
      <c r="T29" s="28"/>
      <c r="U29" s="27"/>
      <c r="V29" s="27" t="s">
        <v>154</v>
      </c>
      <c r="W29" s="28"/>
      <c r="X29" s="33"/>
      <c r="Y29" s="32"/>
      <c r="Z29" s="25"/>
      <c r="AA29" s="27"/>
      <c r="AB29" s="28"/>
      <c r="AC29" s="27">
        <v>10</v>
      </c>
      <c r="AD29" s="27">
        <v>5</v>
      </c>
      <c r="AE29" s="33"/>
      <c r="AG29" s="25"/>
      <c r="AH29" s="34"/>
      <c r="AI29" s="27"/>
      <c r="AJ29" s="27"/>
      <c r="AK29" s="27"/>
      <c r="AL29" s="25"/>
      <c r="AM29" s="34"/>
      <c r="AN29" s="27"/>
      <c r="AO29" s="27"/>
      <c r="AP29" s="36"/>
      <c r="AQ29" s="37"/>
      <c r="AR29" s="32" t="s">
        <v>64</v>
      </c>
      <c r="AS29" s="25"/>
      <c r="AT29" s="27"/>
      <c r="AU29" s="27"/>
      <c r="AW29" s="25"/>
      <c r="AX29" s="27"/>
      <c r="AY29" s="27"/>
      <c r="AZ29" s="32"/>
      <c r="BA29" s="41"/>
    </row>
    <row r="30" spans="1:53" ht="16" thickBot="1" x14ac:dyDescent="0.25">
      <c r="A30" s="70">
        <v>21</v>
      </c>
      <c r="B30" s="26">
        <v>45391</v>
      </c>
      <c r="C30" s="71"/>
      <c r="D30" s="70"/>
      <c r="E30" s="72"/>
      <c r="F30" s="71"/>
      <c r="G30" s="72"/>
      <c r="H30" s="71"/>
      <c r="I30" s="72"/>
      <c r="J30" s="27">
        <v>6</v>
      </c>
      <c r="K30" s="29" t="s">
        <v>35</v>
      </c>
      <c r="L30" s="39"/>
      <c r="M30" s="198"/>
      <c r="N30" s="27" t="s">
        <v>240</v>
      </c>
      <c r="O30" s="307"/>
      <c r="P30" s="74"/>
      <c r="Q30" s="70"/>
      <c r="R30" s="71"/>
      <c r="S30" s="71"/>
      <c r="T30" s="72"/>
      <c r="U30" s="71"/>
      <c r="V30" s="71" t="s">
        <v>154</v>
      </c>
      <c r="W30" s="72"/>
      <c r="X30" s="33"/>
      <c r="Y30" s="75"/>
      <c r="Z30" s="70"/>
      <c r="AA30" s="71"/>
      <c r="AB30" s="72"/>
      <c r="AC30" s="27">
        <v>10</v>
      </c>
      <c r="AD30" s="71">
        <v>5</v>
      </c>
      <c r="AE30" s="33"/>
      <c r="AF30" s="76"/>
      <c r="AG30" s="70"/>
      <c r="AH30" s="77"/>
      <c r="AI30" s="27"/>
      <c r="AJ30" s="27"/>
      <c r="AK30" s="27"/>
      <c r="AL30" s="70"/>
      <c r="AM30" s="77"/>
      <c r="AN30" s="27"/>
      <c r="AO30" s="71"/>
      <c r="AP30" s="78"/>
      <c r="AQ30" s="37"/>
      <c r="AR30" s="32" t="s">
        <v>64</v>
      </c>
      <c r="AS30" s="70"/>
      <c r="AT30" s="27"/>
      <c r="AU30" s="71"/>
      <c r="AV30" s="76"/>
      <c r="AW30" s="70"/>
      <c r="AX30" s="71"/>
      <c r="AY30" s="71"/>
      <c r="AZ30" s="75"/>
      <c r="BA30" s="79"/>
    </row>
    <row r="31" spans="1:53" ht="16" thickBot="1" x14ac:dyDescent="0.25">
      <c r="A31" s="25">
        <v>22</v>
      </c>
      <c r="B31" s="26">
        <v>45392</v>
      </c>
      <c r="C31" s="27"/>
      <c r="D31" s="25"/>
      <c r="E31" s="28"/>
      <c r="F31" s="27"/>
      <c r="G31" s="28"/>
      <c r="H31" s="27"/>
      <c r="I31" s="28"/>
      <c r="J31" s="27">
        <v>6</v>
      </c>
      <c r="K31" s="29" t="s">
        <v>35</v>
      </c>
      <c r="L31" s="39"/>
      <c r="M31" s="197"/>
      <c r="N31" s="27" t="s">
        <v>240</v>
      </c>
      <c r="O31" s="307"/>
      <c r="P31" s="46"/>
      <c r="Q31" s="43"/>
      <c r="R31" s="27"/>
      <c r="S31" s="27"/>
      <c r="T31" s="28"/>
      <c r="U31" s="27"/>
      <c r="V31" s="27" t="s">
        <v>154</v>
      </c>
      <c r="W31" s="28"/>
      <c r="X31" s="33"/>
      <c r="Y31" s="32"/>
      <c r="Z31" s="60"/>
      <c r="AA31" s="60"/>
      <c r="AB31" s="61"/>
      <c r="AC31" s="27">
        <v>10</v>
      </c>
      <c r="AD31" s="27">
        <v>5</v>
      </c>
      <c r="AE31" s="33"/>
      <c r="AG31" s="25"/>
      <c r="AH31" s="34"/>
      <c r="AI31" s="27"/>
      <c r="AJ31" s="27"/>
      <c r="AK31" s="27"/>
      <c r="AL31" s="25"/>
      <c r="AM31" s="34"/>
      <c r="AN31" s="27"/>
      <c r="AO31" s="27"/>
      <c r="AP31" s="36"/>
      <c r="AQ31" s="37"/>
      <c r="AR31" s="32" t="s">
        <v>64</v>
      </c>
      <c r="AS31" s="25"/>
      <c r="AT31" s="27"/>
      <c r="AU31" s="27"/>
      <c r="AW31" s="25"/>
      <c r="AX31" s="27"/>
      <c r="AY31" s="27"/>
      <c r="AZ31" s="32"/>
      <c r="BA31" s="80" t="s">
        <v>68</v>
      </c>
    </row>
    <row r="32" spans="1:53" ht="16" thickBot="1" x14ac:dyDescent="0.25">
      <c r="A32" s="25">
        <v>23</v>
      </c>
      <c r="B32" s="26">
        <v>45393</v>
      </c>
      <c r="C32" s="27"/>
      <c r="D32" s="25"/>
      <c r="E32" s="28"/>
      <c r="F32" s="27"/>
      <c r="G32" s="28"/>
      <c r="H32" s="27"/>
      <c r="I32" s="28"/>
      <c r="J32" s="27">
        <v>6</v>
      </c>
      <c r="K32" s="29" t="s">
        <v>35</v>
      </c>
      <c r="L32" s="39"/>
      <c r="M32" s="31"/>
      <c r="N32" s="27" t="s">
        <v>240</v>
      </c>
      <c r="O32" s="307"/>
      <c r="P32" s="32"/>
      <c r="Q32" s="25"/>
      <c r="R32" s="27"/>
      <c r="S32" s="27"/>
      <c r="T32" s="28"/>
      <c r="U32" s="27"/>
      <c r="V32" s="27" t="s">
        <v>154</v>
      </c>
      <c r="W32" s="28"/>
      <c r="X32" s="33"/>
      <c r="Y32" s="32"/>
      <c r="Z32" s="25"/>
      <c r="AA32" s="27"/>
      <c r="AB32" s="28"/>
      <c r="AC32" s="27">
        <v>10</v>
      </c>
      <c r="AD32" s="27">
        <v>5</v>
      </c>
      <c r="AE32" s="33"/>
      <c r="AG32" s="25"/>
      <c r="AH32" s="34"/>
      <c r="AI32" s="27"/>
      <c r="AJ32" s="27"/>
      <c r="AK32" s="27"/>
      <c r="AL32" s="25"/>
      <c r="AM32" s="34"/>
      <c r="AN32" s="27"/>
      <c r="AO32" s="27"/>
      <c r="AP32" s="36"/>
      <c r="AQ32" s="37"/>
      <c r="AR32" s="32" t="s">
        <v>64</v>
      </c>
      <c r="AS32" s="25"/>
      <c r="AT32" s="27"/>
      <c r="AU32" s="201"/>
      <c r="AW32" s="25"/>
      <c r="AX32" s="27"/>
      <c r="AY32" s="27"/>
      <c r="AZ32" s="32"/>
      <c r="BA32" s="41"/>
    </row>
    <row r="33" spans="1:53" ht="16" thickBot="1" x14ac:dyDescent="0.25">
      <c r="A33" s="25">
        <v>24</v>
      </c>
      <c r="B33" s="26">
        <v>45394</v>
      </c>
      <c r="C33" s="27"/>
      <c r="D33" s="25"/>
      <c r="E33" s="28"/>
      <c r="F33" s="27"/>
      <c r="G33" s="28"/>
      <c r="H33" s="27"/>
      <c r="I33" s="28"/>
      <c r="J33" s="27">
        <v>6</v>
      </c>
      <c r="K33" s="29" t="s">
        <v>35</v>
      </c>
      <c r="L33" s="44" t="s">
        <v>289</v>
      </c>
      <c r="M33" s="31"/>
      <c r="N33" s="27" t="s">
        <v>240</v>
      </c>
      <c r="O33" s="307"/>
      <c r="P33" s="32"/>
      <c r="Q33" s="25"/>
      <c r="R33" s="27"/>
      <c r="S33" s="27"/>
      <c r="T33" s="28"/>
      <c r="U33" s="27"/>
      <c r="V33" s="27" t="s">
        <v>154</v>
      </c>
      <c r="W33" s="28"/>
      <c r="X33" s="33"/>
      <c r="Y33" s="32"/>
      <c r="Z33" s="25"/>
      <c r="AA33" s="27"/>
      <c r="AB33" s="28"/>
      <c r="AC33" s="27">
        <v>10</v>
      </c>
      <c r="AD33" s="27">
        <v>5</v>
      </c>
      <c r="AF33" s="46" t="s">
        <v>290</v>
      </c>
      <c r="AG33" s="25"/>
      <c r="AH33" s="34"/>
      <c r="AI33" s="27"/>
      <c r="AJ33" s="27"/>
      <c r="AK33" s="27"/>
      <c r="AL33" s="25"/>
      <c r="AM33" s="34"/>
      <c r="AN33" s="27"/>
      <c r="AO33" s="27"/>
      <c r="AP33" s="36"/>
      <c r="AQ33" s="37"/>
      <c r="AR33" s="46" t="s">
        <v>351</v>
      </c>
      <c r="AS33" s="25" t="s">
        <v>72</v>
      </c>
      <c r="AT33" s="27" t="s">
        <v>52</v>
      </c>
      <c r="AU33" s="58" t="s">
        <v>295</v>
      </c>
      <c r="AW33" s="25"/>
      <c r="AX33" s="27"/>
      <c r="AY33" s="27"/>
      <c r="AZ33" s="32"/>
      <c r="BA33" s="41"/>
    </row>
    <row r="34" spans="1:53" ht="16" thickBot="1" x14ac:dyDescent="0.25">
      <c r="A34" s="25">
        <v>25</v>
      </c>
      <c r="B34" s="26">
        <v>45395</v>
      </c>
      <c r="C34" s="27"/>
      <c r="D34" s="25"/>
      <c r="E34" s="28"/>
      <c r="F34" s="27"/>
      <c r="G34" s="28"/>
      <c r="H34" s="27"/>
      <c r="I34" s="28"/>
      <c r="J34" s="27">
        <v>6</v>
      </c>
      <c r="K34" s="29" t="s">
        <v>35</v>
      </c>
      <c r="L34" s="39"/>
      <c r="M34" s="31"/>
      <c r="N34" s="27" t="s">
        <v>240</v>
      </c>
      <c r="O34" s="307"/>
      <c r="P34" s="81"/>
      <c r="Q34" s="43"/>
      <c r="R34" s="27"/>
      <c r="S34" s="27"/>
      <c r="T34" s="28"/>
      <c r="U34" s="27"/>
      <c r="V34" s="27" t="s">
        <v>154</v>
      </c>
      <c r="W34" s="28"/>
      <c r="X34" s="33"/>
      <c r="Y34" s="32"/>
      <c r="Z34" s="27"/>
      <c r="AA34" s="27"/>
      <c r="AB34" s="28"/>
      <c r="AC34" s="27"/>
      <c r="AD34" s="27"/>
      <c r="AE34" s="27"/>
      <c r="AG34" s="25"/>
      <c r="AH34" s="34"/>
      <c r="AI34" s="27"/>
      <c r="AJ34" s="27"/>
      <c r="AK34" s="27"/>
      <c r="AL34" s="25"/>
      <c r="AM34" s="34"/>
      <c r="AN34" s="27"/>
      <c r="AO34" s="27"/>
      <c r="AP34" s="36"/>
      <c r="AQ34" s="37"/>
      <c r="AR34" s="32" t="s">
        <v>75</v>
      </c>
      <c r="AS34" s="25" t="s">
        <v>72</v>
      </c>
      <c r="AT34" s="27" t="s">
        <v>52</v>
      </c>
      <c r="AW34" s="25"/>
      <c r="AX34" s="27"/>
      <c r="AY34" s="27"/>
      <c r="AZ34" s="32"/>
      <c r="BA34" s="41"/>
    </row>
    <row r="35" spans="1:53" ht="16" thickBot="1" x14ac:dyDescent="0.25">
      <c r="A35" s="25">
        <v>26</v>
      </c>
      <c r="B35" s="26">
        <v>45396</v>
      </c>
      <c r="C35" s="27"/>
      <c r="D35" s="25"/>
      <c r="E35" s="28"/>
      <c r="F35" s="27"/>
      <c r="G35" s="28"/>
      <c r="H35" s="27"/>
      <c r="I35" s="28"/>
      <c r="J35" s="27">
        <v>6</v>
      </c>
      <c r="K35" s="29" t="s">
        <v>35</v>
      </c>
      <c r="L35" s="39"/>
      <c r="M35" s="31"/>
      <c r="N35" s="27" t="s">
        <v>240</v>
      </c>
      <c r="O35" s="307"/>
      <c r="P35" s="32"/>
      <c r="Q35" s="25"/>
      <c r="R35" s="27"/>
      <c r="S35" s="27"/>
      <c r="T35" s="28"/>
      <c r="U35" s="27"/>
      <c r="V35" s="27" t="s">
        <v>154</v>
      </c>
      <c r="W35" s="28"/>
      <c r="X35" s="33"/>
      <c r="Y35" s="32"/>
      <c r="Z35" s="25"/>
      <c r="AA35" s="27"/>
      <c r="AB35" s="28"/>
      <c r="AC35" s="27"/>
      <c r="AD35" s="27"/>
      <c r="AE35" s="33"/>
      <c r="AG35" s="25"/>
      <c r="AH35" s="34"/>
      <c r="AI35" s="27"/>
      <c r="AJ35" s="27"/>
      <c r="AK35" s="27"/>
      <c r="AL35" s="25"/>
      <c r="AM35" s="34"/>
      <c r="AN35" s="27"/>
      <c r="AO35" s="27"/>
      <c r="AP35" s="36"/>
      <c r="AQ35" s="37"/>
      <c r="AR35" s="32" t="s">
        <v>75</v>
      </c>
      <c r="AS35" s="25" t="s">
        <v>72</v>
      </c>
      <c r="AT35" s="27" t="s">
        <v>52</v>
      </c>
      <c r="AW35" s="25"/>
      <c r="AX35" s="27"/>
      <c r="AY35" s="27"/>
      <c r="AZ35" s="32"/>
      <c r="BA35" s="41"/>
    </row>
    <row r="36" spans="1:53" ht="16" thickBot="1" x14ac:dyDescent="0.25">
      <c r="A36" s="25">
        <v>27</v>
      </c>
      <c r="B36" s="26">
        <v>45397</v>
      </c>
      <c r="C36" s="27"/>
      <c r="D36" s="25"/>
      <c r="E36" s="28"/>
      <c r="F36" s="27"/>
      <c r="G36" s="28"/>
      <c r="H36" s="27"/>
      <c r="I36" s="28"/>
      <c r="J36" s="27">
        <v>6</v>
      </c>
      <c r="K36" s="29" t="s">
        <v>35</v>
      </c>
      <c r="L36" s="39"/>
      <c r="M36" s="31"/>
      <c r="N36" s="27" t="s">
        <v>240</v>
      </c>
      <c r="O36" s="307"/>
      <c r="P36" s="32"/>
      <c r="Q36" s="25"/>
      <c r="R36" s="27"/>
      <c r="S36" s="27"/>
      <c r="T36" s="28"/>
      <c r="U36" s="27"/>
      <c r="V36" s="27" t="s">
        <v>154</v>
      </c>
      <c r="W36" s="28"/>
      <c r="X36" s="33"/>
      <c r="Y36" s="32"/>
      <c r="Z36" s="25"/>
      <c r="AA36" s="27"/>
      <c r="AB36" s="28"/>
      <c r="AC36" s="27"/>
      <c r="AD36" s="27"/>
      <c r="AE36" s="33"/>
      <c r="AG36" s="25"/>
      <c r="AH36" s="34"/>
      <c r="AI36" s="27"/>
      <c r="AJ36" s="27"/>
      <c r="AK36" s="27"/>
      <c r="AL36" s="25"/>
      <c r="AM36" s="34"/>
      <c r="AN36" s="27"/>
      <c r="AO36" s="27"/>
      <c r="AP36" s="36"/>
      <c r="AQ36" s="82" t="s">
        <v>292</v>
      </c>
      <c r="AR36" s="32" t="s">
        <v>352</v>
      </c>
      <c r="AS36" s="25" t="s">
        <v>72</v>
      </c>
      <c r="AT36" s="27" t="s">
        <v>52</v>
      </c>
      <c r="AU36" s="27"/>
      <c r="AW36" s="25"/>
      <c r="AX36" s="27"/>
      <c r="AY36" s="27"/>
      <c r="AZ36" s="32"/>
      <c r="BA36" s="41"/>
    </row>
    <row r="37" spans="1:53" x14ac:dyDescent="0.2">
      <c r="A37" s="25">
        <v>28</v>
      </c>
      <c r="B37" s="26">
        <v>45398</v>
      </c>
      <c r="C37" s="27"/>
      <c r="D37" s="25"/>
      <c r="E37" s="28"/>
      <c r="F37" s="27"/>
      <c r="G37" s="28"/>
      <c r="H37" s="27"/>
      <c r="I37" s="28"/>
      <c r="J37" s="27">
        <v>6</v>
      </c>
      <c r="K37" s="29" t="s">
        <v>35</v>
      </c>
      <c r="L37" s="39"/>
      <c r="M37" s="31"/>
      <c r="N37" s="27" t="s">
        <v>240</v>
      </c>
      <c r="O37" s="307"/>
      <c r="P37" s="32"/>
      <c r="Q37" s="25"/>
      <c r="R37" s="27"/>
      <c r="S37" s="27"/>
      <c r="T37" s="28"/>
      <c r="U37" s="27"/>
      <c r="V37" s="27" t="s">
        <v>154</v>
      </c>
      <c r="W37" s="28"/>
      <c r="Y37" s="32"/>
      <c r="Z37" s="25"/>
      <c r="AA37" s="27"/>
      <c r="AB37" s="28"/>
      <c r="AC37" s="27"/>
      <c r="AD37" s="27"/>
      <c r="AE37" s="33"/>
      <c r="AG37" s="25"/>
      <c r="AH37" s="34"/>
      <c r="AI37" s="27"/>
      <c r="AJ37" s="27"/>
      <c r="AK37" s="27"/>
      <c r="AL37" s="25"/>
      <c r="AM37" s="34"/>
      <c r="AN37" s="27"/>
      <c r="AO37" s="27"/>
      <c r="AP37" s="36"/>
      <c r="AR37" s="32" t="s">
        <v>293</v>
      </c>
      <c r="AS37" s="25" t="s">
        <v>72</v>
      </c>
      <c r="AT37" s="27" t="s">
        <v>52</v>
      </c>
      <c r="AU37" s="27"/>
      <c r="AW37" s="25"/>
      <c r="AX37" s="27"/>
      <c r="AY37" s="27"/>
      <c r="AZ37" s="32"/>
      <c r="BA37" s="41"/>
    </row>
    <row r="38" spans="1:53" ht="17.25" customHeight="1" thickBot="1" x14ac:dyDescent="0.25">
      <c r="A38" s="25">
        <v>29</v>
      </c>
      <c r="B38" s="26">
        <v>45399</v>
      </c>
      <c r="C38" s="27"/>
      <c r="D38" s="25"/>
      <c r="E38" s="28"/>
      <c r="F38" s="27"/>
      <c r="G38" s="28"/>
      <c r="H38" s="27"/>
      <c r="I38" s="28"/>
      <c r="J38" s="27">
        <v>6</v>
      </c>
      <c r="K38" s="29" t="s">
        <v>345</v>
      </c>
      <c r="L38" s="39"/>
      <c r="M38" s="31"/>
      <c r="N38" s="27" t="s">
        <v>240</v>
      </c>
      <c r="O38" s="307"/>
      <c r="P38" s="32"/>
      <c r="Q38" s="25"/>
      <c r="R38" s="27"/>
      <c r="S38" s="27"/>
      <c r="T38" s="28"/>
      <c r="U38" s="27"/>
      <c r="V38" s="27" t="s">
        <v>154</v>
      </c>
      <c r="W38" s="28"/>
      <c r="X38" s="33"/>
      <c r="Y38" s="32"/>
      <c r="Z38" s="25"/>
      <c r="AA38" s="27"/>
      <c r="AB38" s="28"/>
      <c r="AC38" s="27"/>
      <c r="AD38" s="27"/>
      <c r="AE38" s="33"/>
      <c r="AG38" s="25"/>
      <c r="AH38" s="34"/>
      <c r="AI38" s="27"/>
      <c r="AJ38" s="27"/>
      <c r="AK38" s="27"/>
      <c r="AL38" s="25"/>
      <c r="AM38" s="34"/>
      <c r="AN38" s="27"/>
      <c r="AO38" s="27"/>
      <c r="AP38" s="36"/>
      <c r="AQ38" s="37"/>
      <c r="AR38" s="32" t="s">
        <v>293</v>
      </c>
      <c r="AS38" s="25" t="s">
        <v>72</v>
      </c>
      <c r="AT38" s="27" t="s">
        <v>52</v>
      </c>
      <c r="AU38" s="27"/>
      <c r="AW38" s="25"/>
      <c r="AX38" s="27"/>
      <c r="AY38" s="27"/>
      <c r="AZ38" s="32"/>
      <c r="BA38" s="41"/>
    </row>
    <row r="39" spans="1:53" s="87" customFormat="1" ht="16" thickBot="1" x14ac:dyDescent="0.25">
      <c r="A39" s="25">
        <v>30</v>
      </c>
      <c r="B39" s="26">
        <v>45400</v>
      </c>
      <c r="C39" s="27"/>
      <c r="D39" s="25"/>
      <c r="E39" s="28"/>
      <c r="F39" s="27"/>
      <c r="G39" s="28"/>
      <c r="H39" s="27"/>
      <c r="I39" s="28"/>
      <c r="J39" s="27">
        <v>6</v>
      </c>
      <c r="K39" s="29" t="s">
        <v>346</v>
      </c>
      <c r="L39" s="39"/>
      <c r="M39" s="31"/>
      <c r="N39" s="27" t="s">
        <v>240</v>
      </c>
      <c r="O39" s="307"/>
      <c r="Q39" s="83"/>
      <c r="R39" s="83"/>
      <c r="S39" s="83"/>
      <c r="T39" s="83"/>
      <c r="U39" s="83"/>
      <c r="V39" s="83" t="s">
        <v>154</v>
      </c>
      <c r="W39" s="83"/>
      <c r="X39" s="83"/>
      <c r="Z39" s="83"/>
      <c r="AA39" s="83"/>
      <c r="AB39" s="83"/>
      <c r="AC39" s="83"/>
      <c r="AD39" s="83"/>
      <c r="AE39" s="83"/>
      <c r="AG39" s="83"/>
      <c r="AH39" s="83"/>
      <c r="AI39" s="83"/>
      <c r="AJ39" s="83"/>
      <c r="AK39" s="83"/>
      <c r="AL39" s="83"/>
      <c r="AM39" s="83"/>
      <c r="AN39" s="83"/>
      <c r="AO39" s="83"/>
      <c r="AP39" s="83"/>
      <c r="AR39" s="190" t="s">
        <v>294</v>
      </c>
      <c r="AS39" s="83" t="s">
        <v>72</v>
      </c>
      <c r="AT39" s="83" t="s">
        <v>52</v>
      </c>
      <c r="AU39" s="83"/>
      <c r="AW39" s="83"/>
      <c r="AX39" s="83"/>
      <c r="AY39" s="83"/>
      <c r="BA39" s="83"/>
    </row>
    <row r="40" spans="1:53" x14ac:dyDescent="0.2">
      <c r="A40" s="25">
        <v>31</v>
      </c>
      <c r="B40" s="26">
        <v>45401</v>
      </c>
      <c r="C40" s="27"/>
      <c r="D40" s="25"/>
      <c r="E40" s="28"/>
      <c r="F40" s="27"/>
      <c r="G40" s="28"/>
      <c r="H40" s="27"/>
      <c r="I40" s="28"/>
      <c r="J40" s="202">
        <v>45357</v>
      </c>
      <c r="K40" s="29" t="s">
        <v>347</v>
      </c>
      <c r="L40" s="39"/>
      <c r="M40" s="31"/>
      <c r="N40" s="27" t="s">
        <v>272</v>
      </c>
      <c r="O40" s="307"/>
      <c r="P40" s="32"/>
      <c r="Q40" s="25"/>
      <c r="R40" s="27"/>
      <c r="S40" s="27"/>
      <c r="T40" s="28"/>
      <c r="U40" s="27"/>
      <c r="V40" s="27" t="s">
        <v>154</v>
      </c>
      <c r="W40" s="28"/>
      <c r="X40" s="33"/>
      <c r="Y40" s="32"/>
      <c r="Z40" s="25"/>
      <c r="AA40" s="27"/>
      <c r="AB40" s="28"/>
      <c r="AC40" s="27"/>
      <c r="AD40" s="27"/>
      <c r="AE40" s="33"/>
      <c r="AG40" s="25"/>
      <c r="AH40" s="34"/>
      <c r="AI40" s="27"/>
      <c r="AJ40" s="27"/>
      <c r="AK40" s="27"/>
      <c r="AL40" s="25"/>
      <c r="AM40" s="34"/>
      <c r="AN40" s="27"/>
      <c r="AO40" s="27"/>
      <c r="AP40" s="36"/>
      <c r="AQ40" s="37"/>
      <c r="AR40" s="66"/>
      <c r="AS40" s="25" t="s">
        <v>72</v>
      </c>
      <c r="AT40" s="27" t="s">
        <v>52</v>
      </c>
      <c r="AU40" s="27"/>
      <c r="AW40" s="25"/>
      <c r="AX40" s="27"/>
      <c r="AY40" s="27"/>
      <c r="AZ40" s="32"/>
      <c r="BA40" s="41"/>
    </row>
    <row r="41" spans="1:53" x14ac:dyDescent="0.2">
      <c r="A41" s="25">
        <v>32</v>
      </c>
      <c r="B41" s="26">
        <v>45402</v>
      </c>
      <c r="C41" s="27"/>
      <c r="D41" s="25"/>
      <c r="E41" s="28"/>
      <c r="F41" s="27"/>
      <c r="G41" s="28"/>
      <c r="H41" s="27"/>
      <c r="I41" s="28"/>
      <c r="J41" s="202">
        <v>45357</v>
      </c>
      <c r="K41" s="29" t="s">
        <v>35</v>
      </c>
      <c r="L41" s="39"/>
      <c r="M41" s="31"/>
      <c r="N41" s="27" t="s">
        <v>272</v>
      </c>
      <c r="O41" s="307"/>
      <c r="P41" s="32"/>
      <c r="Q41" s="25"/>
      <c r="R41" s="27"/>
      <c r="S41" s="27"/>
      <c r="T41" s="28"/>
      <c r="U41" s="27"/>
      <c r="V41" s="27" t="s">
        <v>154</v>
      </c>
      <c r="W41" s="28"/>
      <c r="X41" s="33"/>
      <c r="Y41" s="32"/>
      <c r="Z41" s="25"/>
      <c r="AA41" s="27"/>
      <c r="AB41" s="28"/>
      <c r="AC41" s="27"/>
      <c r="AD41" s="27"/>
      <c r="AE41" s="33"/>
      <c r="AG41" s="25"/>
      <c r="AH41" s="34"/>
      <c r="AI41" s="27"/>
      <c r="AJ41" s="27"/>
      <c r="AK41" s="27"/>
      <c r="AL41" s="25"/>
      <c r="AM41" s="34"/>
      <c r="AN41" s="27"/>
      <c r="AO41" s="27"/>
      <c r="AP41" s="36"/>
      <c r="AQ41" s="37"/>
      <c r="AR41" s="32"/>
      <c r="AS41" s="25" t="s">
        <v>72</v>
      </c>
      <c r="AT41" s="27" t="s">
        <v>52</v>
      </c>
      <c r="AU41" s="27"/>
      <c r="AW41" s="25"/>
      <c r="AX41" s="27"/>
      <c r="AY41" s="27"/>
      <c r="AZ41" s="32"/>
      <c r="BA41" s="41"/>
    </row>
    <row r="42" spans="1:53" x14ac:dyDescent="0.2">
      <c r="A42" s="25">
        <v>33</v>
      </c>
      <c r="B42" s="26">
        <v>45403</v>
      </c>
      <c r="C42" s="27"/>
      <c r="D42" s="25"/>
      <c r="E42" s="28"/>
      <c r="F42" s="27"/>
      <c r="G42" s="28"/>
      <c r="H42" s="27"/>
      <c r="I42" s="28"/>
      <c r="J42" s="202">
        <v>45357</v>
      </c>
      <c r="K42" s="29" t="s">
        <v>35</v>
      </c>
      <c r="L42" s="39"/>
      <c r="M42" s="31"/>
      <c r="N42" s="27" t="s">
        <v>272</v>
      </c>
      <c r="O42" s="307"/>
      <c r="P42" s="32"/>
      <c r="Q42" s="25"/>
      <c r="R42" s="27"/>
      <c r="S42" s="27"/>
      <c r="T42" s="28"/>
      <c r="U42" s="27"/>
      <c r="V42" s="27" t="s">
        <v>154</v>
      </c>
      <c r="W42" s="28"/>
      <c r="X42" s="33"/>
      <c r="Y42" s="32"/>
      <c r="Z42" s="25"/>
      <c r="AA42" s="27"/>
      <c r="AB42" s="28"/>
      <c r="AC42" s="27"/>
      <c r="AD42" s="27"/>
      <c r="AE42" s="33"/>
      <c r="AG42" s="25"/>
      <c r="AH42" s="34"/>
      <c r="AI42" s="27"/>
      <c r="AJ42" s="27"/>
      <c r="AK42" s="27"/>
      <c r="AL42" s="25"/>
      <c r="AM42" s="34"/>
      <c r="AN42" s="27"/>
      <c r="AO42" s="27"/>
      <c r="AP42" s="36"/>
      <c r="AQ42" s="37"/>
      <c r="AR42" s="32"/>
      <c r="AS42" s="25" t="s">
        <v>72</v>
      </c>
      <c r="AT42" s="27" t="s">
        <v>52</v>
      </c>
      <c r="AW42" s="25"/>
      <c r="AX42" s="27"/>
      <c r="AY42" s="27"/>
      <c r="AZ42" s="32"/>
      <c r="BA42" s="41"/>
    </row>
    <row r="43" spans="1:53" ht="16" thickBot="1" x14ac:dyDescent="0.25">
      <c r="A43" s="25">
        <v>34</v>
      </c>
      <c r="B43" s="26">
        <v>45404</v>
      </c>
      <c r="C43" s="27"/>
      <c r="D43" s="25"/>
      <c r="E43" s="28"/>
      <c r="F43" s="27"/>
      <c r="G43" s="28"/>
      <c r="H43" s="27"/>
      <c r="I43" s="28"/>
      <c r="J43" s="202">
        <v>45357</v>
      </c>
      <c r="K43" s="29" t="s">
        <v>35</v>
      </c>
      <c r="L43" s="39"/>
      <c r="M43" s="31"/>
      <c r="N43" s="27" t="s">
        <v>272</v>
      </c>
      <c r="O43" s="307"/>
      <c r="P43" s="32"/>
      <c r="Q43" s="25"/>
      <c r="R43" s="27"/>
      <c r="S43" s="27"/>
      <c r="T43" s="28"/>
      <c r="U43" s="27"/>
      <c r="V43" s="27" t="s">
        <v>154</v>
      </c>
      <c r="W43" s="28"/>
      <c r="X43" s="33"/>
      <c r="Y43" s="32"/>
      <c r="Z43" s="25"/>
      <c r="AA43" s="27"/>
      <c r="AB43" s="28"/>
      <c r="AC43" s="27"/>
      <c r="AD43" s="27"/>
      <c r="AE43" s="33"/>
      <c r="AG43" s="25"/>
      <c r="AH43" s="34"/>
      <c r="AI43" s="27"/>
      <c r="AJ43" s="27"/>
      <c r="AK43" s="27"/>
      <c r="AL43" s="25"/>
      <c r="AM43" s="34"/>
      <c r="AN43" s="27"/>
      <c r="AO43" s="27"/>
      <c r="AP43" s="36"/>
      <c r="AQ43" s="37"/>
      <c r="AR43" s="32"/>
      <c r="AS43" s="25" t="s">
        <v>72</v>
      </c>
      <c r="AT43" s="27" t="s">
        <v>52</v>
      </c>
      <c r="AU43" s="27"/>
      <c r="AW43" s="25"/>
      <c r="AX43" s="27"/>
      <c r="AY43" s="27"/>
      <c r="AZ43" s="32"/>
      <c r="BA43" s="41"/>
    </row>
    <row r="44" spans="1:53" ht="16" thickBot="1" x14ac:dyDescent="0.25">
      <c r="A44" s="25">
        <v>35</v>
      </c>
      <c r="B44" s="26">
        <v>45405</v>
      </c>
      <c r="C44" s="27"/>
      <c r="D44" s="25"/>
      <c r="E44" s="28"/>
      <c r="F44" s="27"/>
      <c r="G44" s="28"/>
      <c r="H44" s="27"/>
      <c r="I44" s="28"/>
      <c r="J44" s="202">
        <v>45357</v>
      </c>
      <c r="K44" s="29" t="s">
        <v>35</v>
      </c>
      <c r="L44" s="39"/>
      <c r="M44" s="31"/>
      <c r="N44" s="27" t="s">
        <v>272</v>
      </c>
      <c r="O44" s="307"/>
      <c r="P44" s="32"/>
      <c r="Q44" s="25"/>
      <c r="R44" s="27"/>
      <c r="S44" s="27"/>
      <c r="T44" s="28"/>
      <c r="U44" s="27"/>
      <c r="V44" s="27" t="s">
        <v>154</v>
      </c>
      <c r="W44" s="28"/>
      <c r="X44" s="33"/>
      <c r="Y44" s="32"/>
      <c r="Z44" s="25"/>
      <c r="AA44" s="27"/>
      <c r="AB44" s="28"/>
      <c r="AC44" s="27"/>
      <c r="AD44" s="27"/>
      <c r="AE44" s="33"/>
      <c r="AG44" s="25"/>
      <c r="AH44" s="34"/>
      <c r="AI44" s="27"/>
      <c r="AJ44" s="27"/>
      <c r="AK44" s="27"/>
      <c r="AL44" s="25"/>
      <c r="AM44" s="34"/>
      <c r="AN44" s="27"/>
      <c r="AO44" s="27"/>
      <c r="AP44" s="36"/>
      <c r="AQ44" s="37"/>
      <c r="AR44" s="32"/>
      <c r="AS44" s="25" t="s">
        <v>72</v>
      </c>
      <c r="AT44" s="27" t="s">
        <v>52</v>
      </c>
      <c r="AU44" s="58" t="s">
        <v>77</v>
      </c>
      <c r="AW44" s="27" t="s">
        <v>325</v>
      </c>
      <c r="AX44" s="27" t="s">
        <v>91</v>
      </c>
      <c r="AY44" s="27"/>
      <c r="AZ44" s="32"/>
      <c r="BA44" s="41"/>
    </row>
    <row r="45" spans="1:53" ht="16" thickBot="1" x14ac:dyDescent="0.25">
      <c r="A45" s="25">
        <v>36</v>
      </c>
      <c r="B45" s="26">
        <v>45406</v>
      </c>
      <c r="C45" s="27"/>
      <c r="D45" s="25"/>
      <c r="E45" s="28"/>
      <c r="F45" s="27"/>
      <c r="G45" s="28"/>
      <c r="H45" s="27"/>
      <c r="I45" s="28"/>
      <c r="J45" s="202">
        <v>45357</v>
      </c>
      <c r="K45" s="29" t="s">
        <v>35</v>
      </c>
      <c r="L45" s="53"/>
      <c r="M45" s="31"/>
      <c r="N45" s="27" t="s">
        <v>272</v>
      </c>
      <c r="O45" s="307"/>
      <c r="P45" s="32"/>
      <c r="Q45" s="25"/>
      <c r="R45" s="27"/>
      <c r="S45" s="27"/>
      <c r="T45" s="28"/>
      <c r="U45" s="27"/>
      <c r="V45" s="27" t="s">
        <v>154</v>
      </c>
      <c r="W45" s="28"/>
      <c r="X45" s="33"/>
      <c r="Y45" s="32"/>
      <c r="Z45" s="25"/>
      <c r="AA45" s="27"/>
      <c r="AB45" s="28"/>
      <c r="AC45" s="27"/>
      <c r="AD45" s="27"/>
      <c r="AE45" s="33"/>
      <c r="AG45" s="25"/>
      <c r="AH45" s="34"/>
      <c r="AI45" s="27"/>
      <c r="AJ45" s="27"/>
      <c r="AK45" s="27"/>
      <c r="AL45" s="25"/>
      <c r="AM45" s="34"/>
      <c r="AN45" s="27"/>
      <c r="AO45" s="27"/>
      <c r="AP45" s="36"/>
      <c r="AQ45" s="37"/>
      <c r="AR45" s="32"/>
      <c r="AS45" s="25" t="s">
        <v>78</v>
      </c>
      <c r="AT45" s="27" t="s">
        <v>52</v>
      </c>
      <c r="AW45" s="27" t="s">
        <v>325</v>
      </c>
      <c r="AX45" s="27" t="s">
        <v>91</v>
      </c>
      <c r="AY45" s="27"/>
      <c r="AZ45" s="32"/>
      <c r="BA45" s="41"/>
    </row>
    <row r="46" spans="1:53" ht="16" thickBot="1" x14ac:dyDescent="0.25">
      <c r="A46" s="25">
        <v>37</v>
      </c>
      <c r="B46" s="26">
        <v>45407</v>
      </c>
      <c r="C46" s="27"/>
      <c r="D46" s="25"/>
      <c r="E46" s="28"/>
      <c r="F46" s="27"/>
      <c r="G46" s="28"/>
      <c r="H46" s="27"/>
      <c r="I46" s="28"/>
      <c r="J46" s="202">
        <v>45357</v>
      </c>
      <c r="K46" s="29" t="s">
        <v>35</v>
      </c>
      <c r="L46" s="53"/>
      <c r="M46" s="31"/>
      <c r="N46" s="27" t="s">
        <v>272</v>
      </c>
      <c r="O46" s="307"/>
      <c r="P46" s="32"/>
      <c r="Q46" s="25"/>
      <c r="R46" s="27"/>
      <c r="S46" s="27"/>
      <c r="T46" s="28"/>
      <c r="U46" s="27"/>
      <c r="V46" s="27" t="s">
        <v>154</v>
      </c>
      <c r="W46" s="28"/>
      <c r="X46" s="33"/>
      <c r="Y46" s="32"/>
      <c r="Z46" s="59"/>
      <c r="AA46" s="60"/>
      <c r="AB46" s="61"/>
      <c r="AC46" s="27"/>
      <c r="AD46" s="27"/>
      <c r="AE46" s="33"/>
      <c r="AG46" s="25"/>
      <c r="AH46" s="34"/>
      <c r="AI46" s="27"/>
      <c r="AJ46" s="27"/>
      <c r="AK46" s="27"/>
      <c r="AL46" s="25"/>
      <c r="AM46" s="34"/>
      <c r="AN46" s="27"/>
      <c r="AO46" s="27"/>
      <c r="AP46" s="36"/>
      <c r="AQ46" s="37"/>
      <c r="AR46" s="32"/>
      <c r="AS46" s="25" t="s">
        <v>78</v>
      </c>
      <c r="AT46" s="27" t="s">
        <v>52</v>
      </c>
      <c r="AU46" s="27"/>
      <c r="AW46" s="27" t="s">
        <v>325</v>
      </c>
      <c r="AX46" s="27" t="s">
        <v>91</v>
      </c>
      <c r="AY46" s="27"/>
      <c r="AZ46" s="32"/>
      <c r="BA46" s="41"/>
    </row>
    <row r="47" spans="1:53" x14ac:dyDescent="0.2">
      <c r="A47" s="25">
        <v>38</v>
      </c>
      <c r="B47" s="26">
        <v>45408</v>
      </c>
      <c r="C47" s="27"/>
      <c r="D47" s="25"/>
      <c r="E47" s="28"/>
      <c r="F47" s="27"/>
      <c r="G47" s="28"/>
      <c r="H47" s="27"/>
      <c r="I47" s="28"/>
      <c r="J47" s="202">
        <v>45357</v>
      </c>
      <c r="K47" s="29" t="s">
        <v>35</v>
      </c>
      <c r="L47" s="39"/>
      <c r="M47" s="31"/>
      <c r="N47" s="27" t="s">
        <v>272</v>
      </c>
      <c r="O47" s="307"/>
      <c r="P47" s="32"/>
      <c r="Q47" s="25"/>
      <c r="R47" s="27"/>
      <c r="S47" s="27"/>
      <c r="T47" s="28"/>
      <c r="U47" s="27"/>
      <c r="V47" s="27" t="s">
        <v>154</v>
      </c>
      <c r="W47" s="28"/>
      <c r="X47" s="33"/>
      <c r="Y47" s="32"/>
      <c r="Z47" s="25"/>
      <c r="AA47" s="27"/>
      <c r="AB47" s="28"/>
      <c r="AC47" s="27"/>
      <c r="AD47" s="27"/>
      <c r="AE47" s="33"/>
      <c r="AG47" s="25"/>
      <c r="AH47" s="34"/>
      <c r="AI47" s="27"/>
      <c r="AJ47" s="27"/>
      <c r="AK47" s="27"/>
      <c r="AL47" s="25"/>
      <c r="AM47" s="34"/>
      <c r="AN47" s="27"/>
      <c r="AO47" s="27"/>
      <c r="AP47" s="36"/>
      <c r="AQ47" s="37"/>
      <c r="AR47" s="32"/>
      <c r="AS47" s="25" t="s">
        <v>78</v>
      </c>
      <c r="AT47" s="27" t="s">
        <v>52</v>
      </c>
      <c r="AU47" s="27"/>
      <c r="AW47" s="27" t="s">
        <v>325</v>
      </c>
      <c r="AX47" s="27" t="s">
        <v>91</v>
      </c>
      <c r="AY47" s="27"/>
      <c r="AZ47" s="32"/>
      <c r="BA47" s="41"/>
    </row>
    <row r="48" spans="1:53" ht="16" thickBot="1" x14ac:dyDescent="0.25">
      <c r="A48" s="25">
        <v>39</v>
      </c>
      <c r="B48" s="26">
        <v>45409</v>
      </c>
      <c r="C48" s="27"/>
      <c r="D48" s="25"/>
      <c r="E48" s="28"/>
      <c r="F48" s="27"/>
      <c r="G48" s="28"/>
      <c r="H48" s="27"/>
      <c r="I48" s="28"/>
      <c r="J48" s="202">
        <v>45357</v>
      </c>
      <c r="K48" s="29" t="s">
        <v>35</v>
      </c>
      <c r="M48" s="31"/>
      <c r="N48" s="27" t="s">
        <v>272</v>
      </c>
      <c r="O48" s="307"/>
      <c r="P48" s="32"/>
      <c r="Q48" s="25"/>
      <c r="R48" s="27"/>
      <c r="S48" s="27"/>
      <c r="T48" s="28"/>
      <c r="U48" s="27"/>
      <c r="V48" s="27" t="s">
        <v>154</v>
      </c>
      <c r="W48" s="28"/>
      <c r="X48" s="33"/>
      <c r="Y48" s="32"/>
      <c r="Z48" s="25"/>
      <c r="AA48" s="27"/>
      <c r="AB48" s="28"/>
      <c r="AC48" s="27"/>
      <c r="AD48" s="27"/>
      <c r="AE48" s="33"/>
      <c r="AG48" s="25"/>
      <c r="AH48" s="34"/>
      <c r="AI48" s="27"/>
      <c r="AJ48" s="27"/>
      <c r="AK48" s="27"/>
      <c r="AL48" s="25"/>
      <c r="AM48" s="34"/>
      <c r="AN48" s="27"/>
      <c r="AO48" s="27"/>
      <c r="AP48" s="36"/>
      <c r="AQ48" s="37"/>
      <c r="AR48" s="32"/>
      <c r="AS48" s="25" t="s">
        <v>78</v>
      </c>
      <c r="AT48" s="27" t="s">
        <v>52</v>
      </c>
      <c r="AU48" s="27"/>
      <c r="AW48" s="27" t="s">
        <v>325</v>
      </c>
      <c r="AX48" s="27" t="s">
        <v>91</v>
      </c>
      <c r="AY48" s="27"/>
      <c r="AZ48" s="32"/>
      <c r="BA48" s="41"/>
    </row>
    <row r="49" spans="1:53" ht="16" thickBot="1" x14ac:dyDescent="0.25">
      <c r="A49" s="25">
        <v>40</v>
      </c>
      <c r="B49" s="26">
        <v>45410</v>
      </c>
      <c r="C49" s="27"/>
      <c r="D49" s="25"/>
      <c r="E49" s="28"/>
      <c r="F49" s="27"/>
      <c r="G49" s="28"/>
      <c r="H49" s="27"/>
      <c r="I49" s="28"/>
      <c r="J49" s="202">
        <v>45357</v>
      </c>
      <c r="K49" s="29" t="s">
        <v>35</v>
      </c>
      <c r="L49" s="53"/>
      <c r="M49" s="31"/>
      <c r="N49" s="27" t="s">
        <v>272</v>
      </c>
      <c r="O49" s="308"/>
      <c r="Q49" s="25"/>
      <c r="R49" s="27"/>
      <c r="S49" s="27"/>
      <c r="T49" s="28"/>
      <c r="U49" s="27"/>
      <c r="V49" s="27" t="s">
        <v>154</v>
      </c>
      <c r="W49" s="28"/>
      <c r="X49" s="33"/>
      <c r="Y49" s="32"/>
      <c r="Z49" s="59"/>
      <c r="AA49" s="60"/>
      <c r="AB49" s="61"/>
      <c r="AC49" s="27"/>
      <c r="AD49" s="27"/>
      <c r="AE49" s="33"/>
      <c r="AG49" s="25"/>
      <c r="AH49" s="34"/>
      <c r="AI49" s="27"/>
      <c r="AJ49" s="27"/>
      <c r="AK49" s="27"/>
      <c r="AL49" s="25"/>
      <c r="AM49" s="34"/>
      <c r="AN49" s="27"/>
      <c r="AO49" s="27"/>
      <c r="AP49" s="36"/>
      <c r="AQ49" s="37"/>
      <c r="AR49" s="32"/>
      <c r="AS49" s="25" t="s">
        <v>79</v>
      </c>
      <c r="AT49" s="27" t="s">
        <v>52</v>
      </c>
      <c r="AU49" s="58" t="s">
        <v>80</v>
      </c>
      <c r="AW49" s="27" t="s">
        <v>325</v>
      </c>
      <c r="AX49" s="27" t="s">
        <v>91</v>
      </c>
      <c r="AY49" s="27"/>
      <c r="AZ49" s="32"/>
      <c r="BA49" s="41"/>
    </row>
    <row r="50" spans="1:53" x14ac:dyDescent="0.2">
      <c r="A50" s="25">
        <v>41</v>
      </c>
      <c r="B50" s="26">
        <v>45411</v>
      </c>
      <c r="C50" s="27"/>
      <c r="D50" s="25"/>
      <c r="E50" s="28"/>
      <c r="F50" s="27"/>
      <c r="G50" s="28"/>
      <c r="H50" s="27"/>
      <c r="I50" s="28"/>
      <c r="J50" s="202">
        <v>45357</v>
      </c>
      <c r="K50" s="29" t="s">
        <v>35</v>
      </c>
      <c r="M50" s="31"/>
      <c r="N50" s="27" t="s">
        <v>272</v>
      </c>
      <c r="P50" s="32"/>
      <c r="Q50" s="25"/>
      <c r="R50" s="27"/>
      <c r="S50" s="27"/>
      <c r="T50" s="28"/>
      <c r="U50" s="27"/>
      <c r="V50" s="27" t="s">
        <v>154</v>
      </c>
      <c r="W50" s="28"/>
      <c r="X50" s="33"/>
      <c r="Y50" s="32"/>
      <c r="Z50" s="25"/>
      <c r="AA50" s="27"/>
      <c r="AB50" s="28"/>
      <c r="AC50" s="27"/>
      <c r="AD50" s="27"/>
      <c r="AE50" s="33"/>
      <c r="AG50" s="25"/>
      <c r="AH50" s="34"/>
      <c r="AI50" s="27"/>
      <c r="AJ50" s="27"/>
      <c r="AK50" s="27"/>
      <c r="AL50" s="25"/>
      <c r="AM50" s="34"/>
      <c r="AN50" s="27"/>
      <c r="AO50" s="27"/>
      <c r="AP50" s="36"/>
      <c r="AQ50" s="37"/>
      <c r="AR50" s="32"/>
      <c r="AS50" s="25" t="s">
        <v>79</v>
      </c>
      <c r="AT50" s="27" t="s">
        <v>52</v>
      </c>
      <c r="AU50" s="27"/>
      <c r="AW50" s="27" t="s">
        <v>325</v>
      </c>
      <c r="AX50" s="27" t="s">
        <v>91</v>
      </c>
      <c r="AY50" s="27"/>
      <c r="AZ50" s="32"/>
      <c r="BA50" s="41"/>
    </row>
    <row r="51" spans="1:53" x14ac:dyDescent="0.2">
      <c r="A51" s="25">
        <v>42</v>
      </c>
      <c r="B51" s="26">
        <v>45412</v>
      </c>
      <c r="C51" s="27"/>
      <c r="D51" s="25"/>
      <c r="E51" s="28"/>
      <c r="F51" s="27"/>
      <c r="G51" s="28"/>
      <c r="H51" s="27"/>
      <c r="I51" s="28"/>
      <c r="J51" s="202">
        <v>45357</v>
      </c>
      <c r="K51" s="29" t="s">
        <v>35</v>
      </c>
      <c r="L51" s="39"/>
      <c r="M51" s="31"/>
      <c r="N51" s="27" t="s">
        <v>272</v>
      </c>
      <c r="P51" s="32"/>
      <c r="Q51" s="25"/>
      <c r="R51" s="27"/>
      <c r="S51" s="27"/>
      <c r="T51" s="28"/>
      <c r="U51" s="27"/>
      <c r="V51" s="27" t="s">
        <v>154</v>
      </c>
      <c r="W51" s="28"/>
      <c r="X51" s="33"/>
      <c r="Y51" s="32"/>
      <c r="Z51" s="25"/>
      <c r="AA51" s="27"/>
      <c r="AB51" s="28"/>
      <c r="AC51" s="27"/>
      <c r="AD51" s="27"/>
      <c r="AE51" s="33"/>
      <c r="AG51" s="25"/>
      <c r="AH51" s="34"/>
      <c r="AI51" s="27"/>
      <c r="AJ51" s="27"/>
      <c r="AK51" s="27"/>
      <c r="AL51" s="25"/>
      <c r="AM51" s="34"/>
      <c r="AN51" s="27"/>
      <c r="AO51" s="27"/>
      <c r="AP51" s="36"/>
      <c r="AQ51" s="37"/>
      <c r="AR51" s="32"/>
      <c r="AS51" s="25" t="s">
        <v>79</v>
      </c>
      <c r="AT51" s="27" t="s">
        <v>52</v>
      </c>
      <c r="AU51" s="27"/>
      <c r="AW51" s="27" t="s">
        <v>325</v>
      </c>
      <c r="AX51" s="27" t="s">
        <v>91</v>
      </c>
      <c r="AY51" s="27"/>
      <c r="AZ51" s="32"/>
      <c r="BA51" s="41"/>
    </row>
    <row r="52" spans="1:53" ht="16" thickBot="1" x14ac:dyDescent="0.25">
      <c r="A52" s="25">
        <v>43</v>
      </c>
      <c r="B52" s="26">
        <v>45413</v>
      </c>
      <c r="C52" s="27"/>
      <c r="D52" s="25"/>
      <c r="E52" s="28"/>
      <c r="F52" s="27"/>
      <c r="G52" s="28"/>
      <c r="H52" s="27"/>
      <c r="I52" s="28"/>
      <c r="J52" s="202">
        <v>45357</v>
      </c>
      <c r="K52" s="29" t="s">
        <v>35</v>
      </c>
      <c r="L52" s="39"/>
      <c r="M52" s="31"/>
      <c r="N52" s="27" t="s">
        <v>272</v>
      </c>
      <c r="P52" s="32"/>
      <c r="Q52" s="25"/>
      <c r="R52" s="27"/>
      <c r="S52" s="27"/>
      <c r="T52" s="28"/>
      <c r="U52" s="27"/>
      <c r="V52" s="27" t="s">
        <v>154</v>
      </c>
      <c r="W52" s="28"/>
      <c r="X52" s="33"/>
      <c r="Y52" s="32"/>
      <c r="Z52" s="25"/>
      <c r="AA52" s="27"/>
      <c r="AB52" s="28"/>
      <c r="AC52" s="27"/>
      <c r="AD52" s="27"/>
      <c r="AE52" s="33"/>
      <c r="AG52" s="25"/>
      <c r="AH52" s="34"/>
      <c r="AI52" s="27"/>
      <c r="AJ52" s="27"/>
      <c r="AK52" s="27"/>
      <c r="AL52" s="25"/>
      <c r="AM52" s="34"/>
      <c r="AN52" s="27"/>
      <c r="AO52" s="27"/>
      <c r="AP52" s="36"/>
      <c r="AQ52" s="37"/>
      <c r="AR52" s="32"/>
      <c r="AS52" s="25" t="s">
        <v>79</v>
      </c>
      <c r="AT52" s="27" t="s">
        <v>52</v>
      </c>
      <c r="AU52" s="27"/>
      <c r="AW52" s="27" t="s">
        <v>325</v>
      </c>
      <c r="AX52" s="27" t="s">
        <v>91</v>
      </c>
      <c r="AY52" s="27"/>
      <c r="AZ52" s="32"/>
      <c r="BA52" s="41"/>
    </row>
    <row r="53" spans="1:53" ht="16" thickBot="1" x14ac:dyDescent="0.25">
      <c r="A53" s="25">
        <v>44</v>
      </c>
      <c r="B53" s="26">
        <v>45414</v>
      </c>
      <c r="C53" s="27"/>
      <c r="D53" s="25"/>
      <c r="E53" s="28"/>
      <c r="F53" s="27"/>
      <c r="G53" s="28"/>
      <c r="H53" s="27"/>
      <c r="I53" s="28"/>
      <c r="J53" s="202">
        <v>45357</v>
      </c>
      <c r="K53" s="29" t="s">
        <v>35</v>
      </c>
      <c r="L53" s="39"/>
      <c r="M53" s="31"/>
      <c r="N53" s="27" t="s">
        <v>272</v>
      </c>
      <c r="P53" s="32"/>
      <c r="Q53" s="27"/>
      <c r="R53" s="27"/>
      <c r="S53" s="27"/>
      <c r="T53" s="28"/>
      <c r="U53" s="27"/>
      <c r="V53" s="27" t="s">
        <v>154</v>
      </c>
      <c r="W53" s="28"/>
      <c r="X53" s="33"/>
      <c r="Y53" s="32"/>
      <c r="Z53" s="59"/>
      <c r="AA53" s="60"/>
      <c r="AB53" s="61"/>
      <c r="AC53" s="27"/>
      <c r="AD53" s="27"/>
      <c r="AE53" s="33"/>
      <c r="AG53" s="25"/>
      <c r="AH53" s="34"/>
      <c r="AI53" s="27"/>
      <c r="AJ53" s="27"/>
      <c r="AK53" s="27"/>
      <c r="AL53" s="25"/>
      <c r="AM53" s="34"/>
      <c r="AN53" s="27"/>
      <c r="AO53" s="27"/>
      <c r="AP53" s="36"/>
      <c r="AQ53" s="37"/>
      <c r="AR53" s="32"/>
      <c r="AS53" s="25" t="s">
        <v>79</v>
      </c>
      <c r="AT53" s="27" t="s">
        <v>52</v>
      </c>
      <c r="AU53" s="58" t="s">
        <v>81</v>
      </c>
      <c r="AW53" s="27" t="s">
        <v>325</v>
      </c>
      <c r="AX53" s="27" t="s">
        <v>303</v>
      </c>
      <c r="AY53" s="27"/>
      <c r="AZ53" s="32"/>
      <c r="BA53" s="41"/>
    </row>
    <row r="54" spans="1:53" x14ac:dyDescent="0.2">
      <c r="A54" s="25">
        <v>45</v>
      </c>
      <c r="B54" s="26">
        <v>45415</v>
      </c>
      <c r="C54" s="27"/>
      <c r="D54" s="25"/>
      <c r="E54" s="28"/>
      <c r="F54" s="27"/>
      <c r="G54" s="28"/>
      <c r="H54" s="27"/>
      <c r="I54" s="28"/>
      <c r="J54" s="202">
        <v>45357</v>
      </c>
      <c r="K54" s="29" t="s">
        <v>35</v>
      </c>
      <c r="L54" s="39"/>
      <c r="M54" s="31"/>
      <c r="N54" s="27" t="s">
        <v>272</v>
      </c>
      <c r="P54" s="32"/>
      <c r="Q54" s="25"/>
      <c r="R54" s="27"/>
      <c r="S54" s="27"/>
      <c r="T54" s="28"/>
      <c r="U54" s="27"/>
      <c r="V54" s="27" t="s">
        <v>154</v>
      </c>
      <c r="W54" s="28"/>
      <c r="X54" s="33"/>
      <c r="Y54" s="32"/>
      <c r="Z54" s="25"/>
      <c r="AA54" s="27"/>
      <c r="AB54" s="28"/>
      <c r="AC54" s="27"/>
      <c r="AD54" s="27"/>
      <c r="AE54" s="33"/>
      <c r="AG54" s="25"/>
      <c r="AH54" s="34"/>
      <c r="AI54" s="27"/>
      <c r="AJ54" s="27"/>
      <c r="AK54" s="27"/>
      <c r="AL54" s="25"/>
      <c r="AM54" s="34"/>
      <c r="AN54" s="27"/>
      <c r="AO54" s="27"/>
      <c r="AP54" s="36"/>
      <c r="AQ54" s="37"/>
      <c r="AR54" s="32"/>
      <c r="AS54" s="25" t="s">
        <v>82</v>
      </c>
      <c r="AT54" s="27" t="s">
        <v>52</v>
      </c>
      <c r="AW54" s="27" t="s">
        <v>325</v>
      </c>
      <c r="AX54" s="27" t="s">
        <v>303</v>
      </c>
      <c r="AY54" s="27"/>
      <c r="AZ54" s="32"/>
      <c r="BA54" s="41"/>
    </row>
    <row r="55" spans="1:53" x14ac:dyDescent="0.2">
      <c r="A55" s="25">
        <v>46</v>
      </c>
      <c r="B55" s="26">
        <v>45416</v>
      </c>
      <c r="C55" s="27"/>
      <c r="D55" s="25"/>
      <c r="E55" s="28"/>
      <c r="F55" s="27"/>
      <c r="G55" s="28"/>
      <c r="H55" s="27"/>
      <c r="I55" s="28"/>
      <c r="J55" s="202">
        <v>45357</v>
      </c>
      <c r="K55" s="29" t="s">
        <v>35</v>
      </c>
      <c r="L55" s="39"/>
      <c r="M55" s="31"/>
      <c r="N55" s="27" t="s">
        <v>272</v>
      </c>
      <c r="P55" s="32"/>
      <c r="Q55" s="25"/>
      <c r="R55" s="27"/>
      <c r="S55" s="27"/>
      <c r="T55" s="28"/>
      <c r="U55" s="27"/>
      <c r="V55" s="27" t="s">
        <v>154</v>
      </c>
      <c r="W55" s="28"/>
      <c r="X55" s="33"/>
      <c r="Y55" s="32"/>
      <c r="Z55" s="25"/>
      <c r="AA55" s="27"/>
      <c r="AB55" s="28"/>
      <c r="AC55" s="27"/>
      <c r="AD55" s="27"/>
      <c r="AE55" s="33"/>
      <c r="AG55" s="25"/>
      <c r="AH55" s="34"/>
      <c r="AI55" s="27"/>
      <c r="AJ55" s="27"/>
      <c r="AK55" s="27"/>
      <c r="AL55" s="25"/>
      <c r="AM55" s="34"/>
      <c r="AN55" s="27"/>
      <c r="AO55" s="27"/>
      <c r="AP55" s="36"/>
      <c r="AQ55" s="37"/>
      <c r="AR55" s="32"/>
      <c r="AS55" s="25" t="s">
        <v>82</v>
      </c>
      <c r="AT55" s="27" t="s">
        <v>52</v>
      </c>
      <c r="AU55" s="27"/>
      <c r="AW55" s="27" t="s">
        <v>325</v>
      </c>
      <c r="AX55" s="27" t="s">
        <v>303</v>
      </c>
      <c r="AY55" s="27"/>
      <c r="AZ55" s="32"/>
      <c r="BA55" s="41"/>
    </row>
    <row r="56" spans="1:53" x14ac:dyDescent="0.2">
      <c r="A56" s="25">
        <v>47</v>
      </c>
      <c r="B56" s="26">
        <v>45417</v>
      </c>
      <c r="C56" s="27"/>
      <c r="D56" s="25"/>
      <c r="E56" s="28"/>
      <c r="F56" s="27"/>
      <c r="G56" s="28"/>
      <c r="H56" s="27"/>
      <c r="I56" s="28"/>
      <c r="J56" s="202">
        <v>45357</v>
      </c>
      <c r="K56" s="29" t="s">
        <v>35</v>
      </c>
      <c r="L56" s="39"/>
      <c r="M56" s="31"/>
      <c r="N56" s="27" t="s">
        <v>272</v>
      </c>
      <c r="P56" s="32"/>
      <c r="Q56" s="25"/>
      <c r="R56" s="27"/>
      <c r="S56" s="27"/>
      <c r="T56" s="28"/>
      <c r="U56" s="27"/>
      <c r="V56" s="27" t="s">
        <v>154</v>
      </c>
      <c r="W56" s="28"/>
      <c r="X56" s="33"/>
      <c r="Y56" s="32"/>
      <c r="Z56" s="25"/>
      <c r="AA56" s="27"/>
      <c r="AB56" s="28"/>
      <c r="AC56" s="27"/>
      <c r="AD56" s="27"/>
      <c r="AE56" s="33"/>
      <c r="AG56" s="25"/>
      <c r="AH56" s="34"/>
      <c r="AI56" s="27"/>
      <c r="AJ56" s="27"/>
      <c r="AK56" s="27"/>
      <c r="AL56" s="25"/>
      <c r="AM56" s="34"/>
      <c r="AN56" s="27"/>
      <c r="AO56" s="27"/>
      <c r="AP56" s="36"/>
      <c r="AQ56" s="37"/>
      <c r="AR56" s="32"/>
      <c r="AS56" s="25" t="s">
        <v>82</v>
      </c>
      <c r="AT56" s="27" t="s">
        <v>52</v>
      </c>
      <c r="AU56" s="27"/>
      <c r="AW56" s="27" t="s">
        <v>325</v>
      </c>
      <c r="AX56" s="27" t="s">
        <v>303</v>
      </c>
      <c r="AY56" s="27"/>
      <c r="AZ56" s="32"/>
      <c r="BA56" s="41"/>
    </row>
    <row r="57" spans="1:53" x14ac:dyDescent="0.2">
      <c r="A57" s="25">
        <v>48</v>
      </c>
      <c r="B57" s="26">
        <v>45418</v>
      </c>
      <c r="C57" s="27"/>
      <c r="D57" s="25"/>
      <c r="E57" s="28"/>
      <c r="F57" s="27"/>
      <c r="G57" s="28"/>
      <c r="H57" s="27"/>
      <c r="I57" s="28"/>
      <c r="J57" s="202">
        <v>45357</v>
      </c>
      <c r="K57" s="29" t="s">
        <v>35</v>
      </c>
      <c r="M57" s="31"/>
      <c r="N57" s="27" t="s">
        <v>272</v>
      </c>
      <c r="P57" s="32"/>
      <c r="Q57" s="25"/>
      <c r="R57" s="27"/>
      <c r="S57" s="27"/>
      <c r="T57" s="28"/>
      <c r="U57" s="27"/>
      <c r="V57" s="27" t="s">
        <v>154</v>
      </c>
      <c r="W57" s="28"/>
      <c r="X57" s="33"/>
      <c r="Y57" s="32"/>
      <c r="Z57" s="25"/>
      <c r="AA57" s="27"/>
      <c r="AB57" s="28"/>
      <c r="AC57" s="27"/>
      <c r="AD57" s="27"/>
      <c r="AE57" s="33"/>
      <c r="AG57" s="25"/>
      <c r="AH57" s="34"/>
      <c r="AI57" s="27"/>
      <c r="AJ57" s="27"/>
      <c r="AK57" s="27"/>
      <c r="AL57" s="25"/>
      <c r="AM57" s="34"/>
      <c r="AN57" s="27"/>
      <c r="AO57" s="27"/>
      <c r="AP57" s="36"/>
      <c r="AQ57" s="37"/>
      <c r="AR57" s="32"/>
      <c r="AS57" s="25" t="s">
        <v>82</v>
      </c>
      <c r="AT57" s="27" t="s">
        <v>52</v>
      </c>
      <c r="AU57" s="27"/>
      <c r="AW57" s="27" t="s">
        <v>325</v>
      </c>
      <c r="AX57" s="27" t="s">
        <v>303</v>
      </c>
      <c r="AY57" s="27"/>
      <c r="AZ57" s="32"/>
      <c r="BA57" s="41"/>
    </row>
    <row r="58" spans="1:53" ht="16" thickBot="1" x14ac:dyDescent="0.25">
      <c r="A58" s="25">
        <v>49</v>
      </c>
      <c r="B58" s="26">
        <v>45419</v>
      </c>
      <c r="C58" s="27"/>
      <c r="D58" s="25"/>
      <c r="E58" s="28"/>
      <c r="F58" s="27"/>
      <c r="G58" s="28"/>
      <c r="H58" s="27"/>
      <c r="I58" s="28"/>
      <c r="J58" s="202">
        <v>45357</v>
      </c>
      <c r="K58" s="29" t="s">
        <v>35</v>
      </c>
      <c r="L58" s="39"/>
      <c r="M58" s="31"/>
      <c r="N58" s="27" t="s">
        <v>272</v>
      </c>
      <c r="P58" s="32"/>
      <c r="Q58" s="25"/>
      <c r="R58" s="27"/>
      <c r="S58" s="27"/>
      <c r="T58" s="28"/>
      <c r="U58" s="27"/>
      <c r="V58" s="27" t="s">
        <v>154</v>
      </c>
      <c r="W58" s="28"/>
      <c r="X58" s="33"/>
      <c r="Y58" s="32"/>
      <c r="Z58" s="25"/>
      <c r="AA58" s="27"/>
      <c r="AB58" s="28"/>
      <c r="AC58" s="27"/>
      <c r="AD58" s="27"/>
      <c r="AE58" s="33"/>
      <c r="AG58" s="25"/>
      <c r="AH58" s="34"/>
      <c r="AI58" s="27"/>
      <c r="AJ58" s="27"/>
      <c r="AK58" s="27"/>
      <c r="AL58" s="25"/>
      <c r="AM58" s="34"/>
      <c r="AN58" s="27"/>
      <c r="AO58" s="27"/>
      <c r="AP58" s="36"/>
      <c r="AQ58" s="37"/>
      <c r="AR58" s="32"/>
      <c r="AS58" s="25" t="s">
        <v>82</v>
      </c>
      <c r="AT58" s="27" t="s">
        <v>52</v>
      </c>
      <c r="AU58" s="27"/>
      <c r="AW58" s="27" t="s">
        <v>325</v>
      </c>
      <c r="AX58" s="27" t="s">
        <v>303</v>
      </c>
      <c r="AY58" s="27"/>
      <c r="AZ58" s="32"/>
      <c r="BA58" s="41"/>
    </row>
    <row r="59" spans="1:53" ht="16" thickBot="1" x14ac:dyDescent="0.25">
      <c r="A59" s="25">
        <v>50</v>
      </c>
      <c r="B59" s="26">
        <v>45420</v>
      </c>
      <c r="C59" s="27"/>
      <c r="D59" s="25"/>
      <c r="E59" s="28"/>
      <c r="F59" s="27"/>
      <c r="G59" s="28"/>
      <c r="H59" s="27"/>
      <c r="I59" s="28"/>
      <c r="J59" s="202">
        <v>45357</v>
      </c>
      <c r="K59" s="29" t="s">
        <v>35</v>
      </c>
      <c r="L59" s="44" t="s">
        <v>83</v>
      </c>
      <c r="M59" s="31"/>
      <c r="N59" s="27" t="s">
        <v>272</v>
      </c>
      <c r="O59" s="45" t="s">
        <v>349</v>
      </c>
      <c r="P59" s="46" t="s">
        <v>61</v>
      </c>
      <c r="Q59" s="25"/>
      <c r="R59" s="27"/>
      <c r="S59" s="27"/>
      <c r="T59" s="28"/>
      <c r="U59" s="27"/>
      <c r="V59" s="27" t="s">
        <v>154</v>
      </c>
      <c r="W59" s="28"/>
      <c r="X59" s="33"/>
      <c r="Y59" s="32"/>
      <c r="Z59" s="25"/>
      <c r="AA59" s="27"/>
      <c r="AB59" s="28"/>
      <c r="AC59" s="27"/>
      <c r="AD59" s="27"/>
      <c r="AE59" s="33"/>
      <c r="AG59" s="25"/>
      <c r="AH59" s="34"/>
      <c r="AI59" s="27"/>
      <c r="AJ59" s="27"/>
      <c r="AK59" s="27"/>
      <c r="AL59" s="25"/>
      <c r="AM59" s="34"/>
      <c r="AN59" s="27"/>
      <c r="AO59" s="27"/>
      <c r="AP59" s="36"/>
      <c r="AQ59" s="37"/>
      <c r="AR59" s="32"/>
      <c r="AS59" s="25" t="s">
        <v>86</v>
      </c>
      <c r="AT59" s="27" t="s">
        <v>87</v>
      </c>
      <c r="AU59" s="58" t="s">
        <v>88</v>
      </c>
      <c r="AW59" s="27" t="s">
        <v>325</v>
      </c>
      <c r="AX59" s="27" t="s">
        <v>303</v>
      </c>
      <c r="AY59" s="27"/>
      <c r="AZ59" s="32"/>
      <c r="BA59" s="41"/>
    </row>
    <row r="60" spans="1:53" ht="16" thickBot="1" x14ac:dyDescent="0.25">
      <c r="A60" s="25">
        <v>51</v>
      </c>
      <c r="B60" s="26">
        <v>45421</v>
      </c>
      <c r="C60" s="27"/>
      <c r="D60" s="25"/>
      <c r="E60" s="28"/>
      <c r="F60" s="27"/>
      <c r="G60" s="28"/>
      <c r="H60" s="27"/>
      <c r="I60" s="28"/>
      <c r="J60" s="27">
        <v>8</v>
      </c>
      <c r="K60" s="29" t="s">
        <v>35</v>
      </c>
      <c r="L60" s="88" t="s">
        <v>348</v>
      </c>
      <c r="M60" s="31"/>
      <c r="N60" s="27"/>
      <c r="P60" s="46"/>
      <c r="Q60" s="27"/>
      <c r="R60" s="27"/>
      <c r="S60" s="27"/>
      <c r="T60" s="28"/>
      <c r="U60" s="27"/>
      <c r="V60" s="27" t="s">
        <v>154</v>
      </c>
      <c r="W60" s="28"/>
      <c r="X60" s="33"/>
      <c r="Y60" s="32"/>
      <c r="Z60" s="25"/>
      <c r="AA60" s="27"/>
      <c r="AB60" s="28"/>
      <c r="AC60" s="27"/>
      <c r="AD60" s="27"/>
      <c r="AE60" s="33"/>
      <c r="AG60" s="25"/>
      <c r="AH60" s="34"/>
      <c r="AI60" s="27"/>
      <c r="AJ60" s="27"/>
      <c r="AK60" s="27"/>
      <c r="AL60" s="25"/>
      <c r="AM60" s="34"/>
      <c r="AN60" s="27"/>
      <c r="AO60" s="27"/>
      <c r="AP60" s="36"/>
      <c r="AQ60" s="37"/>
      <c r="AR60" s="32"/>
      <c r="AS60" s="25" t="s">
        <v>86</v>
      </c>
      <c r="AT60" s="27" t="s">
        <v>87</v>
      </c>
      <c r="AU60" s="27"/>
      <c r="AW60" s="27" t="s">
        <v>325</v>
      </c>
      <c r="AX60" s="27" t="s">
        <v>303</v>
      </c>
      <c r="AY60" s="27"/>
      <c r="AZ60" s="32"/>
      <c r="BA60" s="41"/>
    </row>
    <row r="61" spans="1:53" ht="16" thickBot="1" x14ac:dyDescent="0.25">
      <c r="A61" s="25">
        <v>52</v>
      </c>
      <c r="B61" s="26">
        <v>45422</v>
      </c>
      <c r="C61" s="27"/>
      <c r="D61" s="25"/>
      <c r="E61" s="28"/>
      <c r="F61" s="27"/>
      <c r="G61" s="28"/>
      <c r="H61" s="27"/>
      <c r="I61" s="28"/>
      <c r="J61" s="27">
        <v>8</v>
      </c>
      <c r="K61" s="29" t="s">
        <v>35</v>
      </c>
      <c r="L61" s="39"/>
      <c r="M61" s="31"/>
      <c r="N61" s="27"/>
      <c r="P61" s="32"/>
      <c r="Q61" s="25"/>
      <c r="R61" s="27"/>
      <c r="S61" s="27"/>
      <c r="T61" s="28"/>
      <c r="U61" s="27"/>
      <c r="V61" s="27" t="s">
        <v>154</v>
      </c>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W61" s="27" t="s">
        <v>325</v>
      </c>
      <c r="AX61" s="27" t="s">
        <v>303</v>
      </c>
      <c r="AY61" s="27"/>
      <c r="AZ61" s="32"/>
      <c r="BA61" s="41"/>
    </row>
    <row r="62" spans="1:53" ht="16" thickBot="1" x14ac:dyDescent="0.25">
      <c r="A62" s="25">
        <v>53</v>
      </c>
      <c r="B62" s="26">
        <v>45423</v>
      </c>
      <c r="C62" s="27"/>
      <c r="D62" s="25"/>
      <c r="E62" s="28"/>
      <c r="F62" s="27"/>
      <c r="G62" s="28"/>
      <c r="H62" s="27"/>
      <c r="I62" s="28"/>
      <c r="J62" s="27">
        <v>8</v>
      </c>
      <c r="K62" s="29" t="s">
        <v>35</v>
      </c>
      <c r="L62" s="39"/>
      <c r="M62" s="31"/>
      <c r="N62" s="27"/>
      <c r="P62" s="32"/>
      <c r="Q62" s="25"/>
      <c r="R62" s="27"/>
      <c r="S62" s="27"/>
      <c r="T62" s="28"/>
      <c r="U62" s="27"/>
      <c r="V62" s="27" t="s">
        <v>154</v>
      </c>
      <c r="W62" s="28"/>
      <c r="X62" s="33"/>
      <c r="Y62" s="32"/>
      <c r="Z62" s="25"/>
      <c r="AA62" s="27"/>
      <c r="AB62" s="28"/>
      <c r="AC62" s="27"/>
      <c r="AD62" s="27"/>
      <c r="AE62" s="33"/>
      <c r="AG62" s="25"/>
      <c r="AH62" s="34"/>
      <c r="AI62" s="27"/>
      <c r="AJ62" s="27"/>
      <c r="AK62" s="27"/>
      <c r="AL62" s="25"/>
      <c r="AM62" s="34"/>
      <c r="AN62" s="27"/>
      <c r="AO62" s="27"/>
      <c r="AP62" s="36"/>
      <c r="AQ62" s="37"/>
      <c r="AR62" s="32"/>
      <c r="AS62" s="25" t="s">
        <v>86</v>
      </c>
      <c r="AT62" s="27" t="s">
        <v>87</v>
      </c>
      <c r="AU62" s="27"/>
      <c r="AW62" s="25" t="s">
        <v>341</v>
      </c>
      <c r="AX62" s="27" t="s">
        <v>91</v>
      </c>
      <c r="AY62" s="89" t="s">
        <v>92</v>
      </c>
      <c r="AZ62" s="32"/>
      <c r="BA62" s="41"/>
    </row>
    <row r="63" spans="1:53" ht="16" thickBot="1" x14ac:dyDescent="0.25">
      <c r="A63" s="25">
        <v>54</v>
      </c>
      <c r="B63" s="26">
        <v>45424</v>
      </c>
      <c r="C63" s="27"/>
      <c r="D63" s="25"/>
      <c r="E63" s="28"/>
      <c r="F63" s="27"/>
      <c r="G63" s="28"/>
      <c r="H63" s="27"/>
      <c r="I63" s="28"/>
      <c r="J63" s="27">
        <v>8</v>
      </c>
      <c r="K63" s="29" t="s">
        <v>35</v>
      </c>
      <c r="L63" s="39"/>
      <c r="M63" s="31"/>
      <c r="N63" s="27"/>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c r="AO63" s="27"/>
      <c r="AP63" s="36"/>
      <c r="AQ63" s="37"/>
      <c r="AR63" s="32"/>
      <c r="AS63" s="25" t="s">
        <v>86</v>
      </c>
      <c r="AT63" s="27" t="s">
        <v>87</v>
      </c>
      <c r="AU63" s="27"/>
      <c r="AW63" s="25" t="s">
        <v>341</v>
      </c>
      <c r="AX63" s="27" t="s">
        <v>91</v>
      </c>
      <c r="AY63" s="27"/>
      <c r="AZ63" s="32"/>
      <c r="BA63" s="41"/>
    </row>
    <row r="64" spans="1:53" ht="16" thickBot="1" x14ac:dyDescent="0.25">
      <c r="A64" s="25">
        <v>55</v>
      </c>
      <c r="B64" s="26">
        <v>45425</v>
      </c>
      <c r="C64" s="27"/>
      <c r="D64" s="25"/>
      <c r="E64" s="28"/>
      <c r="F64" s="27"/>
      <c r="G64" s="28"/>
      <c r="H64" s="27"/>
      <c r="I64" s="28"/>
      <c r="J64" s="27">
        <v>8</v>
      </c>
      <c r="K64" s="29" t="s">
        <v>35</v>
      </c>
      <c r="L64" s="39"/>
      <c r="M64" s="31"/>
      <c r="N64" s="27"/>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c r="AO64" s="27"/>
      <c r="AP64" s="36"/>
      <c r="AQ64" s="82"/>
      <c r="AR64" s="32"/>
      <c r="AS64" s="25" t="s">
        <v>86</v>
      </c>
      <c r="AT64" s="27" t="s">
        <v>87</v>
      </c>
      <c r="AW64" s="25" t="s">
        <v>341</v>
      </c>
      <c r="AX64" s="27" t="s">
        <v>91</v>
      </c>
      <c r="AY64" s="27"/>
      <c r="AZ64" s="32"/>
      <c r="BA64" s="41"/>
    </row>
    <row r="65" spans="1:53" x14ac:dyDescent="0.2">
      <c r="A65" s="25">
        <v>56</v>
      </c>
      <c r="B65" s="26">
        <v>45426</v>
      </c>
      <c r="C65" s="27"/>
      <c r="D65" s="25"/>
      <c r="E65" s="28"/>
      <c r="F65" s="27"/>
      <c r="G65" s="28"/>
      <c r="H65" s="27"/>
      <c r="I65" s="28"/>
      <c r="J65" s="27">
        <v>8</v>
      </c>
      <c r="K65" s="29" t="s">
        <v>35</v>
      </c>
      <c r="L65" s="39"/>
      <c r="M65" s="31"/>
      <c r="N65" s="27"/>
      <c r="P65" s="32"/>
      <c r="Q65" s="25"/>
      <c r="R65" s="27"/>
      <c r="S65" s="27"/>
      <c r="T65" s="28"/>
      <c r="U65" s="27"/>
      <c r="V65" s="27" t="s">
        <v>154</v>
      </c>
      <c r="W65" s="28"/>
      <c r="X65" s="33"/>
      <c r="Y65" s="32"/>
      <c r="Z65" s="25"/>
      <c r="AA65" s="27"/>
      <c r="AB65" s="28"/>
      <c r="AC65" s="27"/>
      <c r="AD65" s="27"/>
      <c r="AE65" s="33"/>
      <c r="AG65" s="25"/>
      <c r="AH65" s="34"/>
      <c r="AI65" s="27"/>
      <c r="AJ65" s="27"/>
      <c r="AK65" s="27"/>
      <c r="AL65" s="25"/>
      <c r="AM65" s="34"/>
      <c r="AN65" s="27"/>
      <c r="AO65" s="27"/>
      <c r="AP65" s="36"/>
      <c r="AQ65" s="37"/>
      <c r="AR65" s="32"/>
      <c r="AS65" s="25" t="s">
        <v>86</v>
      </c>
      <c r="AT65" s="27" t="s">
        <v>87</v>
      </c>
      <c r="AU65" s="27"/>
      <c r="AW65" s="25" t="s">
        <v>341</v>
      </c>
      <c r="AX65" s="27" t="s">
        <v>91</v>
      </c>
      <c r="AY65" s="27"/>
      <c r="AZ65" s="32"/>
      <c r="BA65" s="41"/>
    </row>
    <row r="66" spans="1:53" ht="16" thickBot="1" x14ac:dyDescent="0.25">
      <c r="A66" s="25">
        <v>57</v>
      </c>
      <c r="B66" s="26">
        <v>45427</v>
      </c>
      <c r="C66" s="27"/>
      <c r="D66" s="25"/>
      <c r="E66" s="28"/>
      <c r="F66" s="27"/>
      <c r="G66" s="28"/>
      <c r="H66" s="27"/>
      <c r="I66" s="28"/>
      <c r="J66" s="27">
        <v>8</v>
      </c>
      <c r="K66" s="29" t="s">
        <v>35</v>
      </c>
      <c r="L66" s="39"/>
      <c r="M66" s="31"/>
      <c r="N66" s="27"/>
      <c r="P66" s="32"/>
      <c r="Q66" s="25"/>
      <c r="R66" s="27"/>
      <c r="S66" s="27"/>
      <c r="T66" s="28"/>
      <c r="U66" s="27"/>
      <c r="V66" s="27" t="s">
        <v>154</v>
      </c>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27"/>
      <c r="AW66" s="25" t="s">
        <v>341</v>
      </c>
      <c r="AX66" s="27" t="s">
        <v>91</v>
      </c>
      <c r="AY66" s="27"/>
      <c r="AZ66" s="32"/>
      <c r="BA66" s="41"/>
    </row>
    <row r="67" spans="1:53" ht="16" thickBot="1" x14ac:dyDescent="0.25">
      <c r="A67" s="25">
        <v>58</v>
      </c>
      <c r="B67" s="26">
        <v>45428</v>
      </c>
      <c r="C67" s="27"/>
      <c r="D67" s="25"/>
      <c r="E67" s="28"/>
      <c r="F67" s="27"/>
      <c r="G67" s="28"/>
      <c r="H67" s="27"/>
      <c r="I67" s="28"/>
      <c r="J67" s="27">
        <v>8</v>
      </c>
      <c r="K67" s="29" t="s">
        <v>35</v>
      </c>
      <c r="L67" s="39"/>
      <c r="M67" s="31"/>
      <c r="N67" s="27"/>
      <c r="P67" s="32"/>
      <c r="Q67" s="25"/>
      <c r="R67" s="27"/>
      <c r="S67" s="27"/>
      <c r="T67" s="28"/>
      <c r="U67" s="27"/>
      <c r="V67" s="27" t="s">
        <v>154</v>
      </c>
      <c r="W67" s="28"/>
      <c r="X67" s="33"/>
      <c r="Y67" s="32"/>
      <c r="Z67" s="25"/>
      <c r="AA67" s="27"/>
      <c r="AB67" s="28"/>
      <c r="AC67" s="27"/>
      <c r="AD67" s="27"/>
      <c r="AE67" s="33"/>
      <c r="AG67" s="25"/>
      <c r="AH67" s="34"/>
      <c r="AI67" s="27"/>
      <c r="AJ67" s="27"/>
      <c r="AK67" s="27"/>
      <c r="AL67" s="25"/>
      <c r="AM67" s="34"/>
      <c r="AN67" s="27"/>
      <c r="AO67" s="27"/>
      <c r="AP67" s="36"/>
      <c r="AQ67" s="37"/>
      <c r="AR67" s="32"/>
      <c r="AS67" s="25" t="s">
        <v>86</v>
      </c>
      <c r="AT67" s="27" t="s">
        <v>87</v>
      </c>
      <c r="AU67" s="27"/>
      <c r="AW67" s="25" t="s">
        <v>90</v>
      </c>
      <c r="AX67" s="27" t="s">
        <v>91</v>
      </c>
      <c r="AY67" s="89" t="s">
        <v>94</v>
      </c>
      <c r="AZ67" s="32"/>
      <c r="BA67" s="41"/>
    </row>
    <row r="68" spans="1:53" ht="16" thickBot="1" x14ac:dyDescent="0.25">
      <c r="A68" s="25">
        <v>59</v>
      </c>
      <c r="B68" s="26">
        <v>45429</v>
      </c>
      <c r="C68" s="27"/>
      <c r="D68" s="25"/>
      <c r="E68" s="28"/>
      <c r="F68" s="27"/>
      <c r="G68" s="28"/>
      <c r="H68" s="27"/>
      <c r="I68" s="28"/>
      <c r="J68" s="27">
        <v>8</v>
      </c>
      <c r="K68" s="29" t="s">
        <v>35</v>
      </c>
      <c r="L68" s="39"/>
      <c r="M68" s="31"/>
      <c r="N68" s="27"/>
      <c r="P68" s="32"/>
      <c r="Q68" s="25"/>
      <c r="R68" s="27"/>
      <c r="S68" s="27"/>
      <c r="T68" s="28"/>
      <c r="U68" s="27"/>
      <c r="V68" s="27" t="s">
        <v>154</v>
      </c>
      <c r="W68" s="28"/>
      <c r="X68" s="33"/>
      <c r="Y68" s="32"/>
      <c r="Z68" s="25"/>
      <c r="AA68" s="27"/>
      <c r="AB68" s="28"/>
      <c r="AC68" s="27"/>
      <c r="AD68" s="27"/>
      <c r="AE68" s="33"/>
      <c r="AG68" s="25"/>
      <c r="AH68" s="34"/>
      <c r="AI68" s="27"/>
      <c r="AJ68" s="27"/>
      <c r="AK68" s="27"/>
      <c r="AL68" s="25"/>
      <c r="AM68" s="34"/>
      <c r="AN68" s="27"/>
      <c r="AO68" s="27"/>
      <c r="AP68" s="36"/>
      <c r="AQ68" s="37"/>
      <c r="AR68" s="32"/>
      <c r="AS68" s="25" t="s">
        <v>86</v>
      </c>
      <c r="AT68" s="27" t="s">
        <v>87</v>
      </c>
      <c r="AU68" s="27"/>
      <c r="AW68" s="25" t="s">
        <v>90</v>
      </c>
      <c r="AX68" s="27" t="s">
        <v>95</v>
      </c>
      <c r="AY68" s="27"/>
      <c r="AZ68" s="32"/>
      <c r="BA68" s="41"/>
    </row>
    <row r="69" spans="1:53" ht="16" thickBot="1" x14ac:dyDescent="0.25">
      <c r="A69" s="25">
        <v>60</v>
      </c>
      <c r="B69" s="26">
        <v>45430</v>
      </c>
      <c r="C69" s="27"/>
      <c r="D69" s="25"/>
      <c r="E69" s="28"/>
      <c r="F69" s="27"/>
      <c r="G69" s="28"/>
      <c r="H69" s="27"/>
      <c r="I69" s="28"/>
      <c r="J69" s="27">
        <v>8</v>
      </c>
      <c r="K69" s="29" t="s">
        <v>35</v>
      </c>
      <c r="L69" s="39"/>
      <c r="M69" s="31"/>
      <c r="N69" s="27"/>
      <c r="P69" s="32"/>
      <c r="Q69" s="25"/>
      <c r="R69" s="27"/>
      <c r="S69" s="27"/>
      <c r="T69" s="28"/>
      <c r="U69" s="27"/>
      <c r="V69" s="27" t="s">
        <v>154</v>
      </c>
      <c r="W69" s="28"/>
      <c r="X69" s="33"/>
      <c r="Y69" s="32"/>
      <c r="Z69" s="25"/>
      <c r="AA69" s="27"/>
      <c r="AB69" s="28"/>
      <c r="AC69" s="27"/>
      <c r="AD69" s="27"/>
      <c r="AE69" s="33"/>
      <c r="AG69" s="25"/>
      <c r="AH69" s="34"/>
      <c r="AI69" s="27"/>
      <c r="AJ69" s="27"/>
      <c r="AK69" s="27"/>
      <c r="AL69" s="25"/>
      <c r="AM69" s="34"/>
      <c r="AN69" s="27"/>
      <c r="AO69" s="27"/>
      <c r="AP69" s="36"/>
      <c r="AQ69" s="37"/>
      <c r="AR69" s="32"/>
      <c r="AS69" s="25" t="s">
        <v>96</v>
      </c>
      <c r="AT69" s="27" t="s">
        <v>87</v>
      </c>
      <c r="AU69" s="58" t="s">
        <v>97</v>
      </c>
      <c r="AW69" s="25" t="s">
        <v>90</v>
      </c>
      <c r="AX69" s="27" t="s">
        <v>95</v>
      </c>
      <c r="AY69" s="27"/>
      <c r="AZ69" s="32"/>
      <c r="BA69" s="41"/>
    </row>
    <row r="70" spans="1:53" x14ac:dyDescent="0.2">
      <c r="A70" s="25">
        <v>61</v>
      </c>
      <c r="B70" s="26">
        <v>45431</v>
      </c>
      <c r="C70" s="27"/>
      <c r="D70" s="25"/>
      <c r="E70" s="28"/>
      <c r="F70" s="27"/>
      <c r="G70" s="28"/>
      <c r="H70" s="27"/>
      <c r="I70" s="28"/>
      <c r="J70" s="27">
        <v>8</v>
      </c>
      <c r="K70" s="29" t="s">
        <v>35</v>
      </c>
      <c r="L70" s="39"/>
      <c r="M70" s="31"/>
      <c r="N70" s="27"/>
      <c r="P70" s="32"/>
      <c r="Q70" s="25"/>
      <c r="R70" s="27"/>
      <c r="S70" s="27"/>
      <c r="T70" s="28"/>
      <c r="U70" s="27"/>
      <c r="V70" s="27" t="s">
        <v>154</v>
      </c>
      <c r="W70" s="28"/>
      <c r="X70" s="33"/>
      <c r="Y70" s="32"/>
      <c r="Z70" s="25"/>
      <c r="AA70" s="27"/>
      <c r="AB70" s="28"/>
      <c r="AC70" s="27"/>
      <c r="AD70" s="27"/>
      <c r="AE70" s="33"/>
      <c r="AG70" s="25"/>
      <c r="AH70" s="34"/>
      <c r="AI70" s="27"/>
      <c r="AJ70" s="27"/>
      <c r="AK70" s="27"/>
      <c r="AL70" s="25"/>
      <c r="AM70" s="34"/>
      <c r="AN70" s="27"/>
      <c r="AO70" s="27"/>
      <c r="AP70" s="36"/>
      <c r="AQ70" s="37"/>
      <c r="AR70" s="32"/>
      <c r="AS70" s="25" t="s">
        <v>96</v>
      </c>
      <c r="AT70" s="27" t="s">
        <v>87</v>
      </c>
      <c r="AU70" s="27"/>
      <c r="AW70" s="25" t="s">
        <v>90</v>
      </c>
      <c r="AX70" s="27" t="s">
        <v>95</v>
      </c>
      <c r="AY70" s="27"/>
      <c r="AZ70" s="32"/>
      <c r="BA70" s="41"/>
    </row>
    <row r="71" spans="1:53" x14ac:dyDescent="0.2">
      <c r="A71" s="25">
        <v>62</v>
      </c>
      <c r="B71" s="26">
        <v>45432</v>
      </c>
      <c r="C71" s="27"/>
      <c r="D71" s="25"/>
      <c r="E71" s="28"/>
      <c r="F71" s="27"/>
      <c r="G71" s="28"/>
      <c r="H71" s="27"/>
      <c r="I71" s="28"/>
      <c r="J71" s="27">
        <v>8</v>
      </c>
      <c r="K71" s="29" t="s">
        <v>35</v>
      </c>
      <c r="L71" s="39"/>
      <c r="M71" s="31"/>
      <c r="N71" s="27"/>
      <c r="P71" s="32"/>
      <c r="Q71" s="25"/>
      <c r="R71" s="27"/>
      <c r="S71" s="27"/>
      <c r="T71" s="28"/>
      <c r="U71" s="27"/>
      <c r="V71" s="27" t="s">
        <v>154</v>
      </c>
      <c r="W71" s="28"/>
      <c r="X71" s="33"/>
      <c r="Y71" s="32"/>
      <c r="Z71" s="25"/>
      <c r="AA71" s="27"/>
      <c r="AB71" s="28"/>
      <c r="AC71" s="27"/>
      <c r="AD71" s="27"/>
      <c r="AE71" s="33"/>
      <c r="AG71" s="25"/>
      <c r="AH71" s="34"/>
      <c r="AI71" s="27"/>
      <c r="AJ71" s="27"/>
      <c r="AK71" s="27"/>
      <c r="AL71" s="25"/>
      <c r="AM71" s="34"/>
      <c r="AN71" s="27"/>
      <c r="AO71" s="27"/>
      <c r="AP71" s="36"/>
      <c r="AQ71" s="37"/>
      <c r="AR71" s="32"/>
      <c r="AS71" s="25" t="s">
        <v>96</v>
      </c>
      <c r="AT71" s="27" t="s">
        <v>87</v>
      </c>
      <c r="AU71" s="27"/>
      <c r="AW71" s="25" t="s">
        <v>90</v>
      </c>
      <c r="AX71" s="27" t="s">
        <v>95</v>
      </c>
      <c r="AY71" s="27"/>
      <c r="AZ71" s="32"/>
      <c r="BA71" s="41"/>
    </row>
    <row r="72" spans="1:53" x14ac:dyDescent="0.2">
      <c r="A72" s="25">
        <v>63</v>
      </c>
      <c r="B72" s="26">
        <v>45433</v>
      </c>
      <c r="C72" s="27"/>
      <c r="D72" s="25"/>
      <c r="E72" s="28"/>
      <c r="F72" s="27"/>
      <c r="G72" s="28"/>
      <c r="H72" s="27"/>
      <c r="I72" s="28"/>
      <c r="J72" s="27">
        <v>8</v>
      </c>
      <c r="K72" s="29" t="s">
        <v>35</v>
      </c>
      <c r="L72" s="39"/>
      <c r="M72" s="31"/>
      <c r="N72" s="27"/>
      <c r="P72" s="32"/>
      <c r="Q72" s="25"/>
      <c r="R72" s="27"/>
      <c r="S72" s="27"/>
      <c r="T72" s="28"/>
      <c r="U72" s="27"/>
      <c r="V72" s="27" t="s">
        <v>154</v>
      </c>
      <c r="W72" s="28"/>
      <c r="X72" s="33"/>
      <c r="Y72" s="32"/>
      <c r="Z72" s="25"/>
      <c r="AA72" s="27"/>
      <c r="AB72" s="28"/>
      <c r="AC72" s="27"/>
      <c r="AD72" s="27"/>
      <c r="AE72" s="33"/>
      <c r="AG72" s="25"/>
      <c r="AH72" s="34"/>
      <c r="AI72" s="27"/>
      <c r="AJ72" s="27"/>
      <c r="AK72" s="27"/>
      <c r="AL72" s="25"/>
      <c r="AM72" s="34"/>
      <c r="AN72" s="27"/>
      <c r="AO72" s="27"/>
      <c r="AP72" s="36"/>
      <c r="AQ72" s="37"/>
      <c r="AR72" s="32"/>
      <c r="AS72" s="25" t="s">
        <v>96</v>
      </c>
      <c r="AT72" s="27" t="s">
        <v>87</v>
      </c>
      <c r="AU72" s="27"/>
      <c r="AW72" s="25" t="s">
        <v>90</v>
      </c>
      <c r="AX72" s="27" t="s">
        <v>95</v>
      </c>
      <c r="AY72" s="27"/>
      <c r="AZ72" s="32"/>
      <c r="BA72" s="41"/>
    </row>
    <row r="73" spans="1:53" x14ac:dyDescent="0.2">
      <c r="A73" s="25">
        <v>64</v>
      </c>
      <c r="B73" s="26">
        <v>45434</v>
      </c>
      <c r="C73" s="27"/>
      <c r="D73" s="25"/>
      <c r="E73" s="28"/>
      <c r="F73" s="27"/>
      <c r="G73" s="28"/>
      <c r="H73" s="27"/>
      <c r="I73" s="28"/>
      <c r="J73" s="27">
        <v>8</v>
      </c>
      <c r="K73" s="29" t="s">
        <v>35</v>
      </c>
      <c r="L73" s="39"/>
      <c r="M73" s="31"/>
      <c r="N73" s="27"/>
      <c r="P73" s="32"/>
      <c r="Q73" s="25"/>
      <c r="R73" s="27"/>
      <c r="S73" s="27"/>
      <c r="T73" s="28"/>
      <c r="U73" s="27"/>
      <c r="V73" s="27" t="s">
        <v>154</v>
      </c>
      <c r="W73" s="28"/>
      <c r="X73" s="33"/>
      <c r="Y73" s="32"/>
      <c r="Z73" s="25"/>
      <c r="AA73" s="27"/>
      <c r="AB73" s="28"/>
      <c r="AC73" s="27"/>
      <c r="AD73" s="27"/>
      <c r="AE73" s="33"/>
      <c r="AG73" s="25"/>
      <c r="AH73" s="34"/>
      <c r="AI73" s="27"/>
      <c r="AJ73" s="27"/>
      <c r="AK73" s="27"/>
      <c r="AL73" s="25"/>
      <c r="AM73" s="34"/>
      <c r="AN73" s="27"/>
      <c r="AO73" s="27"/>
      <c r="AP73" s="36"/>
      <c r="AQ73" s="37"/>
      <c r="AR73" s="32"/>
      <c r="AS73" s="25" t="s">
        <v>96</v>
      </c>
      <c r="AT73" s="27" t="s">
        <v>87</v>
      </c>
      <c r="AU73" s="27"/>
      <c r="AW73" s="25" t="s">
        <v>90</v>
      </c>
      <c r="AX73" s="27" t="s">
        <v>95</v>
      </c>
      <c r="AY73" s="27"/>
      <c r="AZ73" s="32"/>
      <c r="BA73" s="41"/>
    </row>
    <row r="74" spans="1:53" x14ac:dyDescent="0.2">
      <c r="A74" s="25">
        <v>65</v>
      </c>
      <c r="B74" s="26">
        <v>45435</v>
      </c>
      <c r="C74" s="27"/>
      <c r="D74" s="25"/>
      <c r="E74" s="28"/>
      <c r="F74" s="27"/>
      <c r="G74" s="28"/>
      <c r="H74" s="27"/>
      <c r="I74" s="28"/>
      <c r="J74" s="27">
        <v>8</v>
      </c>
      <c r="K74" s="29" t="s">
        <v>35</v>
      </c>
      <c r="L74" s="39"/>
      <c r="M74" s="31"/>
      <c r="N74" s="27"/>
      <c r="P74" s="32"/>
      <c r="Q74" s="25"/>
      <c r="R74" s="27"/>
      <c r="S74" s="27"/>
      <c r="T74" s="28"/>
      <c r="U74" s="27"/>
      <c r="V74" s="27" t="s">
        <v>154</v>
      </c>
      <c r="W74" s="28"/>
      <c r="X74" s="33"/>
      <c r="Y74" s="32"/>
      <c r="Z74" s="25"/>
      <c r="AA74" s="27"/>
      <c r="AB74" s="28"/>
      <c r="AC74" s="27"/>
      <c r="AD74" s="27"/>
      <c r="AE74" s="33"/>
      <c r="AG74" s="25"/>
      <c r="AH74" s="34"/>
      <c r="AI74" s="27"/>
      <c r="AJ74" s="27"/>
      <c r="AK74" s="27"/>
      <c r="AL74" s="25"/>
      <c r="AM74" s="34"/>
      <c r="AN74" s="27"/>
      <c r="AO74" s="27"/>
      <c r="AP74" s="36"/>
      <c r="AQ74" s="37"/>
      <c r="AR74" s="32"/>
      <c r="AS74" s="25" t="s">
        <v>96</v>
      </c>
      <c r="AT74" s="27" t="s">
        <v>87</v>
      </c>
      <c r="AU74" s="27"/>
      <c r="AW74" s="25" t="s">
        <v>90</v>
      </c>
      <c r="AX74" s="27" t="s">
        <v>95</v>
      </c>
      <c r="AY74" s="27"/>
      <c r="AZ74" s="32"/>
      <c r="BA74" s="41"/>
    </row>
    <row r="75" spans="1:53" x14ac:dyDescent="0.2">
      <c r="A75" s="25">
        <v>66</v>
      </c>
      <c r="B75" s="26">
        <v>45436</v>
      </c>
      <c r="C75" s="27"/>
      <c r="D75" s="25"/>
      <c r="E75" s="28"/>
      <c r="F75" s="27"/>
      <c r="G75" s="28"/>
      <c r="H75" s="27"/>
      <c r="I75" s="28"/>
      <c r="J75" s="27">
        <v>8</v>
      </c>
      <c r="K75" s="29" t="s">
        <v>35</v>
      </c>
      <c r="L75" s="39"/>
      <c r="M75" s="31"/>
      <c r="N75" s="27"/>
      <c r="P75" s="32"/>
      <c r="Q75" s="25"/>
      <c r="R75" s="27"/>
      <c r="S75" s="27"/>
      <c r="T75" s="28"/>
      <c r="U75" s="27"/>
      <c r="V75" s="27" t="s">
        <v>154</v>
      </c>
      <c r="W75" s="28"/>
      <c r="X75" s="33"/>
      <c r="Y75" s="32"/>
      <c r="Z75" s="25"/>
      <c r="AA75" s="27"/>
      <c r="AB75" s="28"/>
      <c r="AC75" s="27"/>
      <c r="AD75" s="27"/>
      <c r="AE75" s="33"/>
      <c r="AG75" s="25"/>
      <c r="AH75" s="34"/>
      <c r="AI75" s="27"/>
      <c r="AJ75" s="27"/>
      <c r="AK75" s="27"/>
      <c r="AL75" s="25"/>
      <c r="AM75" s="34"/>
      <c r="AN75" s="27"/>
      <c r="AO75" s="27"/>
      <c r="AP75" s="36"/>
      <c r="AQ75" s="37"/>
      <c r="AR75" s="32"/>
      <c r="AS75" s="25" t="s">
        <v>96</v>
      </c>
      <c r="AT75" s="27" t="s">
        <v>87</v>
      </c>
      <c r="AU75" s="27"/>
      <c r="AW75" s="25" t="s">
        <v>90</v>
      </c>
      <c r="AX75" s="27" t="s">
        <v>95</v>
      </c>
      <c r="AY75" s="27"/>
      <c r="AZ75" s="32"/>
      <c r="BA75" s="41"/>
    </row>
    <row r="76" spans="1:53" x14ac:dyDescent="0.2">
      <c r="A76" s="25">
        <v>67</v>
      </c>
      <c r="B76" s="26">
        <v>45437</v>
      </c>
      <c r="C76" s="27"/>
      <c r="D76" s="25"/>
      <c r="E76" s="28"/>
      <c r="F76" s="27"/>
      <c r="G76" s="28"/>
      <c r="H76" s="27"/>
      <c r="I76" s="28"/>
      <c r="J76" s="27">
        <v>8</v>
      </c>
      <c r="K76" s="29" t="s">
        <v>35</v>
      </c>
      <c r="L76" s="39"/>
      <c r="M76" s="31"/>
      <c r="N76" s="27"/>
      <c r="P76" s="32"/>
      <c r="Q76" s="25"/>
      <c r="R76" s="27"/>
      <c r="S76" s="27"/>
      <c r="T76" s="28"/>
      <c r="U76" s="27"/>
      <c r="V76" s="27" t="s">
        <v>154</v>
      </c>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27"/>
      <c r="AW76" s="25" t="s">
        <v>90</v>
      </c>
      <c r="AX76" s="27" t="s">
        <v>95</v>
      </c>
      <c r="AY76" s="27"/>
      <c r="AZ76" s="32"/>
      <c r="BA76" s="41"/>
    </row>
    <row r="77" spans="1:53" x14ac:dyDescent="0.2">
      <c r="A77" s="25">
        <v>68</v>
      </c>
      <c r="B77" s="26">
        <v>45438</v>
      </c>
      <c r="C77" s="27"/>
      <c r="D77" s="25"/>
      <c r="E77" s="28"/>
      <c r="F77" s="27"/>
      <c r="G77" s="28"/>
      <c r="H77" s="27"/>
      <c r="I77" s="28"/>
      <c r="J77" s="27">
        <v>8</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69</v>
      </c>
      <c r="B78" s="26">
        <v>45439</v>
      </c>
      <c r="C78" s="27"/>
      <c r="D78" s="25"/>
      <c r="E78" s="28"/>
      <c r="F78" s="27"/>
      <c r="G78" s="28"/>
      <c r="H78" s="27"/>
      <c r="I78" s="28"/>
      <c r="J78" s="27">
        <v>8</v>
      </c>
      <c r="K78" s="29" t="s">
        <v>35</v>
      </c>
      <c r="L78" s="39"/>
      <c r="M78" s="31"/>
      <c r="N78" s="27"/>
      <c r="P78" s="32"/>
      <c r="Q78" s="25"/>
      <c r="R78" s="27"/>
      <c r="S78" s="27"/>
      <c r="T78" s="28"/>
      <c r="U78" s="27"/>
      <c r="V78" s="27"/>
      <c r="W78" s="28"/>
      <c r="X78" s="33"/>
      <c r="Y78" s="32"/>
      <c r="Z78" s="25"/>
      <c r="AA78" s="27"/>
      <c r="AB78" s="28"/>
      <c r="AC78" s="27"/>
      <c r="AD78" s="27"/>
      <c r="AE78" s="33"/>
      <c r="AG78" s="25"/>
      <c r="AH78" s="34"/>
      <c r="AI78" s="27"/>
      <c r="AJ78" s="27"/>
      <c r="AK78" s="27"/>
      <c r="AL78" s="25"/>
      <c r="AM78" s="34"/>
      <c r="AN78" s="27"/>
      <c r="AO78" s="27"/>
      <c r="AP78" s="36"/>
      <c r="AQ78" s="37"/>
      <c r="AR78" s="32"/>
      <c r="AS78" s="25" t="s">
        <v>96</v>
      </c>
      <c r="AT78" s="27" t="s">
        <v>87</v>
      </c>
      <c r="AU78" s="27"/>
      <c r="AW78" s="25" t="s">
        <v>90</v>
      </c>
      <c r="AX78" s="27" t="s">
        <v>95</v>
      </c>
      <c r="AY78" s="27"/>
      <c r="AZ78" s="32"/>
      <c r="BA78" s="41"/>
    </row>
    <row r="79" spans="1:53" x14ac:dyDescent="0.2">
      <c r="A79" s="25">
        <v>70</v>
      </c>
      <c r="B79" s="26">
        <v>45440</v>
      </c>
      <c r="C79" s="27"/>
      <c r="D79" s="25"/>
      <c r="E79" s="28"/>
      <c r="F79" s="27"/>
      <c r="G79" s="28"/>
      <c r="H79" s="27"/>
      <c r="I79" s="28"/>
      <c r="J79" s="27">
        <v>8</v>
      </c>
      <c r="K79" s="29" t="s">
        <v>35</v>
      </c>
      <c r="L79" s="39"/>
      <c r="M79" s="31"/>
      <c r="N79" s="27"/>
      <c r="P79" s="32"/>
      <c r="Q79" s="25"/>
      <c r="R79" s="27"/>
      <c r="S79" s="27"/>
      <c r="T79" s="28"/>
      <c r="U79" s="27"/>
      <c r="V79" s="27"/>
      <c r="W79" s="28"/>
      <c r="X79" s="33"/>
      <c r="Y79" s="32"/>
      <c r="Z79" s="25"/>
      <c r="AA79" s="27"/>
      <c r="AB79" s="28"/>
      <c r="AC79" s="27"/>
      <c r="AD79" s="27"/>
      <c r="AE79" s="33"/>
      <c r="AG79" s="25"/>
      <c r="AH79" s="34"/>
      <c r="AI79" s="27"/>
      <c r="AJ79" s="27"/>
      <c r="AK79" s="27"/>
      <c r="AL79" s="25"/>
      <c r="AM79" s="34"/>
      <c r="AN79" s="27"/>
      <c r="AO79" s="27"/>
      <c r="AP79" s="36"/>
      <c r="AQ79" s="37"/>
      <c r="AR79" s="32"/>
      <c r="AS79" s="25" t="s">
        <v>96</v>
      </c>
      <c r="AT79" s="27" t="s">
        <v>87</v>
      </c>
      <c r="AU79" s="27"/>
      <c r="AW79" s="25" t="s">
        <v>90</v>
      </c>
      <c r="AX79" s="27" t="s">
        <v>95</v>
      </c>
      <c r="AY79" s="27"/>
      <c r="AZ79" s="32"/>
      <c r="BA79" s="41"/>
    </row>
    <row r="80" spans="1:53" x14ac:dyDescent="0.2">
      <c r="A80" s="25">
        <v>71</v>
      </c>
      <c r="B80" s="26">
        <v>45441</v>
      </c>
      <c r="C80" s="27"/>
      <c r="D80" s="25"/>
      <c r="E80" s="28"/>
      <c r="F80" s="27"/>
      <c r="G80" s="28"/>
      <c r="H80" s="27"/>
      <c r="I80" s="28"/>
      <c r="J80" s="27">
        <v>8</v>
      </c>
      <c r="K80" s="29" t="s">
        <v>35</v>
      </c>
      <c r="L80" s="39"/>
      <c r="M80" s="31"/>
      <c r="N80" s="27"/>
      <c r="P80" s="32"/>
      <c r="Q80" s="25"/>
      <c r="R80" s="27"/>
      <c r="S80" s="27"/>
      <c r="T80" s="28"/>
      <c r="U80" s="27"/>
      <c r="V80" s="27"/>
      <c r="W80" s="28"/>
      <c r="X80" s="33"/>
      <c r="Y80" s="32"/>
      <c r="Z80" s="25"/>
      <c r="AA80" s="27"/>
      <c r="AB80" s="28"/>
      <c r="AC80" s="27"/>
      <c r="AD80" s="27"/>
      <c r="AE80" s="33"/>
      <c r="AF80" s="32"/>
      <c r="AG80" s="90"/>
      <c r="AH80" s="91"/>
      <c r="AI80" s="27"/>
      <c r="AJ80" s="27"/>
      <c r="AK80" s="28"/>
      <c r="AL80" s="27"/>
      <c r="AM80" s="27"/>
      <c r="AN80" s="27"/>
      <c r="AO80" s="27"/>
      <c r="AP80" s="36"/>
      <c r="AQ80" s="37"/>
      <c r="AS80" s="25" t="s">
        <v>96</v>
      </c>
      <c r="AT80" s="27" t="s">
        <v>87</v>
      </c>
      <c r="AU80" s="27"/>
      <c r="AW80" s="25" t="s">
        <v>90</v>
      </c>
      <c r="AX80" s="27" t="s">
        <v>95</v>
      </c>
      <c r="AY80" s="27"/>
      <c r="AZ80" s="32"/>
      <c r="BA80" s="41"/>
    </row>
    <row r="81" spans="1:53" x14ac:dyDescent="0.2">
      <c r="A81" s="25">
        <v>72</v>
      </c>
      <c r="B81" s="26">
        <v>45442</v>
      </c>
      <c r="C81" s="27"/>
      <c r="D81" s="25"/>
      <c r="E81" s="28"/>
      <c r="F81" s="27"/>
      <c r="G81" s="28"/>
      <c r="H81" s="27"/>
      <c r="I81" s="28"/>
      <c r="J81" s="27">
        <v>8</v>
      </c>
      <c r="K81" s="29" t="s">
        <v>35</v>
      </c>
      <c r="L81" s="39"/>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c r="AO81" s="27"/>
      <c r="AP81" s="36"/>
      <c r="AQ81" s="37"/>
      <c r="AS81" s="25" t="s">
        <v>96</v>
      </c>
      <c r="AT81" s="27" t="s">
        <v>87</v>
      </c>
      <c r="AU81" s="27"/>
      <c r="AW81" s="25" t="s">
        <v>90</v>
      </c>
      <c r="AX81" s="27" t="s">
        <v>95</v>
      </c>
      <c r="AY81" s="27"/>
      <c r="AZ81" s="32"/>
      <c r="BA81" s="41"/>
    </row>
    <row r="82" spans="1:53" x14ac:dyDescent="0.2">
      <c r="A82" s="25">
        <v>73</v>
      </c>
      <c r="B82" s="26">
        <v>45443</v>
      </c>
      <c r="C82" s="27"/>
      <c r="D82" s="25"/>
      <c r="E82" s="28"/>
      <c r="F82" s="27"/>
      <c r="G82" s="28"/>
      <c r="H82" s="27"/>
      <c r="I82" s="28"/>
      <c r="J82" s="27">
        <v>8</v>
      </c>
      <c r="K82" s="29" t="s">
        <v>35</v>
      </c>
      <c r="L82" s="173"/>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c r="AO82" s="27"/>
      <c r="AP82" s="36"/>
      <c r="AQ82" s="37"/>
      <c r="AS82" s="25" t="s">
        <v>96</v>
      </c>
      <c r="AT82" s="27" t="s">
        <v>87</v>
      </c>
      <c r="AU82" s="27"/>
      <c r="AW82" s="25" t="s">
        <v>90</v>
      </c>
      <c r="AX82" s="27" t="s">
        <v>95</v>
      </c>
      <c r="AY82" s="27"/>
      <c r="AZ82" s="32"/>
      <c r="BA82" s="41"/>
    </row>
    <row r="83" spans="1:53" x14ac:dyDescent="0.2">
      <c r="A83" s="25">
        <v>74</v>
      </c>
      <c r="B83" s="26">
        <v>45444</v>
      </c>
      <c r="C83" s="27"/>
      <c r="D83" s="25"/>
      <c r="E83" s="28"/>
      <c r="F83" s="27"/>
      <c r="G83" s="28"/>
      <c r="H83" s="27"/>
      <c r="I83" s="28"/>
      <c r="J83" s="27">
        <v>8</v>
      </c>
      <c r="K83" s="29" t="s">
        <v>35</v>
      </c>
      <c r="L83" s="173"/>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c r="AO83" s="27"/>
      <c r="AP83" s="36"/>
      <c r="AQ83" s="37"/>
      <c r="AS83" s="25" t="s">
        <v>96</v>
      </c>
      <c r="AT83" s="27" t="s">
        <v>87</v>
      </c>
      <c r="AU83" s="27"/>
      <c r="AW83" s="25" t="s">
        <v>90</v>
      </c>
      <c r="AX83" s="27" t="s">
        <v>95</v>
      </c>
      <c r="AY83" s="27"/>
      <c r="AZ83" s="32"/>
      <c r="BA83" s="41"/>
    </row>
    <row r="84" spans="1:53" x14ac:dyDescent="0.2">
      <c r="A84" s="25">
        <v>75</v>
      </c>
      <c r="B84" s="26">
        <v>45445</v>
      </c>
      <c r="C84" s="27"/>
      <c r="D84" s="25"/>
      <c r="E84" s="28"/>
      <c r="F84" s="27"/>
      <c r="G84" s="28"/>
      <c r="H84" s="27"/>
      <c r="I84" s="28"/>
      <c r="J84" s="27">
        <v>8</v>
      </c>
      <c r="K84" s="29" t="s">
        <v>35</v>
      </c>
      <c r="L84" s="173"/>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c r="AO84" s="27"/>
      <c r="AP84" s="36"/>
      <c r="AQ84" s="37"/>
      <c r="AR84" s="32"/>
      <c r="AS84" s="25" t="s">
        <v>96</v>
      </c>
      <c r="AT84" s="27" t="s">
        <v>87</v>
      </c>
      <c r="AU84" s="27"/>
      <c r="AW84" s="25" t="s">
        <v>90</v>
      </c>
      <c r="AX84" s="27" t="s">
        <v>95</v>
      </c>
      <c r="AY84" s="27"/>
      <c r="AZ84" s="32"/>
      <c r="BA84" s="41"/>
    </row>
    <row r="85" spans="1:53" x14ac:dyDescent="0.2">
      <c r="A85" s="25">
        <v>76</v>
      </c>
      <c r="B85" s="26">
        <v>45446</v>
      </c>
      <c r="C85" s="27"/>
      <c r="D85" s="25"/>
      <c r="E85" s="28"/>
      <c r="F85" s="27"/>
      <c r="G85" s="28"/>
      <c r="H85" s="27"/>
      <c r="I85" s="28"/>
      <c r="J85" s="27">
        <v>8</v>
      </c>
      <c r="K85" s="29" t="s">
        <v>35</v>
      </c>
      <c r="L85" s="173"/>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c r="AO85" s="27"/>
      <c r="AP85" s="36"/>
      <c r="AQ85" s="37"/>
      <c r="AR85" s="32"/>
      <c r="AS85" s="25" t="s">
        <v>96</v>
      </c>
      <c r="AT85" s="27" t="s">
        <v>87</v>
      </c>
      <c r="AU85" s="27"/>
      <c r="AW85" s="25" t="s">
        <v>90</v>
      </c>
      <c r="AX85" s="27" t="s">
        <v>95</v>
      </c>
      <c r="AY85" s="27"/>
      <c r="AZ85" s="32"/>
      <c r="BA85" s="41"/>
    </row>
    <row r="86" spans="1:53" x14ac:dyDescent="0.2">
      <c r="A86" s="25">
        <v>77</v>
      </c>
      <c r="B86" s="26">
        <v>45447</v>
      </c>
      <c r="C86" s="27"/>
      <c r="D86" s="25"/>
      <c r="E86" s="28"/>
      <c r="F86" s="27"/>
      <c r="G86" s="28"/>
      <c r="H86" s="27"/>
      <c r="I86" s="28"/>
      <c r="J86" s="27">
        <v>8</v>
      </c>
      <c r="K86" s="29" t="s">
        <v>35</v>
      </c>
      <c r="L86" s="173"/>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c r="AO86" s="27"/>
      <c r="AP86" s="36"/>
      <c r="AQ86" s="37"/>
      <c r="AR86" s="32"/>
      <c r="AS86" s="25" t="s">
        <v>96</v>
      </c>
      <c r="AT86" s="27" t="s">
        <v>87</v>
      </c>
      <c r="AU86" s="27"/>
      <c r="AW86" s="25" t="s">
        <v>90</v>
      </c>
      <c r="AX86" s="27" t="s">
        <v>95</v>
      </c>
      <c r="AY86" s="27"/>
      <c r="AZ86" s="32"/>
      <c r="BA86" s="41"/>
    </row>
    <row r="87" spans="1:53" x14ac:dyDescent="0.2">
      <c r="A87" s="25">
        <v>78</v>
      </c>
      <c r="B87" s="26">
        <v>45448</v>
      </c>
      <c r="C87" s="27"/>
      <c r="D87" s="25"/>
      <c r="E87" s="28"/>
      <c r="F87" s="27"/>
      <c r="G87" s="28"/>
      <c r="H87" s="27"/>
      <c r="I87" s="28"/>
      <c r="J87" s="27">
        <v>8</v>
      </c>
      <c r="K87" s="29" t="s">
        <v>35</v>
      </c>
      <c r="L87" s="173"/>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R87" s="32"/>
      <c r="AS87" s="25" t="s">
        <v>96</v>
      </c>
      <c r="AT87" s="27" t="s">
        <v>87</v>
      </c>
      <c r="AU87" s="27"/>
      <c r="AW87" s="25" t="s">
        <v>90</v>
      </c>
      <c r="AX87" s="27" t="s">
        <v>95</v>
      </c>
      <c r="AY87" s="27"/>
      <c r="AZ87" s="32"/>
      <c r="BA87" s="41"/>
    </row>
    <row r="88" spans="1:53" x14ac:dyDescent="0.2">
      <c r="A88" s="25">
        <v>79</v>
      </c>
      <c r="B88" s="26">
        <v>45449</v>
      </c>
      <c r="C88" s="27"/>
      <c r="D88" s="25"/>
      <c r="E88" s="28"/>
      <c r="F88" s="27"/>
      <c r="G88" s="28"/>
      <c r="H88" s="27"/>
      <c r="I88" s="28"/>
      <c r="J88" s="27">
        <v>8</v>
      </c>
      <c r="K88" s="29" t="s">
        <v>35</v>
      </c>
      <c r="L88" s="173"/>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R88" s="32"/>
      <c r="AS88" s="25" t="s">
        <v>96</v>
      </c>
      <c r="AT88" s="27" t="s">
        <v>87</v>
      </c>
      <c r="AU88" s="27"/>
      <c r="AW88" s="25" t="s">
        <v>90</v>
      </c>
      <c r="AX88" s="27" t="s">
        <v>95</v>
      </c>
      <c r="AY88" s="27"/>
      <c r="AZ88" s="32"/>
      <c r="BA88" s="41"/>
    </row>
    <row r="89" spans="1:53" x14ac:dyDescent="0.2">
      <c r="A89" s="25">
        <v>80</v>
      </c>
      <c r="B89" s="26">
        <v>45450</v>
      </c>
      <c r="C89" s="27"/>
      <c r="D89" s="25"/>
      <c r="E89" s="28"/>
      <c r="F89" s="27"/>
      <c r="G89" s="28"/>
      <c r="H89" s="27"/>
      <c r="I89" s="28"/>
      <c r="J89" s="27">
        <v>8</v>
      </c>
      <c r="K89" s="29" t="s">
        <v>35</v>
      </c>
      <c r="L89" s="173"/>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R89" s="32"/>
      <c r="AS89" s="25" t="s">
        <v>96</v>
      </c>
      <c r="AT89" s="27" t="s">
        <v>87</v>
      </c>
      <c r="AU89" s="27"/>
      <c r="AW89" s="25" t="s">
        <v>90</v>
      </c>
      <c r="AX89" s="27" t="s">
        <v>95</v>
      </c>
      <c r="AY89" s="27"/>
      <c r="AZ89" s="32"/>
      <c r="BA89" s="41"/>
    </row>
    <row r="90" spans="1:53" x14ac:dyDescent="0.2">
      <c r="A90" s="25">
        <v>81</v>
      </c>
      <c r="B90" s="26">
        <v>45451</v>
      </c>
      <c r="C90" s="27"/>
      <c r="D90" s="25"/>
      <c r="E90" s="28"/>
      <c r="F90" s="27"/>
      <c r="G90" s="28"/>
      <c r="H90" s="27"/>
      <c r="I90" s="28"/>
      <c r="J90" s="27">
        <v>8</v>
      </c>
      <c r="K90" s="29" t="s">
        <v>35</v>
      </c>
      <c r="L90" s="173"/>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R90" s="32"/>
      <c r="AS90" s="25" t="s">
        <v>96</v>
      </c>
      <c r="AT90" s="27" t="s">
        <v>87</v>
      </c>
      <c r="AU90" s="27"/>
      <c r="AW90" s="25" t="s">
        <v>90</v>
      </c>
      <c r="AX90" s="27" t="s">
        <v>95</v>
      </c>
      <c r="AY90" s="27"/>
      <c r="AZ90" s="32"/>
      <c r="BA90" s="41"/>
    </row>
    <row r="91" spans="1:53" x14ac:dyDescent="0.2">
      <c r="A91" s="25">
        <v>82</v>
      </c>
      <c r="B91" s="26">
        <v>45452</v>
      </c>
      <c r="C91" s="27"/>
      <c r="D91" s="25"/>
      <c r="E91" s="28"/>
      <c r="F91" s="27"/>
      <c r="G91" s="28"/>
      <c r="H91" s="27"/>
      <c r="I91" s="28"/>
      <c r="J91" s="27">
        <v>8</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t="s">
        <v>96</v>
      </c>
      <c r="AT91" s="27" t="s">
        <v>87</v>
      </c>
      <c r="AU91" s="27"/>
      <c r="AW91" s="25" t="s">
        <v>90</v>
      </c>
      <c r="AX91" s="27" t="s">
        <v>95</v>
      </c>
      <c r="AY91" s="27"/>
      <c r="AZ91" s="32"/>
      <c r="BA91" s="41"/>
    </row>
    <row r="92" spans="1:53" x14ac:dyDescent="0.2">
      <c r="A92" s="25">
        <v>83</v>
      </c>
      <c r="B92" s="26">
        <v>45453</v>
      </c>
      <c r="C92" s="27"/>
      <c r="D92" s="25"/>
      <c r="E92" s="28"/>
      <c r="F92" s="27"/>
      <c r="G92" s="28"/>
      <c r="H92" s="27"/>
      <c r="I92" s="28"/>
      <c r="J92" s="27">
        <v>8</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t="s">
        <v>96</v>
      </c>
      <c r="AT92" s="27" t="s">
        <v>87</v>
      </c>
      <c r="AU92" s="27"/>
      <c r="AW92" s="25" t="s">
        <v>90</v>
      </c>
      <c r="AX92" s="27" t="s">
        <v>95</v>
      </c>
      <c r="AY92" s="27"/>
      <c r="AZ92" s="32"/>
      <c r="BA92" s="41"/>
    </row>
    <row r="93" spans="1:53" x14ac:dyDescent="0.2">
      <c r="A93" s="25">
        <v>84</v>
      </c>
      <c r="B93" s="26">
        <v>45454</v>
      </c>
      <c r="C93" s="27"/>
      <c r="D93" s="25"/>
      <c r="E93" s="28"/>
      <c r="F93" s="27"/>
      <c r="G93" s="28"/>
      <c r="H93" s="27"/>
      <c r="I93" s="28"/>
      <c r="J93" s="27">
        <v>8</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t="s">
        <v>96</v>
      </c>
      <c r="AT93" s="27" t="s">
        <v>87</v>
      </c>
      <c r="AU93" s="27"/>
      <c r="AW93" s="25" t="s">
        <v>90</v>
      </c>
      <c r="AX93" s="27" t="s">
        <v>95</v>
      </c>
      <c r="AY93" s="27"/>
      <c r="AZ93" s="32"/>
      <c r="BA93" s="41"/>
    </row>
    <row r="94" spans="1:53" x14ac:dyDescent="0.2">
      <c r="A94" s="25">
        <v>85</v>
      </c>
      <c r="B94" s="26">
        <v>45455</v>
      </c>
      <c r="C94" s="27"/>
      <c r="D94" s="25"/>
      <c r="E94" s="28"/>
      <c r="F94" s="27"/>
      <c r="G94" s="28"/>
      <c r="H94" s="27"/>
      <c r="I94" s="28"/>
      <c r="J94" s="27">
        <v>8</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t="s">
        <v>96</v>
      </c>
      <c r="AT94" s="27" t="s">
        <v>87</v>
      </c>
      <c r="AU94" s="27"/>
      <c r="AW94" s="25" t="s">
        <v>90</v>
      </c>
      <c r="AX94" s="27" t="s">
        <v>95</v>
      </c>
      <c r="AY94" s="27"/>
      <c r="AZ94" s="32"/>
      <c r="BA94" s="41"/>
    </row>
    <row r="95" spans="1:53" x14ac:dyDescent="0.2">
      <c r="A95" s="25">
        <v>86</v>
      </c>
      <c r="B95" s="26">
        <v>45456</v>
      </c>
      <c r="C95" s="27"/>
      <c r="D95" s="25"/>
      <c r="E95" s="28"/>
      <c r="F95" s="27"/>
      <c r="G95" s="28"/>
      <c r="H95" s="27"/>
      <c r="I95" s="28"/>
      <c r="J95" s="27">
        <v>8</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t="s">
        <v>96</v>
      </c>
      <c r="AT95" s="27" t="s">
        <v>87</v>
      </c>
      <c r="AU95" s="27"/>
      <c r="AW95" s="25" t="s">
        <v>90</v>
      </c>
      <c r="AX95" s="27" t="s">
        <v>95</v>
      </c>
      <c r="AY95" s="27"/>
      <c r="AZ95" s="32"/>
      <c r="BA95" s="41"/>
    </row>
    <row r="96" spans="1:53" x14ac:dyDescent="0.2">
      <c r="A96" s="25">
        <v>87</v>
      </c>
      <c r="B96" s="26">
        <v>45457</v>
      </c>
      <c r="C96" s="27"/>
      <c r="D96" s="25"/>
      <c r="E96" s="28"/>
      <c r="F96" s="27"/>
      <c r="G96" s="28"/>
      <c r="H96" s="27"/>
      <c r="I96" s="28"/>
      <c r="J96" s="27">
        <v>8</v>
      </c>
      <c r="K96" s="29" t="s">
        <v>35</v>
      </c>
      <c r="L96" s="39"/>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t="s">
        <v>96</v>
      </c>
      <c r="AT96" s="27" t="s">
        <v>87</v>
      </c>
      <c r="AU96" s="27"/>
      <c r="AW96" s="25" t="s">
        <v>90</v>
      </c>
      <c r="AX96" s="27" t="s">
        <v>95</v>
      </c>
      <c r="AY96" s="27"/>
      <c r="AZ96" s="32"/>
      <c r="BA96" s="41"/>
    </row>
    <row r="97" spans="1:53" x14ac:dyDescent="0.2">
      <c r="A97" s="25">
        <v>88</v>
      </c>
      <c r="B97" s="26">
        <v>45458</v>
      </c>
      <c r="C97" s="27"/>
      <c r="D97" s="25"/>
      <c r="E97" s="28"/>
      <c r="F97" s="27"/>
      <c r="G97" s="28"/>
      <c r="H97" s="27"/>
      <c r="I97" s="28"/>
      <c r="J97" s="27">
        <v>8</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t="s">
        <v>96</v>
      </c>
      <c r="AT97" s="27" t="s">
        <v>87</v>
      </c>
      <c r="AU97" s="27"/>
      <c r="AW97" s="25" t="s">
        <v>90</v>
      </c>
      <c r="AX97" s="27" t="s">
        <v>95</v>
      </c>
      <c r="AY97" s="27"/>
      <c r="AZ97" s="32"/>
      <c r="BA97" s="41"/>
    </row>
    <row r="98" spans="1:53" x14ac:dyDescent="0.2">
      <c r="A98" s="25">
        <v>89</v>
      </c>
      <c r="B98" s="26">
        <v>45459</v>
      </c>
      <c r="C98" s="27"/>
      <c r="D98" s="25"/>
      <c r="E98" s="28"/>
      <c r="F98" s="27"/>
      <c r="G98" s="28"/>
      <c r="H98" s="27"/>
      <c r="I98" s="28"/>
      <c r="J98" s="27">
        <v>8</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c r="AO98" s="27"/>
      <c r="AP98" s="36"/>
      <c r="AQ98" s="37"/>
      <c r="AR98" s="32"/>
      <c r="AS98" s="25" t="s">
        <v>96</v>
      </c>
      <c r="AT98" s="27" t="s">
        <v>87</v>
      </c>
      <c r="AU98" s="27"/>
      <c r="AW98" s="25" t="s">
        <v>90</v>
      </c>
      <c r="AX98" s="27" t="s">
        <v>95</v>
      </c>
      <c r="AY98" s="27"/>
      <c r="AZ98" s="32"/>
      <c r="BA98" s="41"/>
    </row>
    <row r="99" spans="1:53" x14ac:dyDescent="0.2">
      <c r="A99" s="25">
        <v>90</v>
      </c>
      <c r="B99" s="26">
        <v>45460</v>
      </c>
      <c r="C99" s="27"/>
      <c r="D99" s="25"/>
      <c r="E99" s="28"/>
      <c r="F99" s="27"/>
      <c r="G99" s="28"/>
      <c r="H99" s="27"/>
      <c r="I99" s="28"/>
      <c r="J99" s="27">
        <v>8</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c r="AO99" s="27"/>
      <c r="AP99" s="36"/>
      <c r="AQ99" s="37"/>
      <c r="AR99" s="32"/>
      <c r="AS99" s="25" t="s">
        <v>96</v>
      </c>
      <c r="AT99" s="27" t="s">
        <v>87</v>
      </c>
      <c r="AU99" s="27"/>
      <c r="AW99" s="25" t="s">
        <v>90</v>
      </c>
      <c r="AX99" s="27" t="s">
        <v>95</v>
      </c>
      <c r="AY99" s="27"/>
      <c r="AZ99" s="32"/>
      <c r="BA99" s="41"/>
    </row>
    <row r="100" spans="1:53" x14ac:dyDescent="0.2">
      <c r="A100" s="25">
        <v>91</v>
      </c>
      <c r="B100" s="26">
        <v>45461</v>
      </c>
      <c r="C100" s="27"/>
      <c r="AS100" s="25" t="s">
        <v>96</v>
      </c>
      <c r="AT100" s="27" t="s">
        <v>87</v>
      </c>
      <c r="AU100" s="27"/>
      <c r="AW100" s="25" t="s">
        <v>90</v>
      </c>
      <c r="AX100" s="27" t="s">
        <v>95</v>
      </c>
    </row>
    <row r="101" spans="1:53" x14ac:dyDescent="0.2">
      <c r="A101" s="25">
        <v>92</v>
      </c>
      <c r="B101" s="26">
        <v>45462</v>
      </c>
      <c r="C101" s="27"/>
      <c r="AS101" s="25" t="s">
        <v>96</v>
      </c>
      <c r="AT101" s="27" t="s">
        <v>87</v>
      </c>
      <c r="AU101" s="27"/>
      <c r="AW101" s="25" t="s">
        <v>90</v>
      </c>
      <c r="AX101" s="27" t="s">
        <v>95</v>
      </c>
    </row>
    <row r="102" spans="1:53" x14ac:dyDescent="0.2">
      <c r="A102" s="25">
        <v>93</v>
      </c>
      <c r="B102" s="26">
        <v>45463</v>
      </c>
      <c r="C102" s="27"/>
      <c r="AS102" s="25" t="s">
        <v>96</v>
      </c>
      <c r="AT102" s="27" t="s">
        <v>87</v>
      </c>
      <c r="AU102" s="27"/>
      <c r="AW102" s="25" t="s">
        <v>90</v>
      </c>
      <c r="AX102" s="27" t="s">
        <v>95</v>
      </c>
    </row>
    <row r="103" spans="1:53" x14ac:dyDescent="0.2">
      <c r="A103" s="25">
        <v>94</v>
      </c>
      <c r="B103" s="26">
        <v>45464</v>
      </c>
      <c r="C103" s="27"/>
      <c r="AS103" s="25" t="s">
        <v>96</v>
      </c>
      <c r="AT103" s="27" t="s">
        <v>87</v>
      </c>
      <c r="AU103" s="27"/>
      <c r="AW103" s="25" t="s">
        <v>90</v>
      </c>
      <c r="AX103" s="27" t="s">
        <v>95</v>
      </c>
    </row>
    <row r="104" spans="1:53" x14ac:dyDescent="0.2">
      <c r="A104" s="25">
        <v>95</v>
      </c>
      <c r="B104" s="26">
        <v>45465</v>
      </c>
      <c r="C104" s="27"/>
      <c r="AS104" s="25" t="s">
        <v>96</v>
      </c>
      <c r="AT104" s="27" t="s">
        <v>87</v>
      </c>
      <c r="AU104" s="27"/>
      <c r="AW104" s="25" t="s">
        <v>90</v>
      </c>
      <c r="AX104" s="27" t="s">
        <v>95</v>
      </c>
    </row>
    <row r="105" spans="1:53" x14ac:dyDescent="0.2">
      <c r="A105" s="25">
        <v>96</v>
      </c>
      <c r="B105" s="26">
        <v>45466</v>
      </c>
      <c r="C105" s="27"/>
      <c r="AS105" s="25" t="s">
        <v>96</v>
      </c>
      <c r="AT105" s="27" t="s">
        <v>87</v>
      </c>
      <c r="AU105" s="27"/>
      <c r="AW105" s="25" t="s">
        <v>90</v>
      </c>
      <c r="AX105" s="27" t="s">
        <v>95</v>
      </c>
      <c r="BA105">
        <v>0</v>
      </c>
    </row>
    <row r="106" spans="1:53" x14ac:dyDescent="0.2">
      <c r="A106" s="25">
        <v>97</v>
      </c>
      <c r="B106" s="26">
        <v>45467</v>
      </c>
      <c r="C106" s="27"/>
      <c r="AS106" s="25" t="s">
        <v>96</v>
      </c>
      <c r="AT106" s="27" t="s">
        <v>87</v>
      </c>
      <c r="AU106" s="27"/>
      <c r="AW106" s="25" t="s">
        <v>90</v>
      </c>
      <c r="AX106" s="27" t="s">
        <v>95</v>
      </c>
    </row>
    <row r="107" spans="1:53" x14ac:dyDescent="0.2">
      <c r="A107" s="25">
        <v>98</v>
      </c>
      <c r="B107" s="26">
        <v>45468</v>
      </c>
      <c r="C107" s="27"/>
      <c r="K107" s="172"/>
      <c r="AS107" s="25" t="s">
        <v>96</v>
      </c>
      <c r="AT107" s="27" t="s">
        <v>87</v>
      </c>
      <c r="AU107" s="27"/>
      <c r="AW107" s="25" t="s">
        <v>90</v>
      </c>
      <c r="AX107" s="27" t="s">
        <v>95</v>
      </c>
      <c r="BA107">
        <v>0</v>
      </c>
    </row>
    <row r="108" spans="1:53" x14ac:dyDescent="0.2">
      <c r="A108" s="25">
        <v>99</v>
      </c>
      <c r="B108" s="26">
        <v>45469</v>
      </c>
      <c r="AS108" s="25" t="s">
        <v>96</v>
      </c>
      <c r="AT108" s="27" t="s">
        <v>87</v>
      </c>
      <c r="AU108" s="27"/>
      <c r="AW108" s="25" t="s">
        <v>90</v>
      </c>
      <c r="AX108" s="27" t="s">
        <v>95</v>
      </c>
    </row>
    <row r="109" spans="1:53" x14ac:dyDescent="0.2">
      <c r="A109" s="25">
        <v>100</v>
      </c>
      <c r="B109" s="26">
        <v>45470</v>
      </c>
      <c r="C109" s="27"/>
      <c r="AS109" s="25" t="s">
        <v>96</v>
      </c>
      <c r="AT109" s="27" t="s">
        <v>87</v>
      </c>
      <c r="AU109" s="27"/>
      <c r="AW109" s="25" t="s">
        <v>90</v>
      </c>
      <c r="AX109" s="27" t="s">
        <v>95</v>
      </c>
    </row>
    <row r="110" spans="1:53" x14ac:dyDescent="0.2">
      <c r="A110" s="25">
        <v>101</v>
      </c>
      <c r="B110" s="26">
        <v>45471</v>
      </c>
      <c r="C110" s="27"/>
      <c r="AS110" s="25" t="s">
        <v>96</v>
      </c>
      <c r="AT110" s="27" t="s">
        <v>87</v>
      </c>
      <c r="AU110" s="27"/>
      <c r="AW110" s="25" t="s">
        <v>90</v>
      </c>
      <c r="AX110" s="27" t="s">
        <v>95</v>
      </c>
    </row>
    <row r="111" spans="1:53" x14ac:dyDescent="0.2">
      <c r="A111" s="25">
        <v>102</v>
      </c>
      <c r="B111" s="26">
        <v>45472</v>
      </c>
      <c r="C111" s="27"/>
      <c r="AS111" s="25" t="s">
        <v>96</v>
      </c>
      <c r="AT111" s="27" t="s">
        <v>87</v>
      </c>
      <c r="AU111" s="27"/>
      <c r="AW111" s="25" t="s">
        <v>90</v>
      </c>
      <c r="AX111" s="27" t="s">
        <v>95</v>
      </c>
    </row>
    <row r="112" spans="1:53" x14ac:dyDescent="0.2">
      <c r="A112" s="25">
        <v>103</v>
      </c>
      <c r="B112" s="26">
        <v>45473</v>
      </c>
      <c r="C112" s="27"/>
      <c r="AS112" s="25" t="s">
        <v>96</v>
      </c>
      <c r="AT112" s="27" t="s">
        <v>87</v>
      </c>
      <c r="AU112" s="27"/>
      <c r="AW112" s="25" t="s">
        <v>90</v>
      </c>
      <c r="AX112" s="27" t="s">
        <v>95</v>
      </c>
    </row>
    <row r="113" spans="1:50" x14ac:dyDescent="0.2">
      <c r="A113" s="25">
        <v>104</v>
      </c>
      <c r="B113" s="26">
        <v>45474</v>
      </c>
      <c r="C113" s="27"/>
      <c r="AS113" s="25" t="s">
        <v>96</v>
      </c>
      <c r="AT113" s="27" t="s">
        <v>87</v>
      </c>
      <c r="AU113" s="27"/>
      <c r="AW113" s="25" t="s">
        <v>90</v>
      </c>
      <c r="AX113" s="27" t="s">
        <v>95</v>
      </c>
    </row>
    <row r="114" spans="1:50" x14ac:dyDescent="0.2">
      <c r="A114" s="25">
        <v>105</v>
      </c>
      <c r="B114" s="26">
        <v>45475</v>
      </c>
      <c r="C114" s="27"/>
      <c r="AS114" s="25" t="s">
        <v>96</v>
      </c>
      <c r="AT114" s="27" t="s">
        <v>87</v>
      </c>
      <c r="AU114" s="27"/>
      <c r="AW114" s="25" t="s">
        <v>90</v>
      </c>
      <c r="AX114" s="27" t="s">
        <v>95</v>
      </c>
    </row>
    <row r="115" spans="1:50" x14ac:dyDescent="0.2">
      <c r="A115" s="25">
        <v>106</v>
      </c>
      <c r="B115" s="26">
        <v>45476</v>
      </c>
    </row>
    <row r="116" spans="1:50" x14ac:dyDescent="0.2">
      <c r="A116" s="25">
        <v>107</v>
      </c>
      <c r="B116" s="26">
        <v>45477</v>
      </c>
      <c r="C116" s="27"/>
    </row>
    <row r="117" spans="1:50" x14ac:dyDescent="0.2">
      <c r="A117" s="25">
        <v>108</v>
      </c>
      <c r="B117" s="26">
        <v>45478</v>
      </c>
      <c r="C117" s="27"/>
    </row>
    <row r="118" spans="1:50" x14ac:dyDescent="0.2">
      <c r="A118" s="25">
        <v>109</v>
      </c>
      <c r="B118" s="26">
        <v>45479</v>
      </c>
      <c r="C118" s="27"/>
    </row>
    <row r="119" spans="1:50" x14ac:dyDescent="0.2">
      <c r="A119" s="25">
        <v>110</v>
      </c>
      <c r="B119" s="26">
        <v>45480</v>
      </c>
      <c r="C119" s="27"/>
    </row>
    <row r="120" spans="1:50" x14ac:dyDescent="0.2">
      <c r="A120" s="25">
        <v>111</v>
      </c>
      <c r="B120" s="26">
        <v>45481</v>
      </c>
      <c r="C120" s="27"/>
    </row>
    <row r="121" spans="1:50" s="173" customFormat="1" x14ac:dyDescent="0.2">
      <c r="A121" s="173">
        <v>112</v>
      </c>
      <c r="B121" s="26">
        <v>45482</v>
      </c>
    </row>
    <row r="122" spans="1:50" x14ac:dyDescent="0.2">
      <c r="A122" s="25">
        <v>113</v>
      </c>
      <c r="B122" s="26">
        <v>45483</v>
      </c>
      <c r="C122" s="27"/>
    </row>
    <row r="123" spans="1:50" x14ac:dyDescent="0.2">
      <c r="A123" s="25">
        <v>114</v>
      </c>
      <c r="B123" s="26">
        <v>45484</v>
      </c>
      <c r="C123" s="27"/>
    </row>
    <row r="124" spans="1:50" x14ac:dyDescent="0.2">
      <c r="A124" s="25">
        <v>115</v>
      </c>
      <c r="B124" s="26">
        <v>45485</v>
      </c>
      <c r="C124" s="27"/>
    </row>
    <row r="125" spans="1:50" x14ac:dyDescent="0.2">
      <c r="B125" s="26">
        <v>45486</v>
      </c>
    </row>
  </sheetData>
  <mergeCells count="52">
    <mergeCell ref="A3:C5"/>
    <mergeCell ref="D3:M5"/>
    <mergeCell ref="N3:P5"/>
    <mergeCell ref="Q3:Y5"/>
    <mergeCell ref="Z3:AF5"/>
    <mergeCell ref="A6:A8"/>
    <mergeCell ref="B6:B8"/>
    <mergeCell ref="C6:C8"/>
    <mergeCell ref="D6:E7"/>
    <mergeCell ref="F6:G7"/>
    <mergeCell ref="N6:N8"/>
    <mergeCell ref="AS3:AV5"/>
    <mergeCell ref="AW3:AZ5"/>
    <mergeCell ref="BA3:BA5"/>
    <mergeCell ref="AG5:AK5"/>
    <mergeCell ref="AM5:AP5"/>
    <mergeCell ref="AG3:AP4"/>
    <mergeCell ref="O6:O8"/>
    <mergeCell ref="P6:P8"/>
    <mergeCell ref="Q6:Q8"/>
    <mergeCell ref="R6:T7"/>
    <mergeCell ref="U6:W7"/>
    <mergeCell ref="AX6:AX8"/>
    <mergeCell ref="AY6:AY8"/>
    <mergeCell ref="AZ6:AZ8"/>
    <mergeCell ref="BA6:BA8"/>
    <mergeCell ref="H6:I7"/>
    <mergeCell ref="J6:J8"/>
    <mergeCell ref="K6:K8"/>
    <mergeCell ref="L6:L8"/>
    <mergeCell ref="M6:M8"/>
    <mergeCell ref="O29:O49"/>
    <mergeCell ref="AR6:AR8"/>
    <mergeCell ref="AS6:AS8"/>
    <mergeCell ref="AT6:AT8"/>
    <mergeCell ref="AU6:AU8"/>
    <mergeCell ref="AH6:AH8"/>
    <mergeCell ref="AI6:AK7"/>
    <mergeCell ref="AL6:AL8"/>
    <mergeCell ref="AM6:AM7"/>
    <mergeCell ref="AN6:AP7"/>
    <mergeCell ref="AQ6:AQ8"/>
    <mergeCell ref="Y6:Y8"/>
    <mergeCell ref="Z6:AB7"/>
    <mergeCell ref="AC6:AD7"/>
    <mergeCell ref="AE6:AE8"/>
    <mergeCell ref="AF6:AF8"/>
    <mergeCell ref="X13:X20"/>
    <mergeCell ref="AV6:AV8"/>
    <mergeCell ref="AW6:AW8"/>
    <mergeCell ref="AG6:AG7"/>
    <mergeCell ref="X6:X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E1171-CF24-4C20-B2D3-4E3D2ACB20CC}">
  <dimension ref="A1:BA124"/>
  <sheetViews>
    <sheetView topLeftCell="A16" zoomScale="85" zoomScaleNormal="85" workbookViewId="0">
      <pane xSplit="1" topLeftCell="B1" activePane="topRight" state="frozen"/>
      <selection pane="topRight" activeCell="C45" sqref="C45"/>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10.6640625" customWidth="1"/>
    <col min="11" max="11" width="12.33203125"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6" customWidth="1"/>
    <col min="32" max="32" width="41.1640625" bestFit="1" customWidth="1"/>
    <col min="33" max="33" width="11.83203125" bestFit="1" customWidth="1"/>
    <col min="34" max="34" width="14" bestFit="1" customWidth="1"/>
    <col min="35" max="35" width="7.33203125" customWidth="1"/>
    <col min="36" max="36" width="6.5" bestFit="1" customWidth="1"/>
    <col min="37" max="37" width="7.8320312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x14ac:dyDescent="0.2">
      <c r="A1" t="s">
        <v>309</v>
      </c>
    </row>
    <row r="2" spans="1:53" ht="16" thickBot="1" x14ac:dyDescent="0.25"/>
    <row r="3" spans="1:53" ht="23" x14ac:dyDescent="0.2">
      <c r="A3" s="209" t="s">
        <v>0</v>
      </c>
      <c r="B3" s="210"/>
      <c r="C3" s="210"/>
      <c r="D3" s="215" t="s">
        <v>1</v>
      </c>
      <c r="E3" s="215"/>
      <c r="F3" s="215"/>
      <c r="G3" s="215"/>
      <c r="H3" s="215"/>
      <c r="I3" s="215"/>
      <c r="J3" s="215"/>
      <c r="K3" s="215"/>
      <c r="L3" s="215"/>
      <c r="M3" s="215"/>
      <c r="N3" s="218" t="s">
        <v>2</v>
      </c>
      <c r="O3" s="218"/>
      <c r="P3" s="219"/>
      <c r="Q3" s="224" t="s">
        <v>3</v>
      </c>
      <c r="R3" s="225"/>
      <c r="S3" s="225"/>
      <c r="T3" s="225"/>
      <c r="U3" s="225"/>
      <c r="V3" s="225"/>
      <c r="W3" s="225"/>
      <c r="X3" s="225"/>
      <c r="Y3" s="226"/>
      <c r="Z3" s="230" t="s">
        <v>4</v>
      </c>
      <c r="AA3" s="231"/>
      <c r="AB3" s="231"/>
      <c r="AC3" s="231"/>
      <c r="AD3" s="231"/>
      <c r="AE3" s="231"/>
      <c r="AF3" s="232"/>
      <c r="AG3" s="271" t="s">
        <v>5</v>
      </c>
      <c r="AH3" s="271"/>
      <c r="AI3" s="271"/>
      <c r="AJ3" s="271"/>
      <c r="AK3" s="271"/>
      <c r="AL3" s="271"/>
      <c r="AM3" s="271"/>
      <c r="AN3" s="271"/>
      <c r="AO3" s="271"/>
      <c r="AP3" s="271"/>
      <c r="AQ3" s="1"/>
      <c r="AR3" s="2"/>
      <c r="AS3" s="251" t="s">
        <v>6</v>
      </c>
      <c r="AT3" s="252"/>
      <c r="AU3" s="252"/>
      <c r="AV3" s="252"/>
      <c r="AW3" s="257" t="s">
        <v>7</v>
      </c>
      <c r="AX3" s="258"/>
      <c r="AY3" s="258"/>
      <c r="AZ3" s="259"/>
      <c r="BA3" s="266" t="s">
        <v>8</v>
      </c>
    </row>
    <row r="4" spans="1:53" ht="23" x14ac:dyDescent="0.2">
      <c r="A4" s="211"/>
      <c r="B4" s="212"/>
      <c r="C4" s="212"/>
      <c r="D4" s="216"/>
      <c r="E4" s="216"/>
      <c r="F4" s="216"/>
      <c r="G4" s="216"/>
      <c r="H4" s="216"/>
      <c r="I4" s="216"/>
      <c r="J4" s="216"/>
      <c r="K4" s="216"/>
      <c r="L4" s="216"/>
      <c r="M4" s="216"/>
      <c r="N4" s="220"/>
      <c r="O4" s="220"/>
      <c r="P4" s="221"/>
      <c r="Q4" s="227"/>
      <c r="R4" s="228"/>
      <c r="S4" s="228"/>
      <c r="T4" s="228"/>
      <c r="U4" s="228"/>
      <c r="V4" s="228"/>
      <c r="W4" s="228"/>
      <c r="X4" s="228"/>
      <c r="Y4" s="229"/>
      <c r="Z4" s="233"/>
      <c r="AA4" s="234"/>
      <c r="AB4" s="234"/>
      <c r="AC4" s="234"/>
      <c r="AD4" s="234"/>
      <c r="AE4" s="234"/>
      <c r="AF4" s="235"/>
      <c r="AG4" s="272"/>
      <c r="AH4" s="272"/>
      <c r="AI4" s="272"/>
      <c r="AJ4" s="272"/>
      <c r="AK4" s="272"/>
      <c r="AL4" s="272"/>
      <c r="AM4" s="272"/>
      <c r="AN4" s="272"/>
      <c r="AO4" s="272"/>
      <c r="AP4" s="272"/>
      <c r="AQ4" s="3"/>
      <c r="AR4" s="4"/>
      <c r="AS4" s="253"/>
      <c r="AT4" s="254"/>
      <c r="AU4" s="254"/>
      <c r="AV4" s="254"/>
      <c r="AW4" s="260"/>
      <c r="AX4" s="261"/>
      <c r="AY4" s="261"/>
      <c r="AZ4" s="262"/>
      <c r="BA4" s="267"/>
    </row>
    <row r="5" spans="1:53" ht="21" thickBot="1" x14ac:dyDescent="0.25">
      <c r="A5" s="213"/>
      <c r="B5" s="214"/>
      <c r="C5" s="214"/>
      <c r="D5" s="217"/>
      <c r="E5" s="217"/>
      <c r="F5" s="217"/>
      <c r="G5" s="217"/>
      <c r="H5" s="217"/>
      <c r="I5" s="217"/>
      <c r="J5" s="217"/>
      <c r="K5" s="217"/>
      <c r="L5" s="217"/>
      <c r="M5" s="217"/>
      <c r="N5" s="222"/>
      <c r="O5" s="222"/>
      <c r="P5" s="223"/>
      <c r="Q5" s="227"/>
      <c r="R5" s="228"/>
      <c r="S5" s="228"/>
      <c r="T5" s="228"/>
      <c r="U5" s="228"/>
      <c r="V5" s="228"/>
      <c r="W5" s="228"/>
      <c r="X5" s="228"/>
      <c r="Y5" s="229"/>
      <c r="Z5" s="233"/>
      <c r="AA5" s="234"/>
      <c r="AB5" s="234"/>
      <c r="AC5" s="234"/>
      <c r="AD5" s="234"/>
      <c r="AE5" s="234"/>
      <c r="AF5" s="235"/>
      <c r="AG5" s="269" t="s">
        <v>9</v>
      </c>
      <c r="AH5" s="269"/>
      <c r="AI5" s="269"/>
      <c r="AJ5" s="269"/>
      <c r="AK5" s="270"/>
      <c r="AL5" s="5"/>
      <c r="AM5" s="269" t="s">
        <v>10</v>
      </c>
      <c r="AN5" s="269"/>
      <c r="AO5" s="269"/>
      <c r="AP5" s="270"/>
      <c r="AQ5" s="6"/>
      <c r="AR5" s="7"/>
      <c r="AS5" s="255"/>
      <c r="AT5" s="256"/>
      <c r="AU5" s="256"/>
      <c r="AV5" s="256"/>
      <c r="AW5" s="263"/>
      <c r="AX5" s="264"/>
      <c r="AY5" s="264"/>
      <c r="AZ5" s="265"/>
      <c r="BA5" s="268"/>
    </row>
    <row r="6" spans="1:53" x14ac:dyDescent="0.2">
      <c r="A6" s="236" t="s">
        <v>11</v>
      </c>
      <c r="B6" s="239" t="s">
        <v>12</v>
      </c>
      <c r="C6" s="239" t="s">
        <v>13</v>
      </c>
      <c r="D6" s="242" t="s">
        <v>14</v>
      </c>
      <c r="E6" s="243"/>
      <c r="F6" s="246" t="s">
        <v>15</v>
      </c>
      <c r="G6" s="243"/>
      <c r="H6" s="292" t="s">
        <v>16</v>
      </c>
      <c r="I6" s="293"/>
      <c r="J6" s="296" t="s">
        <v>17</v>
      </c>
      <c r="K6" s="299" t="s">
        <v>18</v>
      </c>
      <c r="L6" s="292" t="s">
        <v>19</v>
      </c>
      <c r="M6" s="303" t="s">
        <v>20</v>
      </c>
      <c r="N6" s="248" t="s">
        <v>21</v>
      </c>
      <c r="O6" s="248" t="s">
        <v>19</v>
      </c>
      <c r="P6" s="248" t="s">
        <v>20</v>
      </c>
      <c r="Q6" s="273" t="s">
        <v>22</v>
      </c>
      <c r="R6" s="276" t="s">
        <v>23</v>
      </c>
      <c r="S6" s="276"/>
      <c r="T6" s="277"/>
      <c r="U6" s="280" t="s">
        <v>24</v>
      </c>
      <c r="V6" s="280"/>
      <c r="W6" s="281"/>
      <c r="X6" s="353" t="s">
        <v>19</v>
      </c>
      <c r="Y6" s="330" t="s">
        <v>20</v>
      </c>
      <c r="Z6" s="333" t="s">
        <v>23</v>
      </c>
      <c r="AA6" s="334"/>
      <c r="AB6" s="335"/>
      <c r="AC6" s="339" t="s">
        <v>24</v>
      </c>
      <c r="AD6" s="339"/>
      <c r="AE6" s="339" t="s">
        <v>19</v>
      </c>
      <c r="AF6" s="342" t="s">
        <v>20</v>
      </c>
      <c r="AG6" s="351" t="s">
        <v>25</v>
      </c>
      <c r="AH6" s="318" t="s">
        <v>26</v>
      </c>
      <c r="AI6" s="321" t="s">
        <v>24</v>
      </c>
      <c r="AJ6" s="321"/>
      <c r="AK6" s="321"/>
      <c r="AL6" s="323" t="s">
        <v>27</v>
      </c>
      <c r="AM6" s="325" t="s">
        <v>25</v>
      </c>
      <c r="AN6" s="321" t="s">
        <v>24</v>
      </c>
      <c r="AO6" s="321"/>
      <c r="AP6" s="309"/>
      <c r="AQ6" s="327" t="s">
        <v>19</v>
      </c>
      <c r="AR6" s="309" t="s">
        <v>20</v>
      </c>
      <c r="AS6" s="312" t="s">
        <v>28</v>
      </c>
      <c r="AT6" s="315" t="s">
        <v>29</v>
      </c>
      <c r="AU6" s="315" t="s">
        <v>19</v>
      </c>
      <c r="AV6" s="315" t="s">
        <v>20</v>
      </c>
      <c r="AW6" s="348" t="s">
        <v>30</v>
      </c>
      <c r="AX6" s="284" t="s">
        <v>29</v>
      </c>
      <c r="AY6" s="284" t="s">
        <v>19</v>
      </c>
      <c r="AZ6" s="287" t="s">
        <v>20</v>
      </c>
      <c r="BA6" s="290" t="s">
        <v>31</v>
      </c>
    </row>
    <row r="7" spans="1:53" x14ac:dyDescent="0.2">
      <c r="A7" s="237"/>
      <c r="B7" s="240"/>
      <c r="C7" s="240"/>
      <c r="D7" s="244"/>
      <c r="E7" s="245"/>
      <c r="F7" s="247"/>
      <c r="G7" s="245"/>
      <c r="H7" s="294"/>
      <c r="I7" s="295"/>
      <c r="J7" s="297"/>
      <c r="K7" s="300"/>
      <c r="L7" s="294"/>
      <c r="M7" s="304"/>
      <c r="N7" s="249"/>
      <c r="O7" s="249"/>
      <c r="P7" s="249"/>
      <c r="Q7" s="274"/>
      <c r="R7" s="278"/>
      <c r="S7" s="278"/>
      <c r="T7" s="279"/>
      <c r="U7" s="282"/>
      <c r="V7" s="282"/>
      <c r="W7" s="283"/>
      <c r="X7" s="354"/>
      <c r="Y7" s="331"/>
      <c r="Z7" s="336"/>
      <c r="AA7" s="337"/>
      <c r="AB7" s="338"/>
      <c r="AC7" s="340"/>
      <c r="AD7" s="340"/>
      <c r="AE7" s="340"/>
      <c r="AF7" s="343"/>
      <c r="AG7" s="352"/>
      <c r="AH7" s="319"/>
      <c r="AI7" s="322"/>
      <c r="AJ7" s="322"/>
      <c r="AK7" s="322"/>
      <c r="AL7" s="324"/>
      <c r="AM7" s="326"/>
      <c r="AN7" s="322"/>
      <c r="AO7" s="322"/>
      <c r="AP7" s="310"/>
      <c r="AQ7" s="328"/>
      <c r="AR7" s="310"/>
      <c r="AS7" s="313"/>
      <c r="AT7" s="316"/>
      <c r="AU7" s="316"/>
      <c r="AV7" s="316"/>
      <c r="AW7" s="349"/>
      <c r="AX7" s="285"/>
      <c r="AY7" s="285"/>
      <c r="AZ7" s="288"/>
      <c r="BA7" s="290"/>
    </row>
    <row r="8" spans="1:53" ht="16" thickBot="1" x14ac:dyDescent="0.25">
      <c r="A8" s="238"/>
      <c r="B8" s="241"/>
      <c r="C8" s="241"/>
      <c r="D8" s="8" t="s">
        <v>32</v>
      </c>
      <c r="E8" s="9" t="s">
        <v>33</v>
      </c>
      <c r="F8" s="10" t="s">
        <v>32</v>
      </c>
      <c r="G8" s="9" t="s">
        <v>33</v>
      </c>
      <c r="H8" s="11" t="s">
        <v>32</v>
      </c>
      <c r="I8" s="12" t="s">
        <v>33</v>
      </c>
      <c r="J8" s="298"/>
      <c r="K8" s="301"/>
      <c r="L8" s="302"/>
      <c r="M8" s="305"/>
      <c r="N8" s="250"/>
      <c r="O8" s="250"/>
      <c r="P8" s="250"/>
      <c r="Q8" s="275"/>
      <c r="R8" s="13" t="s">
        <v>32</v>
      </c>
      <c r="S8" s="13" t="s">
        <v>34</v>
      </c>
      <c r="T8" s="14" t="s">
        <v>33</v>
      </c>
      <c r="U8" s="15" t="s">
        <v>32</v>
      </c>
      <c r="V8" s="15" t="s">
        <v>34</v>
      </c>
      <c r="W8" s="16" t="s">
        <v>33</v>
      </c>
      <c r="X8" s="355"/>
      <c r="Y8" s="332"/>
      <c r="Z8" s="17" t="s">
        <v>32</v>
      </c>
      <c r="AA8" s="18" t="s">
        <v>34</v>
      </c>
      <c r="AB8" s="19" t="s">
        <v>33</v>
      </c>
      <c r="AC8" s="20" t="s">
        <v>32</v>
      </c>
      <c r="AD8" s="20" t="s">
        <v>34</v>
      </c>
      <c r="AE8" s="341"/>
      <c r="AF8" s="344"/>
      <c r="AG8" s="21" t="s">
        <v>34</v>
      </c>
      <c r="AH8" s="320"/>
      <c r="AI8" s="22" t="s">
        <v>32</v>
      </c>
      <c r="AJ8" s="22" t="s">
        <v>34</v>
      </c>
      <c r="AK8" s="22" t="s">
        <v>33</v>
      </c>
      <c r="AL8" s="324"/>
      <c r="AM8" s="23" t="s">
        <v>33</v>
      </c>
      <c r="AN8" s="22" t="s">
        <v>32</v>
      </c>
      <c r="AO8" s="22" t="s">
        <v>34</v>
      </c>
      <c r="AP8" s="24" t="s">
        <v>33</v>
      </c>
      <c r="AQ8" s="329"/>
      <c r="AR8" s="311"/>
      <c r="AS8" s="314"/>
      <c r="AT8" s="317"/>
      <c r="AU8" s="317"/>
      <c r="AV8" s="317"/>
      <c r="AW8" s="350"/>
      <c r="AX8" s="286"/>
      <c r="AY8" s="286"/>
      <c r="AZ8" s="289"/>
      <c r="BA8" s="291"/>
    </row>
    <row r="9" spans="1:53" ht="16" thickBot="1" x14ac:dyDescent="0.25">
      <c r="A9" s="25">
        <v>0</v>
      </c>
      <c r="B9" s="26">
        <v>45334</v>
      </c>
      <c r="C9" s="27" t="s">
        <v>232</v>
      </c>
      <c r="D9" s="25"/>
      <c r="E9" s="28"/>
      <c r="F9" s="27"/>
      <c r="G9" s="28"/>
      <c r="H9" s="27"/>
      <c r="I9" s="28"/>
      <c r="J9" s="27">
        <v>4</v>
      </c>
      <c r="K9" s="29" t="s">
        <v>35</v>
      </c>
      <c r="L9" s="30" t="s">
        <v>306</v>
      </c>
      <c r="M9" s="31" t="s">
        <v>282</v>
      </c>
      <c r="N9" s="27"/>
      <c r="P9" s="32"/>
      <c r="Q9" s="25"/>
      <c r="R9" s="27"/>
      <c r="S9" s="27"/>
      <c r="T9" s="28"/>
      <c r="U9" s="27"/>
      <c r="V9" s="27"/>
      <c r="W9" s="28"/>
      <c r="X9" s="33"/>
      <c r="Y9" s="32"/>
      <c r="Z9" s="25"/>
      <c r="AA9" s="27"/>
      <c r="AB9" s="28"/>
      <c r="AC9" s="27"/>
      <c r="AD9" s="27"/>
      <c r="AE9" s="33"/>
      <c r="AG9" s="25"/>
      <c r="AH9" s="34"/>
      <c r="AI9" s="27"/>
      <c r="AJ9" s="27"/>
      <c r="AK9" s="27"/>
      <c r="AL9" s="25"/>
      <c r="AM9" s="35"/>
      <c r="AN9" s="27"/>
      <c r="AO9" s="27"/>
      <c r="AP9" s="36"/>
      <c r="AQ9" s="37"/>
      <c r="AR9" s="32"/>
      <c r="AS9" s="25"/>
      <c r="AT9" s="27"/>
      <c r="AU9" s="27"/>
      <c r="AW9" s="25"/>
      <c r="AX9" s="27"/>
      <c r="AY9" s="27"/>
      <c r="AZ9" s="32"/>
      <c r="BA9" s="38"/>
    </row>
    <row r="10" spans="1:53" ht="16" thickBot="1" x14ac:dyDescent="0.25">
      <c r="A10" s="25">
        <v>1</v>
      </c>
      <c r="B10" s="26">
        <v>45335</v>
      </c>
      <c r="C10" s="27" t="s">
        <v>232</v>
      </c>
      <c r="D10" s="25"/>
      <c r="E10" s="28"/>
      <c r="F10" s="27"/>
      <c r="G10" s="28"/>
      <c r="H10" s="27"/>
      <c r="I10" s="28"/>
      <c r="J10" s="27">
        <v>4</v>
      </c>
      <c r="K10" s="29" t="s">
        <v>35</v>
      </c>
      <c r="L10" s="39"/>
      <c r="M10" s="31" t="s">
        <v>283</v>
      </c>
      <c r="N10" s="27"/>
      <c r="P10" s="32"/>
      <c r="Q10" s="40"/>
      <c r="R10" s="27"/>
      <c r="S10" s="27"/>
      <c r="T10" s="28"/>
      <c r="U10" s="27"/>
      <c r="V10" s="27"/>
      <c r="W10" s="28"/>
      <c r="X10" s="33"/>
      <c r="Y10" s="32"/>
      <c r="Z10" s="25"/>
      <c r="AA10" s="27"/>
      <c r="AB10" s="28"/>
      <c r="AC10" s="27"/>
      <c r="AD10" s="27"/>
      <c r="AE10" s="33"/>
      <c r="AG10" s="25"/>
      <c r="AH10" s="34"/>
      <c r="AI10" s="27"/>
      <c r="AJ10" s="27"/>
      <c r="AK10" s="27"/>
      <c r="AL10" s="25"/>
      <c r="AM10" s="34"/>
      <c r="AN10" s="27"/>
      <c r="AO10" s="27"/>
      <c r="AP10" s="36"/>
      <c r="AQ10" s="37"/>
      <c r="AR10" s="32"/>
      <c r="AS10" s="25"/>
      <c r="AT10" s="27"/>
      <c r="AU10" s="27"/>
      <c r="AW10" s="25"/>
      <c r="AX10" s="27"/>
      <c r="AY10" s="27"/>
      <c r="AZ10" s="32"/>
      <c r="BA10" s="41"/>
    </row>
    <row r="11" spans="1:53" ht="16" thickBot="1" x14ac:dyDescent="0.25">
      <c r="A11" s="25">
        <v>2</v>
      </c>
      <c r="B11" s="26">
        <v>45336</v>
      </c>
      <c r="C11" s="27" t="s">
        <v>227</v>
      </c>
      <c r="D11" s="25"/>
      <c r="E11" s="28"/>
      <c r="F11" s="27"/>
      <c r="G11" s="28"/>
      <c r="H11" s="27"/>
      <c r="I11" s="28"/>
      <c r="J11" s="27">
        <v>4</v>
      </c>
      <c r="K11" s="29" t="s">
        <v>35</v>
      </c>
      <c r="L11" s="39"/>
      <c r="M11" s="31" t="s">
        <v>284</v>
      </c>
      <c r="N11" s="27"/>
      <c r="O11" s="42"/>
      <c r="Q11" s="43" t="s">
        <v>37</v>
      </c>
      <c r="R11" s="27"/>
      <c r="S11" s="27"/>
      <c r="T11" s="28"/>
      <c r="U11" s="27"/>
      <c r="V11" s="27"/>
      <c r="W11" s="28"/>
      <c r="X11" s="33"/>
      <c r="Y11" s="32"/>
      <c r="Z11" s="25"/>
      <c r="AA11" s="27"/>
      <c r="AB11" s="28"/>
      <c r="AC11" s="27"/>
      <c r="AD11" s="27"/>
      <c r="AE11" s="33"/>
      <c r="AG11" s="25"/>
      <c r="AH11" s="34"/>
      <c r="AI11" s="27"/>
      <c r="AJ11" s="27"/>
      <c r="AK11" s="27"/>
      <c r="AL11" s="25"/>
      <c r="AM11" s="34"/>
      <c r="AN11" s="27"/>
      <c r="AO11" s="27"/>
      <c r="AP11" s="36"/>
      <c r="AQ11" s="37"/>
      <c r="AR11" s="32"/>
      <c r="AS11" s="25"/>
      <c r="AT11" s="27"/>
      <c r="AU11" s="27"/>
      <c r="AW11" s="25"/>
      <c r="AX11" s="27"/>
      <c r="AY11" s="27"/>
      <c r="AZ11" s="32"/>
      <c r="BA11" s="41"/>
    </row>
    <row r="12" spans="1:53" ht="16" thickBot="1" x14ac:dyDescent="0.25">
      <c r="A12" s="25">
        <v>3</v>
      </c>
      <c r="B12" s="26">
        <v>45337</v>
      </c>
      <c r="C12" s="27" t="s">
        <v>227</v>
      </c>
      <c r="D12" s="25"/>
      <c r="E12" s="28"/>
      <c r="F12" s="27"/>
      <c r="G12" s="28"/>
      <c r="H12" s="27"/>
      <c r="I12" s="28"/>
      <c r="J12" s="27">
        <v>6</v>
      </c>
      <c r="K12" s="29" t="s">
        <v>35</v>
      </c>
      <c r="L12" s="44" t="s">
        <v>287</v>
      </c>
      <c r="M12" s="31"/>
      <c r="N12" s="185" t="s">
        <v>40</v>
      </c>
      <c r="O12" s="45" t="s">
        <v>41</v>
      </c>
      <c r="P12" s="46"/>
      <c r="Q12" s="25"/>
      <c r="R12" s="27"/>
      <c r="S12" s="27"/>
      <c r="T12" s="28"/>
      <c r="U12" s="27">
        <v>5</v>
      </c>
      <c r="V12" s="27"/>
      <c r="W12" s="28">
        <v>5</v>
      </c>
      <c r="X12" s="47" t="s">
        <v>43</v>
      </c>
      <c r="Y12" s="32" t="s">
        <v>44</v>
      </c>
      <c r="Z12" s="25"/>
      <c r="AA12" s="27"/>
      <c r="AB12" s="28"/>
      <c r="AC12" s="27">
        <v>3</v>
      </c>
      <c r="AD12" s="27">
        <v>2</v>
      </c>
      <c r="AE12" s="48" t="s">
        <v>296</v>
      </c>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4</v>
      </c>
      <c r="B13" s="26">
        <v>45338</v>
      </c>
      <c r="C13" s="27" t="s">
        <v>200</v>
      </c>
      <c r="D13" s="25"/>
      <c r="E13" s="28"/>
      <c r="F13" s="27"/>
      <c r="G13" s="28"/>
      <c r="H13" s="27"/>
      <c r="I13" s="28"/>
      <c r="J13" s="27">
        <v>6</v>
      </c>
      <c r="K13" s="29" t="s">
        <v>35</v>
      </c>
      <c r="L13" s="39"/>
      <c r="M13" s="31"/>
      <c r="N13" s="185" t="s">
        <v>40</v>
      </c>
      <c r="O13" t="s">
        <v>46</v>
      </c>
      <c r="P13" s="32"/>
      <c r="Q13" s="25"/>
      <c r="R13" s="27"/>
      <c r="S13" s="27"/>
      <c r="T13" s="28"/>
      <c r="U13" s="27">
        <v>5</v>
      </c>
      <c r="V13" s="27"/>
      <c r="W13" s="28">
        <v>5</v>
      </c>
      <c r="X13" s="345" t="s">
        <v>47</v>
      </c>
      <c r="Y13" s="32"/>
      <c r="Z13" s="25"/>
      <c r="AA13" s="27"/>
      <c r="AB13" s="28"/>
      <c r="AC13" s="27">
        <v>3</v>
      </c>
      <c r="AD13" s="27">
        <v>2</v>
      </c>
      <c r="AE13" s="33"/>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5</v>
      </c>
      <c r="B14" s="26">
        <v>45339</v>
      </c>
      <c r="C14" s="27" t="s">
        <v>200</v>
      </c>
      <c r="D14" s="25"/>
      <c r="E14" s="28"/>
      <c r="F14" s="27"/>
      <c r="G14" s="28"/>
      <c r="H14" s="27"/>
      <c r="I14" s="28"/>
      <c r="J14" s="27">
        <v>6</v>
      </c>
      <c r="K14" s="29" t="s">
        <v>35</v>
      </c>
      <c r="L14" s="39"/>
      <c r="M14" s="31"/>
      <c r="N14" s="185" t="s">
        <v>40</v>
      </c>
      <c r="P14" s="32"/>
      <c r="Q14" s="25"/>
      <c r="R14" s="27"/>
      <c r="S14" s="27"/>
      <c r="T14" s="28"/>
      <c r="U14" s="27">
        <v>5</v>
      </c>
      <c r="V14" s="27"/>
      <c r="W14" s="28">
        <v>5</v>
      </c>
      <c r="X14" s="346"/>
      <c r="Y14" s="32"/>
      <c r="Z14" s="25"/>
      <c r="AA14" s="27"/>
      <c r="AB14" s="28"/>
      <c r="AC14" s="27">
        <v>3</v>
      </c>
      <c r="AD14" s="27">
        <v>2</v>
      </c>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6</v>
      </c>
      <c r="B15" s="26">
        <v>45340</v>
      </c>
      <c r="C15" s="27" t="s">
        <v>232</v>
      </c>
      <c r="D15" s="25"/>
      <c r="E15" s="28"/>
      <c r="F15" s="27"/>
      <c r="G15" s="28"/>
      <c r="H15" s="27"/>
      <c r="I15" s="28"/>
      <c r="J15" s="27">
        <v>6</v>
      </c>
      <c r="K15" s="29" t="s">
        <v>35</v>
      </c>
      <c r="L15" s="39"/>
      <c r="M15" s="31"/>
      <c r="N15" s="185" t="s">
        <v>40</v>
      </c>
      <c r="P15" s="32"/>
      <c r="Q15" s="25"/>
      <c r="R15" s="27"/>
      <c r="S15" s="27"/>
      <c r="T15" s="28"/>
      <c r="U15" s="27">
        <v>5</v>
      </c>
      <c r="V15" s="27"/>
      <c r="W15" s="28">
        <v>5</v>
      </c>
      <c r="X15" s="346"/>
      <c r="Y15" s="32"/>
      <c r="Z15" s="25"/>
      <c r="AA15" s="27"/>
      <c r="AB15" s="28"/>
      <c r="AC15" s="27">
        <v>3</v>
      </c>
      <c r="AD15" s="27">
        <v>2</v>
      </c>
      <c r="AE15" s="33"/>
      <c r="AG15" s="25"/>
      <c r="AH15" s="34"/>
      <c r="AI15" s="27"/>
      <c r="AJ15" s="27"/>
      <c r="AK15" s="27"/>
      <c r="AL15" s="25"/>
      <c r="AM15" s="34"/>
      <c r="AN15" s="27"/>
      <c r="AO15" s="27"/>
      <c r="AP15" s="36"/>
      <c r="AQ15" s="37"/>
      <c r="AR15" s="32"/>
      <c r="AS15" s="25"/>
      <c r="AT15" s="27"/>
      <c r="AU15" s="27"/>
      <c r="AW15" s="25"/>
      <c r="AX15" s="27"/>
      <c r="AY15" s="27"/>
      <c r="AZ15" s="32"/>
      <c r="BA15" s="41"/>
    </row>
    <row r="16" spans="1:53" x14ac:dyDescent="0.2">
      <c r="A16" s="25">
        <v>7</v>
      </c>
      <c r="B16" s="26">
        <v>45341</v>
      </c>
      <c r="C16" s="27" t="s">
        <v>232</v>
      </c>
      <c r="D16" s="25"/>
      <c r="E16" s="28"/>
      <c r="F16" s="27"/>
      <c r="G16" s="28"/>
      <c r="H16" s="27"/>
      <c r="I16" s="28"/>
      <c r="J16" s="27">
        <v>6</v>
      </c>
      <c r="K16" s="29" t="s">
        <v>35</v>
      </c>
      <c r="L16" s="39"/>
      <c r="M16" s="31"/>
      <c r="N16" s="185" t="s">
        <v>40</v>
      </c>
      <c r="P16" s="32"/>
      <c r="Q16" s="25"/>
      <c r="R16" s="27"/>
      <c r="S16" s="27"/>
      <c r="T16" s="28"/>
      <c r="U16" s="27">
        <v>5</v>
      </c>
      <c r="V16" s="27"/>
      <c r="W16" s="28">
        <v>5</v>
      </c>
      <c r="X16" s="346"/>
      <c r="Y16" s="32"/>
      <c r="Z16" s="25"/>
      <c r="AA16" s="27"/>
      <c r="AB16" s="28"/>
      <c r="AC16" s="27">
        <v>3</v>
      </c>
      <c r="AD16" s="27">
        <v>2</v>
      </c>
      <c r="AE16" s="33"/>
      <c r="AG16" s="25"/>
      <c r="AH16" s="34"/>
      <c r="AI16" s="27"/>
      <c r="AJ16" s="27"/>
      <c r="AK16" s="27"/>
      <c r="AL16" s="25"/>
      <c r="AM16" s="34"/>
      <c r="AN16" s="27"/>
      <c r="AO16" s="27"/>
      <c r="AP16" s="36"/>
      <c r="AQ16" s="37"/>
      <c r="AR16" s="32"/>
      <c r="AS16" s="25"/>
      <c r="AT16" s="27"/>
      <c r="AU16" s="27"/>
      <c r="AW16" s="25"/>
      <c r="AX16" s="27"/>
      <c r="AY16" s="27"/>
      <c r="AZ16" s="32"/>
      <c r="BA16" s="41"/>
    </row>
    <row r="17" spans="1:53" x14ac:dyDescent="0.2">
      <c r="A17" s="25">
        <v>8</v>
      </c>
      <c r="B17" s="26">
        <v>45342</v>
      </c>
      <c r="C17" s="27" t="s">
        <v>232</v>
      </c>
      <c r="D17" s="25"/>
      <c r="E17" s="28"/>
      <c r="F17" s="27"/>
      <c r="G17" s="28"/>
      <c r="H17" s="27"/>
      <c r="I17" s="28"/>
      <c r="J17" s="27">
        <v>6</v>
      </c>
      <c r="K17" s="29" t="s">
        <v>35</v>
      </c>
      <c r="L17" s="39"/>
      <c r="M17" s="31"/>
      <c r="N17" s="185" t="s">
        <v>40</v>
      </c>
      <c r="P17" s="32"/>
      <c r="Q17" s="25"/>
      <c r="R17" s="27"/>
      <c r="S17" s="27"/>
      <c r="T17" s="28"/>
      <c r="U17" s="27">
        <v>5</v>
      </c>
      <c r="V17" s="27"/>
      <c r="W17" s="28">
        <v>5</v>
      </c>
      <c r="X17" s="346"/>
      <c r="Y17" s="32"/>
      <c r="Z17" s="25"/>
      <c r="AA17" s="27"/>
      <c r="AB17" s="28"/>
      <c r="AC17" s="27">
        <v>3</v>
      </c>
      <c r="AD17" s="27">
        <v>2</v>
      </c>
      <c r="AE17" s="33"/>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9</v>
      </c>
      <c r="B18" s="26">
        <v>45343</v>
      </c>
      <c r="C18" s="27" t="s">
        <v>227</v>
      </c>
      <c r="D18" s="25"/>
      <c r="E18" s="28"/>
      <c r="F18" s="27"/>
      <c r="G18" s="28"/>
      <c r="H18" s="27"/>
      <c r="I18" s="28"/>
      <c r="J18" s="27">
        <v>6</v>
      </c>
      <c r="K18" s="29" t="s">
        <v>35</v>
      </c>
      <c r="L18" s="39"/>
      <c r="M18" s="31"/>
      <c r="N18" s="185" t="s">
        <v>40</v>
      </c>
      <c r="P18" s="32"/>
      <c r="Q18" s="25"/>
      <c r="R18" s="27"/>
      <c r="S18" s="27"/>
      <c r="T18" s="28"/>
      <c r="U18" s="27">
        <v>5</v>
      </c>
      <c r="V18" s="27"/>
      <c r="W18" s="28">
        <v>5</v>
      </c>
      <c r="X18" s="346"/>
      <c r="Y18" s="32"/>
      <c r="Z18" s="25"/>
      <c r="AA18" s="27"/>
      <c r="AB18" s="28"/>
      <c r="AC18" s="27">
        <v>3</v>
      </c>
      <c r="AD18" s="27">
        <v>2</v>
      </c>
      <c r="AE18" s="33"/>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10</v>
      </c>
      <c r="B19" s="26">
        <v>45344</v>
      </c>
      <c r="C19" s="27" t="s">
        <v>227</v>
      </c>
      <c r="D19" s="25"/>
      <c r="E19" s="28"/>
      <c r="F19" s="27"/>
      <c r="G19" s="28"/>
      <c r="H19" s="27"/>
      <c r="I19" s="28"/>
      <c r="J19" s="27">
        <v>6</v>
      </c>
      <c r="K19" s="29" t="s">
        <v>35</v>
      </c>
      <c r="L19" s="39"/>
      <c r="M19" s="31"/>
      <c r="N19" s="185" t="s">
        <v>40</v>
      </c>
      <c r="O19" s="49"/>
      <c r="P19" s="32"/>
      <c r="Q19" s="25"/>
      <c r="R19" s="27"/>
      <c r="S19" s="27"/>
      <c r="T19" s="28"/>
      <c r="U19" s="27">
        <v>5</v>
      </c>
      <c r="V19" s="27"/>
      <c r="W19" s="28">
        <v>5</v>
      </c>
      <c r="X19" s="346"/>
      <c r="Y19" s="32"/>
      <c r="Z19" s="25"/>
      <c r="AA19" s="27"/>
      <c r="AB19" s="28"/>
      <c r="AC19" s="27">
        <v>5</v>
      </c>
      <c r="AD19" s="27">
        <v>5</v>
      </c>
      <c r="AE19" s="50" t="s">
        <v>297</v>
      </c>
      <c r="AF19" s="182"/>
      <c r="AG19" s="25"/>
      <c r="AH19" s="34"/>
      <c r="AI19" s="27"/>
      <c r="AJ19" s="27"/>
      <c r="AK19" s="27"/>
      <c r="AL19" s="25"/>
      <c r="AM19" s="34"/>
      <c r="AN19" s="27"/>
      <c r="AO19" s="27"/>
      <c r="AP19" s="36"/>
      <c r="AQ19" s="37"/>
      <c r="AR19" s="32"/>
      <c r="AS19" s="25"/>
      <c r="AT19" s="27"/>
      <c r="AU19" s="27"/>
      <c r="AW19" s="25"/>
      <c r="AX19" s="27"/>
      <c r="AY19" s="27"/>
      <c r="AZ19" s="32"/>
      <c r="BA19" s="41"/>
    </row>
    <row r="20" spans="1:53" ht="16" thickBot="1" x14ac:dyDescent="0.25">
      <c r="A20" s="25">
        <v>11</v>
      </c>
      <c r="B20" s="26">
        <v>45345</v>
      </c>
      <c r="C20" s="27" t="s">
        <v>200</v>
      </c>
      <c r="D20" s="25"/>
      <c r="E20" s="28"/>
      <c r="F20" s="27"/>
      <c r="G20" s="28"/>
      <c r="H20" s="27"/>
      <c r="I20" s="28"/>
      <c r="J20" s="27">
        <v>6</v>
      </c>
      <c r="K20" s="29" t="s">
        <v>35</v>
      </c>
      <c r="L20" s="52"/>
      <c r="M20" s="31"/>
      <c r="N20" s="185" t="s">
        <v>40</v>
      </c>
      <c r="P20" s="32"/>
      <c r="Q20" s="25"/>
      <c r="R20" s="27"/>
      <c r="S20" s="27"/>
      <c r="T20" s="28"/>
      <c r="U20" s="27">
        <v>5</v>
      </c>
      <c r="V20" s="27"/>
      <c r="W20" s="28">
        <v>5</v>
      </c>
      <c r="X20" s="347"/>
      <c r="Y20" s="32"/>
      <c r="Z20" s="25"/>
      <c r="AA20" s="27"/>
      <c r="AB20" s="28"/>
      <c r="AC20" s="27">
        <v>5</v>
      </c>
      <c r="AD20" s="27">
        <v>5</v>
      </c>
      <c r="AE20" s="33"/>
      <c r="AF20" s="66"/>
      <c r="AG20" s="25"/>
      <c r="AH20" s="34"/>
      <c r="AI20" s="27"/>
      <c r="AJ20" s="27"/>
      <c r="AK20" s="27"/>
      <c r="AL20" s="25"/>
      <c r="AM20" s="34"/>
      <c r="AN20" s="27"/>
      <c r="AO20" s="27"/>
      <c r="AP20" s="36"/>
      <c r="AQ20" s="37"/>
      <c r="AR20" s="32"/>
      <c r="AS20" s="25"/>
      <c r="AT20" s="27"/>
      <c r="AU20" s="27"/>
      <c r="AW20" s="25"/>
      <c r="AX20" s="27"/>
      <c r="AY20" s="27"/>
      <c r="AZ20" s="32"/>
      <c r="BA20" s="41"/>
    </row>
    <row r="21" spans="1:53" ht="16" thickBot="1" x14ac:dyDescent="0.25">
      <c r="A21" s="25">
        <v>12</v>
      </c>
      <c r="B21" s="26">
        <v>45346</v>
      </c>
      <c r="C21" s="27" t="s">
        <v>200</v>
      </c>
      <c r="D21" s="25"/>
      <c r="E21" s="28"/>
      <c r="F21" s="27"/>
      <c r="G21" s="28"/>
      <c r="H21" s="27"/>
      <c r="I21" s="28"/>
      <c r="J21" s="27">
        <v>6</v>
      </c>
      <c r="K21" s="29" t="s">
        <v>35</v>
      </c>
      <c r="L21" s="53"/>
      <c r="M21" s="31"/>
      <c r="N21" s="185" t="s">
        <v>40</v>
      </c>
      <c r="P21" s="32"/>
      <c r="Q21" s="25"/>
      <c r="R21" s="27"/>
      <c r="S21" s="27"/>
      <c r="T21" s="28"/>
      <c r="U21" s="27">
        <v>1</v>
      </c>
      <c r="V21" s="27"/>
      <c r="W21" s="28">
        <v>1</v>
      </c>
      <c r="X21" s="54" t="s">
        <v>49</v>
      </c>
      <c r="Y21" s="32"/>
      <c r="Z21" s="25"/>
      <c r="AA21" s="27"/>
      <c r="AB21" s="28"/>
      <c r="AC21" s="27">
        <v>10</v>
      </c>
      <c r="AD21" s="27">
        <v>5</v>
      </c>
      <c r="AE21" s="191" t="s">
        <v>298</v>
      </c>
      <c r="AF21" s="182"/>
      <c r="AG21" s="25"/>
      <c r="AH21" s="34"/>
      <c r="AI21" s="27"/>
      <c r="AJ21" s="27"/>
      <c r="AK21" s="27"/>
      <c r="AL21" s="25"/>
      <c r="AM21" s="34"/>
      <c r="AN21" s="27"/>
      <c r="AO21" s="27"/>
      <c r="AP21" s="36"/>
      <c r="AQ21" s="37"/>
      <c r="AR21" s="32"/>
      <c r="AS21" s="25"/>
      <c r="AT21" s="27"/>
      <c r="AU21" s="27"/>
      <c r="AW21" s="25"/>
      <c r="AX21" s="27"/>
      <c r="AY21" s="27"/>
      <c r="AZ21" s="32"/>
      <c r="BA21" s="41"/>
    </row>
    <row r="22" spans="1:53" ht="16" thickBot="1" x14ac:dyDescent="0.25">
      <c r="A22" s="25">
        <v>13</v>
      </c>
      <c r="B22" s="26">
        <v>45347</v>
      </c>
      <c r="C22" s="27" t="s">
        <v>232</v>
      </c>
      <c r="D22" s="25"/>
      <c r="E22" s="28"/>
      <c r="F22" s="27"/>
      <c r="G22" s="28"/>
      <c r="H22" s="27"/>
      <c r="I22" s="28"/>
      <c r="J22" s="27">
        <v>6</v>
      </c>
      <c r="K22" s="29" t="s">
        <v>35</v>
      </c>
      <c r="L22" s="39"/>
      <c r="M22" s="31"/>
      <c r="N22" s="185" t="s">
        <v>40</v>
      </c>
      <c r="P22" s="32"/>
      <c r="Q22" s="25"/>
      <c r="R22" s="27"/>
      <c r="S22" s="27"/>
      <c r="T22" s="28"/>
      <c r="U22" s="27">
        <v>1</v>
      </c>
      <c r="V22" s="27"/>
      <c r="W22" s="28">
        <v>1</v>
      </c>
      <c r="X22" s="33"/>
      <c r="Y22" s="32"/>
      <c r="Z22" s="55"/>
      <c r="AA22" s="56"/>
      <c r="AB22" s="57"/>
      <c r="AC22" s="27">
        <v>10</v>
      </c>
      <c r="AD22" s="27">
        <v>5</v>
      </c>
      <c r="AE22" s="33"/>
      <c r="AF22" s="182"/>
      <c r="AG22" s="25"/>
      <c r="AH22" s="34"/>
      <c r="AI22" s="27"/>
      <c r="AJ22" s="27"/>
      <c r="AK22" s="27"/>
      <c r="AL22" s="25"/>
      <c r="AM22" s="34"/>
      <c r="AN22" s="27"/>
      <c r="AO22" s="27"/>
      <c r="AP22" s="36"/>
      <c r="AQ22" s="37"/>
      <c r="AR22" s="32"/>
      <c r="AS22" s="131"/>
      <c r="AT22" s="132"/>
      <c r="AU22" s="133"/>
      <c r="AV22" t="s">
        <v>258</v>
      </c>
      <c r="AW22" s="25"/>
      <c r="AX22" s="27"/>
      <c r="AY22" s="27"/>
      <c r="AZ22" s="32"/>
      <c r="BA22" s="41"/>
    </row>
    <row r="23" spans="1:53" ht="16" thickBot="1" x14ac:dyDescent="0.25">
      <c r="A23" s="25">
        <v>14</v>
      </c>
      <c r="B23" s="26">
        <v>45348</v>
      </c>
      <c r="C23" s="27" t="s">
        <v>232</v>
      </c>
      <c r="D23" s="25"/>
      <c r="E23" s="28"/>
      <c r="F23" s="27"/>
      <c r="G23" s="28"/>
      <c r="H23" s="27"/>
      <c r="I23" s="28"/>
      <c r="J23" s="27">
        <v>6</v>
      </c>
      <c r="K23" s="29" t="s">
        <v>35</v>
      </c>
      <c r="L23" s="39"/>
      <c r="M23" s="31" t="s">
        <v>316</v>
      </c>
      <c r="N23" s="185" t="s">
        <v>40</v>
      </c>
      <c r="P23" s="32"/>
      <c r="Q23" s="25"/>
      <c r="R23" s="27"/>
      <c r="S23" s="27"/>
      <c r="T23" s="28"/>
      <c r="U23" s="27">
        <v>1</v>
      </c>
      <c r="V23" s="27"/>
      <c r="W23" s="28">
        <v>1</v>
      </c>
      <c r="X23" s="33"/>
      <c r="Y23" s="32"/>
      <c r="Z23" s="59"/>
      <c r="AA23" s="60"/>
      <c r="AB23" s="61"/>
      <c r="AC23" s="27">
        <v>10</v>
      </c>
      <c r="AD23" s="27">
        <v>5</v>
      </c>
      <c r="AE23" s="33"/>
      <c r="AF23" s="182"/>
      <c r="AG23" s="25"/>
      <c r="AH23" s="34"/>
      <c r="AI23" s="27"/>
      <c r="AJ23" s="27"/>
      <c r="AK23" s="27"/>
      <c r="AL23" s="25"/>
      <c r="AM23" s="34"/>
      <c r="AN23" s="27"/>
      <c r="AO23" s="27"/>
      <c r="AP23" s="36"/>
      <c r="AQ23" s="37"/>
      <c r="AR23" s="32"/>
      <c r="AS23" s="131"/>
      <c r="AT23" s="132"/>
      <c r="AU23" s="134"/>
      <c r="AW23" s="25"/>
      <c r="AX23" s="27"/>
      <c r="AY23" s="27"/>
      <c r="AZ23" s="32"/>
      <c r="BA23" s="62"/>
    </row>
    <row r="24" spans="1:53" ht="16" thickBot="1" x14ac:dyDescent="0.25">
      <c r="A24" s="25">
        <v>15</v>
      </c>
      <c r="B24" s="26">
        <v>45349</v>
      </c>
      <c r="C24" s="27"/>
      <c r="D24" s="25"/>
      <c r="E24" s="28"/>
      <c r="F24" s="27"/>
      <c r="G24" s="28"/>
      <c r="H24" s="27"/>
      <c r="I24" s="28"/>
      <c r="J24" s="27">
        <v>6</v>
      </c>
      <c r="K24" s="29" t="s">
        <v>35</v>
      </c>
      <c r="L24" s="39"/>
      <c r="M24" s="31"/>
      <c r="N24" s="185" t="s">
        <v>40</v>
      </c>
      <c r="P24" s="32"/>
      <c r="Q24" s="25"/>
      <c r="R24" s="27"/>
      <c r="S24" s="27"/>
      <c r="T24" s="28"/>
      <c r="U24" s="27">
        <v>1</v>
      </c>
      <c r="V24" s="27"/>
      <c r="W24" s="28">
        <v>1</v>
      </c>
      <c r="X24" s="33"/>
      <c r="Y24" s="32"/>
      <c r="Z24" s="25"/>
      <c r="AA24" s="27"/>
      <c r="AB24" s="28"/>
      <c r="AC24" s="27">
        <v>10</v>
      </c>
      <c r="AD24" s="27">
        <v>5</v>
      </c>
      <c r="AE24" s="33"/>
      <c r="AF24" s="182"/>
      <c r="AG24" s="25"/>
      <c r="AH24" s="34"/>
      <c r="AI24" s="27"/>
      <c r="AJ24" s="27"/>
      <c r="AK24" s="27"/>
      <c r="AL24" s="25"/>
      <c r="AM24" s="34"/>
      <c r="AN24" s="27"/>
      <c r="AO24" s="27"/>
      <c r="AP24" s="36"/>
      <c r="AQ24" s="37"/>
      <c r="AR24" s="66"/>
      <c r="AS24" s="131"/>
      <c r="AT24" s="132"/>
      <c r="AU24" s="133"/>
      <c r="AW24" s="25"/>
      <c r="AX24" s="27"/>
      <c r="AY24" s="27"/>
      <c r="AZ24" s="32"/>
      <c r="BA24" s="41"/>
    </row>
    <row r="25" spans="1:53" ht="16" thickBot="1" x14ac:dyDescent="0.25">
      <c r="A25" s="25">
        <v>16</v>
      </c>
      <c r="B25" s="26">
        <v>45350</v>
      </c>
      <c r="C25" s="27" t="s">
        <v>232</v>
      </c>
      <c r="D25" s="25"/>
      <c r="E25" s="28"/>
      <c r="F25" s="27"/>
      <c r="G25" s="28"/>
      <c r="H25" s="27"/>
      <c r="I25" s="28" t="s">
        <v>320</v>
      </c>
      <c r="J25" s="27">
        <v>6</v>
      </c>
      <c r="K25" s="29" t="s">
        <v>35</v>
      </c>
      <c r="L25" s="44" t="s">
        <v>71</v>
      </c>
      <c r="M25" s="31"/>
      <c r="N25" s="185" t="s">
        <v>40</v>
      </c>
      <c r="P25" s="32"/>
      <c r="Q25" s="25"/>
      <c r="R25" s="27"/>
      <c r="S25" s="27"/>
      <c r="T25" s="28"/>
      <c r="U25" s="27">
        <v>1</v>
      </c>
      <c r="V25" s="27"/>
      <c r="W25" s="28">
        <v>1</v>
      </c>
      <c r="X25" s="180"/>
      <c r="Y25" s="66"/>
      <c r="AB25" s="28"/>
      <c r="AC25" s="27">
        <v>10</v>
      </c>
      <c r="AD25" s="27">
        <v>5</v>
      </c>
      <c r="AE25" s="33"/>
      <c r="AF25" s="182"/>
      <c r="AG25" s="25"/>
      <c r="AH25" s="34"/>
      <c r="AI25" s="27"/>
      <c r="AJ25" s="27"/>
      <c r="AK25" s="27"/>
      <c r="AL25" s="25"/>
      <c r="AM25" s="34"/>
      <c r="AN25" s="27"/>
      <c r="AO25" s="27"/>
      <c r="AP25" s="36"/>
      <c r="AQ25" s="64"/>
      <c r="AR25" s="65"/>
      <c r="AS25" s="131"/>
      <c r="AT25" s="132"/>
      <c r="AU25" s="132"/>
      <c r="AV25" t="s">
        <v>258</v>
      </c>
      <c r="AW25" s="25"/>
      <c r="AX25" s="27"/>
      <c r="AY25" s="27"/>
      <c r="AZ25" s="32"/>
      <c r="BA25" s="41"/>
    </row>
    <row r="26" spans="1:53" x14ac:dyDescent="0.2">
      <c r="A26" s="25">
        <v>17</v>
      </c>
      <c r="B26" s="26">
        <v>45351</v>
      </c>
      <c r="C26" s="27" t="s">
        <v>232</v>
      </c>
      <c r="D26" s="25"/>
      <c r="E26" s="28"/>
      <c r="F26" s="27"/>
      <c r="G26" s="28"/>
      <c r="H26" s="27"/>
      <c r="I26" s="28"/>
      <c r="J26" s="27">
        <v>6</v>
      </c>
      <c r="K26" s="29" t="s">
        <v>35</v>
      </c>
      <c r="L26" s="39"/>
      <c r="M26" s="31"/>
      <c r="N26" s="185" t="s">
        <v>40</v>
      </c>
      <c r="P26" s="32"/>
      <c r="Q26" s="25"/>
      <c r="R26" s="27"/>
      <c r="S26" s="27"/>
      <c r="T26" s="28"/>
      <c r="U26" s="27">
        <v>1</v>
      </c>
      <c r="V26" s="27"/>
      <c r="W26" s="28">
        <v>1</v>
      </c>
      <c r="X26" s="33"/>
      <c r="Y26" s="32"/>
      <c r="Z26" s="25"/>
      <c r="AA26" s="27"/>
      <c r="AB26" s="28"/>
      <c r="AC26" s="27">
        <v>10</v>
      </c>
      <c r="AD26" s="27">
        <v>5</v>
      </c>
      <c r="AE26" s="33"/>
      <c r="AF26" s="182"/>
      <c r="AG26" s="25"/>
      <c r="AH26" s="34"/>
      <c r="AI26" s="27"/>
      <c r="AJ26" s="27"/>
      <c r="AK26" s="27"/>
      <c r="AL26" s="25"/>
      <c r="AM26" s="34"/>
      <c r="AN26" s="27"/>
      <c r="AO26" s="27"/>
      <c r="AP26" s="36"/>
      <c r="AQ26" s="37"/>
      <c r="AR26" s="32"/>
      <c r="AS26" s="131"/>
      <c r="AT26" s="132"/>
      <c r="AU26" s="132"/>
      <c r="AW26" s="25"/>
      <c r="AX26" s="27"/>
      <c r="AY26" s="27"/>
      <c r="AZ26" s="32"/>
      <c r="BA26" s="41"/>
    </row>
    <row r="27" spans="1:53" ht="16" thickBot="1" x14ac:dyDescent="0.25">
      <c r="A27" s="25">
        <v>18</v>
      </c>
      <c r="B27" s="26">
        <v>45352</v>
      </c>
      <c r="C27" s="27" t="s">
        <v>232</v>
      </c>
      <c r="D27" s="25"/>
      <c r="E27" s="28"/>
      <c r="F27" s="27"/>
      <c r="G27" s="28"/>
      <c r="H27" s="27"/>
      <c r="I27" s="28"/>
      <c r="J27" s="27">
        <v>6</v>
      </c>
      <c r="K27" s="29" t="s">
        <v>35</v>
      </c>
      <c r="L27" s="39"/>
      <c r="M27" s="31"/>
      <c r="N27" s="185" t="s">
        <v>40</v>
      </c>
      <c r="P27" s="66"/>
      <c r="Q27" s="25"/>
      <c r="R27" s="27"/>
      <c r="S27" s="27"/>
      <c r="T27" s="28"/>
      <c r="U27" s="27">
        <v>1</v>
      </c>
      <c r="V27" s="27"/>
      <c r="W27" s="28">
        <v>1</v>
      </c>
      <c r="X27" s="33"/>
      <c r="Y27" s="32"/>
      <c r="Z27" s="25"/>
      <c r="AA27" s="27"/>
      <c r="AB27" s="28"/>
      <c r="AC27" s="27">
        <v>10</v>
      </c>
      <c r="AD27" s="27">
        <v>5</v>
      </c>
      <c r="AE27" s="33"/>
      <c r="AF27" s="182"/>
      <c r="AG27" s="25"/>
      <c r="AH27" s="34"/>
      <c r="AI27" s="27"/>
      <c r="AJ27" s="27"/>
      <c r="AK27" s="27"/>
      <c r="AL27" s="25"/>
      <c r="AM27" s="34"/>
      <c r="AN27" s="27"/>
      <c r="AO27" s="27"/>
      <c r="AP27" s="36"/>
      <c r="AQ27" s="178"/>
      <c r="AR27" s="66"/>
      <c r="AS27" s="131"/>
      <c r="AT27" s="132"/>
      <c r="AU27" s="134"/>
      <c r="AW27" s="25"/>
      <c r="AX27" s="27"/>
      <c r="AY27" s="27"/>
      <c r="AZ27" s="32"/>
      <c r="BA27" s="41"/>
    </row>
    <row r="28" spans="1:53" ht="16" thickBot="1" x14ac:dyDescent="0.25">
      <c r="A28" s="25">
        <v>19</v>
      </c>
      <c r="B28" s="26">
        <v>45353</v>
      </c>
      <c r="C28" s="27" t="s">
        <v>112</v>
      </c>
      <c r="D28" s="25"/>
      <c r="E28" s="28"/>
      <c r="F28" s="27"/>
      <c r="G28" s="28"/>
      <c r="H28" s="27"/>
      <c r="I28" s="28"/>
      <c r="J28" s="27">
        <v>6</v>
      </c>
      <c r="K28" s="29" t="s">
        <v>35</v>
      </c>
      <c r="L28" s="39"/>
      <c r="M28" s="31"/>
      <c r="N28" s="185" t="s">
        <v>40</v>
      </c>
      <c r="P28" s="32"/>
      <c r="Q28" s="25"/>
      <c r="R28" s="27"/>
      <c r="S28" s="27"/>
      <c r="T28" s="28"/>
      <c r="U28" s="27">
        <v>1</v>
      </c>
      <c r="V28" s="27"/>
      <c r="W28" s="28">
        <v>1</v>
      </c>
      <c r="X28" s="63" t="s">
        <v>60</v>
      </c>
      <c r="Y28" s="46" t="s">
        <v>61</v>
      </c>
      <c r="Z28" s="25"/>
      <c r="AA28" s="27"/>
      <c r="AB28" s="28"/>
      <c r="AC28" s="27">
        <v>10</v>
      </c>
      <c r="AD28" s="27">
        <v>5</v>
      </c>
      <c r="AE28" s="33"/>
      <c r="AF28" s="182"/>
      <c r="AG28" s="25"/>
      <c r="AH28" s="34"/>
      <c r="AI28" s="27">
        <v>2.5000000000000001E-2</v>
      </c>
      <c r="AJ28" s="27"/>
      <c r="AK28" s="27">
        <v>2.5000000000000001E-2</v>
      </c>
      <c r="AL28" s="25"/>
      <c r="AM28" s="34"/>
      <c r="AN28" s="27"/>
      <c r="AO28" s="27"/>
      <c r="AP28" s="36"/>
      <c r="AQ28" s="68" t="s">
        <v>299</v>
      </c>
      <c r="AR28" s="32" t="s">
        <v>64</v>
      </c>
      <c r="AS28" s="131"/>
      <c r="AT28" s="132"/>
      <c r="AU28" s="132"/>
      <c r="AW28" s="25"/>
      <c r="AX28" s="27"/>
      <c r="AY28" s="27"/>
      <c r="AZ28" s="32"/>
      <c r="BA28" s="62"/>
    </row>
    <row r="29" spans="1:53" x14ac:dyDescent="0.2">
      <c r="A29" s="25">
        <v>20</v>
      </c>
      <c r="B29" s="26">
        <v>45354</v>
      </c>
      <c r="C29" s="27" t="s">
        <v>232</v>
      </c>
      <c r="D29" s="25"/>
      <c r="E29" s="28"/>
      <c r="F29" s="27"/>
      <c r="G29" s="28"/>
      <c r="H29" s="27"/>
      <c r="I29" s="28"/>
      <c r="J29" s="27">
        <v>6</v>
      </c>
      <c r="K29" s="29" t="s">
        <v>35</v>
      </c>
      <c r="L29" s="39" t="s">
        <v>323</v>
      </c>
      <c r="M29" s="69"/>
      <c r="N29" s="185" t="s">
        <v>40</v>
      </c>
      <c r="O29" s="306" t="s">
        <v>66</v>
      </c>
      <c r="P29" s="32"/>
      <c r="Q29" s="25"/>
      <c r="R29" s="27"/>
      <c r="S29" s="27"/>
      <c r="T29" s="28"/>
      <c r="U29" s="27"/>
      <c r="V29" s="27"/>
      <c r="W29" s="28"/>
      <c r="X29" s="33"/>
      <c r="Y29" s="32"/>
      <c r="Z29" s="25"/>
      <c r="AA29" s="27"/>
      <c r="AB29" s="28"/>
      <c r="AC29" s="27">
        <v>10</v>
      </c>
      <c r="AD29" s="27">
        <v>5</v>
      </c>
      <c r="AE29" s="33"/>
      <c r="AF29" s="182"/>
      <c r="AG29" s="25"/>
      <c r="AH29" s="34"/>
      <c r="AI29" s="27">
        <v>2.5000000000000001E-2</v>
      </c>
      <c r="AJ29" s="27"/>
      <c r="AK29" s="27">
        <v>2.5000000000000001E-2</v>
      </c>
      <c r="AL29" s="25"/>
      <c r="AM29" s="34"/>
      <c r="AN29" s="27"/>
      <c r="AO29" s="27"/>
      <c r="AP29" s="36"/>
      <c r="AQ29" s="37"/>
      <c r="AR29" s="32"/>
      <c r="AS29" s="131"/>
      <c r="AT29" s="132"/>
      <c r="AU29" s="132"/>
      <c r="AW29" s="25"/>
      <c r="AX29" s="27"/>
      <c r="AY29" s="27"/>
      <c r="AZ29" s="32"/>
      <c r="BA29" s="41"/>
    </row>
    <row r="30" spans="1:53" ht="33" thickBot="1" x14ac:dyDescent="0.25">
      <c r="A30" s="70">
        <v>21</v>
      </c>
      <c r="B30" s="26">
        <v>45355</v>
      </c>
      <c r="C30" s="71" t="s">
        <v>232</v>
      </c>
      <c r="D30" s="70"/>
      <c r="E30" s="72"/>
      <c r="F30" s="71"/>
      <c r="G30" s="72"/>
      <c r="H30" s="71"/>
      <c r="I30" s="72"/>
      <c r="J30" s="27">
        <v>6</v>
      </c>
      <c r="K30" s="29" t="s">
        <v>35</v>
      </c>
      <c r="L30" s="39" t="s">
        <v>327</v>
      </c>
      <c r="M30" s="73" t="s">
        <v>329</v>
      </c>
      <c r="N30" s="185" t="s">
        <v>40</v>
      </c>
      <c r="O30" s="307"/>
      <c r="P30" s="74" t="s">
        <v>328</v>
      </c>
      <c r="Q30" s="70"/>
      <c r="R30" s="71"/>
      <c r="S30" s="71"/>
      <c r="T30" s="72"/>
      <c r="U30" s="71"/>
      <c r="V30" s="71"/>
      <c r="W30" s="72"/>
      <c r="X30" s="33"/>
      <c r="Y30" s="75"/>
      <c r="Z30" s="70"/>
      <c r="AA30" s="71"/>
      <c r="AB30" s="72"/>
      <c r="AC30" s="27">
        <v>10</v>
      </c>
      <c r="AD30" s="71">
        <v>5</v>
      </c>
      <c r="AE30" s="33"/>
      <c r="AF30" s="192"/>
      <c r="AG30" s="70"/>
      <c r="AH30" s="77"/>
      <c r="AI30" s="71">
        <v>2.5000000000000001E-2</v>
      </c>
      <c r="AJ30" s="71"/>
      <c r="AK30" s="71">
        <v>2.5000000000000001E-2</v>
      </c>
      <c r="AL30" s="70"/>
      <c r="AM30" s="77"/>
      <c r="AN30" s="27"/>
      <c r="AO30" s="71"/>
      <c r="AP30" s="78"/>
      <c r="AQ30" s="37"/>
      <c r="AR30" s="75"/>
      <c r="AS30" s="135"/>
      <c r="AT30" s="132"/>
      <c r="AU30" s="136"/>
      <c r="AV30" s="76"/>
      <c r="AW30" s="70"/>
      <c r="AX30" s="71"/>
      <c r="AY30" s="71"/>
      <c r="AZ30" s="75"/>
      <c r="BA30" s="79"/>
    </row>
    <row r="31" spans="1:53" ht="16" thickBot="1" x14ac:dyDescent="0.25">
      <c r="A31" s="25">
        <v>22</v>
      </c>
      <c r="B31" s="26">
        <v>45356</v>
      </c>
      <c r="C31" s="27" t="s">
        <v>232</v>
      </c>
      <c r="D31" s="25"/>
      <c r="E31" s="28"/>
      <c r="F31" s="27"/>
      <c r="G31" s="28"/>
      <c r="H31" s="27"/>
      <c r="I31" s="28"/>
      <c r="J31" s="27">
        <v>6</v>
      </c>
      <c r="K31" s="29" t="s">
        <v>35</v>
      </c>
      <c r="L31" s="39"/>
      <c r="M31" s="69"/>
      <c r="N31" s="185" t="s">
        <v>40</v>
      </c>
      <c r="O31" s="307"/>
      <c r="P31" s="46" t="s">
        <v>67</v>
      </c>
      <c r="Q31" s="43"/>
      <c r="R31" s="27"/>
      <c r="S31" s="27"/>
      <c r="T31" s="28"/>
      <c r="U31" s="27"/>
      <c r="V31" s="27"/>
      <c r="W31" s="28"/>
      <c r="X31" s="33"/>
      <c r="Y31" s="32"/>
      <c r="Z31" s="60"/>
      <c r="AA31" s="60"/>
      <c r="AB31" s="61"/>
      <c r="AC31" s="27">
        <v>10</v>
      </c>
      <c r="AD31" s="27">
        <v>5</v>
      </c>
      <c r="AE31" s="33"/>
      <c r="AF31" s="182"/>
      <c r="AG31" s="25"/>
      <c r="AH31" s="34"/>
      <c r="AI31" s="27">
        <v>2.5000000000000001E-2</v>
      </c>
      <c r="AJ31" s="27"/>
      <c r="AK31" s="27">
        <v>2.5000000000000001E-2</v>
      </c>
      <c r="AL31" s="25"/>
      <c r="AM31" s="34"/>
      <c r="AN31" s="27"/>
      <c r="AO31" s="27"/>
      <c r="AP31" s="36"/>
      <c r="AQ31" s="37"/>
      <c r="AR31" s="32"/>
      <c r="AS31" s="131"/>
      <c r="AT31" s="132"/>
      <c r="AU31" s="132"/>
      <c r="AW31" s="25"/>
      <c r="AX31" s="27"/>
      <c r="AY31" s="27"/>
      <c r="AZ31" s="32"/>
      <c r="BA31" s="80" t="s">
        <v>68</v>
      </c>
    </row>
    <row r="32" spans="1:53" ht="16" thickBot="1" x14ac:dyDescent="0.25">
      <c r="A32" s="25">
        <v>23</v>
      </c>
      <c r="B32" s="26">
        <v>45357</v>
      </c>
      <c r="C32" s="27" t="s">
        <v>227</v>
      </c>
      <c r="D32" s="25"/>
      <c r="E32" s="28"/>
      <c r="F32" s="27"/>
      <c r="G32" s="28"/>
      <c r="H32" s="27"/>
      <c r="I32" s="28"/>
      <c r="J32" s="27">
        <v>6</v>
      </c>
      <c r="K32" s="29" t="s">
        <v>35</v>
      </c>
      <c r="L32" s="39"/>
      <c r="M32" s="31"/>
      <c r="N32" s="185" t="s">
        <v>40</v>
      </c>
      <c r="O32" s="307"/>
      <c r="P32" s="32" t="s">
        <v>69</v>
      </c>
      <c r="Q32" s="25"/>
      <c r="R32" s="27"/>
      <c r="S32" s="27"/>
      <c r="T32" s="28"/>
      <c r="U32" s="27"/>
      <c r="V32" s="27"/>
      <c r="W32" s="28"/>
      <c r="X32" s="33"/>
      <c r="Y32" s="32"/>
      <c r="Z32" s="25"/>
      <c r="AA32" s="27"/>
      <c r="AB32" s="28"/>
      <c r="AC32" s="27">
        <v>10</v>
      </c>
      <c r="AD32" s="27">
        <v>5</v>
      </c>
      <c r="AE32" s="33"/>
      <c r="AF32" s="182"/>
      <c r="AG32" s="25"/>
      <c r="AH32" s="34"/>
      <c r="AI32" s="27">
        <v>0.05</v>
      </c>
      <c r="AJ32" s="27"/>
      <c r="AK32" s="27">
        <v>0.05</v>
      </c>
      <c r="AL32" s="25"/>
      <c r="AM32" s="34"/>
      <c r="AN32" s="27"/>
      <c r="AO32" s="27"/>
      <c r="AP32" s="36"/>
      <c r="AQ32" s="37"/>
      <c r="AR32" s="32"/>
      <c r="AS32" s="131"/>
      <c r="AT32" s="132"/>
      <c r="AU32" s="133"/>
      <c r="AW32" s="25"/>
      <c r="AX32" s="27"/>
      <c r="AY32" s="27"/>
      <c r="AZ32" s="32"/>
      <c r="BA32" s="41">
        <v>1</v>
      </c>
    </row>
    <row r="33" spans="1:53" ht="16" thickBot="1" x14ac:dyDescent="0.25">
      <c r="A33" s="25">
        <v>24</v>
      </c>
      <c r="B33" s="26">
        <v>45358</v>
      </c>
      <c r="C33" s="27" t="s">
        <v>200</v>
      </c>
      <c r="D33" s="25"/>
      <c r="E33" s="28"/>
      <c r="F33" s="27"/>
      <c r="G33" s="28"/>
      <c r="H33" s="27"/>
      <c r="I33" s="28"/>
      <c r="J33" s="27">
        <v>6</v>
      </c>
      <c r="K33" s="29" t="s">
        <v>35</v>
      </c>
      <c r="L33" s="178"/>
      <c r="M33" s="31"/>
      <c r="N33" s="185" t="s">
        <v>40</v>
      </c>
      <c r="O33" s="307"/>
      <c r="P33" s="32"/>
      <c r="Q33" s="25"/>
      <c r="R33" s="27"/>
      <c r="S33" s="27"/>
      <c r="T33" s="28"/>
      <c r="U33" s="27"/>
      <c r="V33" s="27"/>
      <c r="W33" s="28"/>
      <c r="X33" s="33"/>
      <c r="Y33" s="32"/>
      <c r="Z33" s="25"/>
      <c r="AA33" s="27"/>
      <c r="AB33" s="28"/>
      <c r="AC33" s="27">
        <v>10</v>
      </c>
      <c r="AD33" s="27">
        <v>5</v>
      </c>
      <c r="AE33" s="50" t="s">
        <v>290</v>
      </c>
      <c r="AF33" s="66"/>
      <c r="AG33" s="25"/>
      <c r="AH33" s="34"/>
      <c r="AI33" s="27">
        <v>0.05</v>
      </c>
      <c r="AJ33" s="27"/>
      <c r="AK33" s="27">
        <v>0.05</v>
      </c>
      <c r="AL33" s="25"/>
      <c r="AM33" s="34"/>
      <c r="AN33" s="27"/>
      <c r="AO33" s="27"/>
      <c r="AP33" s="36"/>
      <c r="AQ33" s="37"/>
      <c r="AR33" s="66">
        <v>0</v>
      </c>
      <c r="AS33" s="25" t="s">
        <v>72</v>
      </c>
      <c r="AT33" s="27" t="s">
        <v>52</v>
      </c>
      <c r="AU33" s="58" t="s">
        <v>295</v>
      </c>
      <c r="AW33" s="25"/>
      <c r="AX33" s="27"/>
      <c r="AY33" s="27"/>
      <c r="AZ33" s="32"/>
      <c r="BA33" s="41">
        <v>1</v>
      </c>
    </row>
    <row r="34" spans="1:53" ht="16" thickBot="1" x14ac:dyDescent="0.25">
      <c r="A34" s="25">
        <v>25</v>
      </c>
      <c r="B34" s="26">
        <v>45359</v>
      </c>
      <c r="C34" s="27" t="s">
        <v>200</v>
      </c>
      <c r="D34" s="25"/>
      <c r="E34" s="28"/>
      <c r="F34" s="27"/>
      <c r="G34" s="28"/>
      <c r="H34" s="27"/>
      <c r="I34" s="28"/>
      <c r="J34" s="27">
        <v>6</v>
      </c>
      <c r="K34" s="29" t="s">
        <v>35</v>
      </c>
      <c r="L34" s="39"/>
      <c r="M34" s="31"/>
      <c r="N34" s="185" t="s">
        <v>40</v>
      </c>
      <c r="O34" s="307"/>
      <c r="P34" s="81" t="s">
        <v>74</v>
      </c>
      <c r="Q34" s="43"/>
      <c r="R34" s="27"/>
      <c r="S34" s="27"/>
      <c r="T34" s="28"/>
      <c r="U34" s="27"/>
      <c r="V34" s="27"/>
      <c r="W34" s="28"/>
      <c r="X34" s="33"/>
      <c r="Y34" s="32"/>
      <c r="Z34" s="27"/>
      <c r="AA34" s="27"/>
      <c r="AB34" s="28"/>
      <c r="AC34" s="27"/>
      <c r="AD34" s="27"/>
      <c r="AE34" s="33"/>
      <c r="AG34" s="25"/>
      <c r="AH34" s="34"/>
      <c r="AI34" s="27">
        <v>0.05</v>
      </c>
      <c r="AJ34" s="27">
        <v>0.05</v>
      </c>
      <c r="AK34" s="27">
        <v>0.05</v>
      </c>
      <c r="AL34" s="25"/>
      <c r="AM34" s="34"/>
      <c r="AN34" s="27"/>
      <c r="AO34" s="27"/>
      <c r="AP34" s="36"/>
      <c r="AQ34" s="193" t="s">
        <v>300</v>
      </c>
      <c r="AR34" s="32" t="s">
        <v>75</v>
      </c>
      <c r="AS34" s="25" t="s">
        <v>72</v>
      </c>
      <c r="AT34" s="27" t="s">
        <v>52</v>
      </c>
      <c r="AW34" s="25"/>
      <c r="AX34" s="27"/>
      <c r="AY34" s="27"/>
      <c r="AZ34" s="32"/>
      <c r="BA34" s="41" t="s">
        <v>320</v>
      </c>
    </row>
    <row r="35" spans="1:53" ht="16" thickBot="1" x14ac:dyDescent="0.25">
      <c r="A35" s="25">
        <v>26</v>
      </c>
      <c r="B35" s="26">
        <v>45360</v>
      </c>
      <c r="C35" s="27" t="s">
        <v>200</v>
      </c>
      <c r="D35" s="25"/>
      <c r="E35" s="28"/>
      <c r="F35" s="27"/>
      <c r="G35" s="28"/>
      <c r="H35" s="27"/>
      <c r="I35" s="28"/>
      <c r="J35" s="27">
        <v>6</v>
      </c>
      <c r="K35" s="29" t="s">
        <v>35</v>
      </c>
      <c r="L35" s="39" t="s">
        <v>335</v>
      </c>
      <c r="M35" s="31"/>
      <c r="N35" s="185" t="s">
        <v>40</v>
      </c>
      <c r="O35" s="307"/>
      <c r="P35" s="32"/>
      <c r="Q35" s="25"/>
      <c r="R35" s="27"/>
      <c r="S35" s="27"/>
      <c r="T35" s="28"/>
      <c r="U35" s="27"/>
      <c r="V35" s="27"/>
      <c r="W35" s="28"/>
      <c r="X35" s="33"/>
      <c r="Y35" s="32"/>
      <c r="Z35" s="25"/>
      <c r="AA35" s="27"/>
      <c r="AB35" s="28"/>
      <c r="AC35" s="27"/>
      <c r="AD35" s="27"/>
      <c r="AE35" s="33"/>
      <c r="AG35" s="25"/>
      <c r="AH35" s="34"/>
      <c r="AI35" s="27">
        <v>0.05</v>
      </c>
      <c r="AJ35" s="27">
        <v>0.05</v>
      </c>
      <c r="AK35" s="27">
        <v>0.05</v>
      </c>
      <c r="AL35" s="25"/>
      <c r="AM35" s="34"/>
      <c r="AN35" s="27"/>
      <c r="AO35" s="27"/>
      <c r="AP35" s="36"/>
      <c r="AQ35" s="37"/>
      <c r="AR35" s="32" t="s">
        <v>75</v>
      </c>
      <c r="AS35" s="25" t="s">
        <v>72</v>
      </c>
      <c r="AT35" s="27" t="s">
        <v>52</v>
      </c>
      <c r="AW35" s="25"/>
      <c r="AX35" s="27"/>
      <c r="AY35" s="27"/>
      <c r="AZ35" s="32"/>
      <c r="BA35" s="41"/>
    </row>
    <row r="36" spans="1:53" ht="16" thickBot="1" x14ac:dyDescent="0.25">
      <c r="A36" s="25">
        <v>27</v>
      </c>
      <c r="B36" s="26">
        <v>45361</v>
      </c>
      <c r="C36" s="27" t="s">
        <v>232</v>
      </c>
      <c r="D36" s="25"/>
      <c r="E36" s="28"/>
      <c r="F36" s="27"/>
      <c r="G36" s="28"/>
      <c r="H36" s="27"/>
      <c r="I36" s="28"/>
      <c r="J36" s="27">
        <v>6</v>
      </c>
      <c r="K36" s="29" t="s">
        <v>35</v>
      </c>
      <c r="L36" s="39" t="s">
        <v>337</v>
      </c>
      <c r="M36" s="31"/>
      <c r="N36" s="185" t="s">
        <v>338</v>
      </c>
      <c r="O36" s="307"/>
      <c r="P36" s="32"/>
      <c r="Q36" s="25"/>
      <c r="R36" s="27"/>
      <c r="S36" s="27"/>
      <c r="T36" s="28"/>
      <c r="U36" s="27"/>
      <c r="V36" s="27"/>
      <c r="W36" s="28"/>
      <c r="X36" s="33"/>
      <c r="Y36" s="32"/>
      <c r="Z36" s="25"/>
      <c r="AA36" s="27"/>
      <c r="AB36" s="28"/>
      <c r="AC36" s="27"/>
      <c r="AD36" s="27"/>
      <c r="AE36" s="33"/>
      <c r="AG36" s="25"/>
      <c r="AH36" s="34"/>
      <c r="AI36" s="27">
        <v>0.05</v>
      </c>
      <c r="AJ36" s="27">
        <v>0.05</v>
      </c>
      <c r="AK36" s="27">
        <v>0.05</v>
      </c>
      <c r="AL36" s="25"/>
      <c r="AM36" s="34"/>
      <c r="AN36" s="27">
        <v>2.5000000000000001E-2</v>
      </c>
      <c r="AO36" s="27">
        <v>2.5000000000000001E-2</v>
      </c>
      <c r="AP36" s="36">
        <v>2.5000000000000001E-2</v>
      </c>
      <c r="AQ36" s="194" t="s">
        <v>301</v>
      </c>
      <c r="AR36" s="32" t="s">
        <v>293</v>
      </c>
      <c r="AS36" s="25" t="s">
        <v>72</v>
      </c>
      <c r="AT36" s="27" t="s">
        <v>52</v>
      </c>
      <c r="AU36" s="27"/>
      <c r="AW36" s="25"/>
      <c r="AX36" s="27"/>
      <c r="AY36" s="27"/>
      <c r="AZ36" s="32"/>
      <c r="BA36" s="41">
        <v>2</v>
      </c>
    </row>
    <row r="37" spans="1:53" x14ac:dyDescent="0.2">
      <c r="A37" s="25">
        <v>28</v>
      </c>
      <c r="B37" s="26">
        <v>45362</v>
      </c>
      <c r="C37" s="27" t="s">
        <v>227</v>
      </c>
      <c r="D37" s="25"/>
      <c r="E37" s="28"/>
      <c r="F37" s="27"/>
      <c r="G37" s="28"/>
      <c r="H37" s="27"/>
      <c r="I37" s="28"/>
      <c r="J37" s="27">
        <v>6</v>
      </c>
      <c r="K37" s="29" t="s">
        <v>35</v>
      </c>
      <c r="L37" s="39"/>
      <c r="M37" s="31"/>
      <c r="N37" s="185" t="s">
        <v>338</v>
      </c>
      <c r="O37" s="307"/>
      <c r="P37" s="32"/>
      <c r="Q37" s="25"/>
      <c r="R37" s="27"/>
      <c r="S37" s="27"/>
      <c r="T37" s="28"/>
      <c r="U37" s="27"/>
      <c r="V37" s="27"/>
      <c r="W37" s="28"/>
      <c r="Y37" s="32"/>
      <c r="Z37" s="25"/>
      <c r="AA37" s="27"/>
      <c r="AB37" s="28"/>
      <c r="AC37" s="27"/>
      <c r="AD37" s="27"/>
      <c r="AE37" s="33"/>
      <c r="AG37" s="25"/>
      <c r="AH37" s="34"/>
      <c r="AI37" s="27">
        <v>0.05</v>
      </c>
      <c r="AJ37" s="27">
        <v>0.05</v>
      </c>
      <c r="AK37" s="27">
        <v>0.05</v>
      </c>
      <c r="AL37" s="25"/>
      <c r="AM37" s="34"/>
      <c r="AN37" s="27">
        <v>2.5000000000000001E-2</v>
      </c>
      <c r="AO37" s="27">
        <v>2.5000000000000001E-2</v>
      </c>
      <c r="AP37" s="36">
        <v>2.5000000000000001E-2</v>
      </c>
      <c r="AR37" s="32" t="s">
        <v>293</v>
      </c>
      <c r="AS37" s="25" t="s">
        <v>72</v>
      </c>
      <c r="AT37" s="27" t="s">
        <v>52</v>
      </c>
      <c r="AU37" s="27"/>
      <c r="AW37" s="25"/>
      <c r="AX37" s="27"/>
      <c r="AY37" s="27"/>
      <c r="AZ37" s="32"/>
      <c r="BA37" s="41">
        <v>0</v>
      </c>
    </row>
    <row r="38" spans="1:53" ht="17.25" customHeight="1" thickBot="1" x14ac:dyDescent="0.25">
      <c r="A38" s="25">
        <v>29</v>
      </c>
      <c r="B38" s="26">
        <v>45363</v>
      </c>
      <c r="C38" s="27" t="s">
        <v>227</v>
      </c>
      <c r="D38" s="25"/>
      <c r="E38" s="28"/>
      <c r="F38" s="27"/>
      <c r="G38" s="28"/>
      <c r="H38" s="27"/>
      <c r="I38" s="28"/>
      <c r="J38" s="27">
        <v>6</v>
      </c>
      <c r="K38" s="29" t="s">
        <v>35</v>
      </c>
      <c r="L38" s="39"/>
      <c r="M38" s="31"/>
      <c r="N38" s="185" t="s">
        <v>338</v>
      </c>
      <c r="O38" s="307"/>
      <c r="P38" s="32"/>
      <c r="Q38" s="25"/>
      <c r="R38" s="27"/>
      <c r="S38" s="27"/>
      <c r="T38" s="28"/>
      <c r="U38" s="27"/>
      <c r="V38" s="27"/>
      <c r="W38" s="28"/>
      <c r="X38" s="33"/>
      <c r="Y38" s="32"/>
      <c r="Z38" s="25"/>
      <c r="AA38" s="27"/>
      <c r="AB38" s="28"/>
      <c r="AC38" s="27"/>
      <c r="AD38" s="27"/>
      <c r="AE38" s="33"/>
      <c r="AG38" s="25"/>
      <c r="AH38" s="34"/>
      <c r="AI38" s="27">
        <v>0.05</v>
      </c>
      <c r="AJ38" s="27">
        <v>0.05</v>
      </c>
      <c r="AK38" s="27">
        <v>0.05</v>
      </c>
      <c r="AL38" s="25"/>
      <c r="AM38" s="34"/>
      <c r="AN38" s="27">
        <v>0.05</v>
      </c>
      <c r="AO38" s="27">
        <v>0.05</v>
      </c>
      <c r="AP38" s="36">
        <v>0.05</v>
      </c>
      <c r="AQ38" s="37"/>
      <c r="AR38" s="32" t="s">
        <v>293</v>
      </c>
      <c r="AS38" s="25" t="s">
        <v>72</v>
      </c>
      <c r="AT38" s="27" t="s">
        <v>52</v>
      </c>
      <c r="AU38" s="27"/>
      <c r="AW38" s="25"/>
      <c r="AX38" s="27"/>
      <c r="AY38" s="27"/>
      <c r="AZ38" s="32"/>
      <c r="BA38" s="41">
        <v>12</v>
      </c>
    </row>
    <row r="39" spans="1:53" s="87" customFormat="1" ht="16" thickBot="1" x14ac:dyDescent="0.25">
      <c r="A39" s="83">
        <v>30</v>
      </c>
      <c r="B39" s="26">
        <v>45364</v>
      </c>
      <c r="C39" s="83" t="s">
        <v>227</v>
      </c>
      <c r="D39" s="83"/>
      <c r="E39" s="83"/>
      <c r="F39" s="83"/>
      <c r="G39" s="83"/>
      <c r="H39" s="83"/>
      <c r="I39" s="83"/>
      <c r="J39" s="202">
        <v>45357</v>
      </c>
      <c r="K39" s="85" t="s">
        <v>35</v>
      </c>
      <c r="L39" s="196" t="s">
        <v>304</v>
      </c>
      <c r="M39" s="86" t="s">
        <v>356</v>
      </c>
      <c r="N39" s="185" t="s">
        <v>338</v>
      </c>
      <c r="O39" s="307"/>
      <c r="Q39" s="83"/>
      <c r="R39" s="83"/>
      <c r="S39" s="83"/>
      <c r="T39" s="83"/>
      <c r="U39" s="83"/>
      <c r="V39" s="83"/>
      <c r="W39" s="83"/>
      <c r="X39" s="83"/>
      <c r="Z39" s="83"/>
      <c r="AA39" s="83"/>
      <c r="AB39" s="83"/>
      <c r="AC39" s="83"/>
      <c r="AD39" s="83"/>
      <c r="AE39" s="83"/>
      <c r="AG39" s="83"/>
      <c r="AH39" s="83"/>
      <c r="AI39" s="83">
        <v>0.05</v>
      </c>
      <c r="AJ39" s="83">
        <v>0.05</v>
      </c>
      <c r="AK39" s="83">
        <v>0.05</v>
      </c>
      <c r="AL39" s="83"/>
      <c r="AM39" s="83"/>
      <c r="AN39" s="83">
        <v>0.05</v>
      </c>
      <c r="AO39" s="83">
        <v>0.05</v>
      </c>
      <c r="AP39" s="83">
        <v>0.05</v>
      </c>
      <c r="AQ39" s="195" t="s">
        <v>302</v>
      </c>
      <c r="AR39" s="87" t="s">
        <v>303</v>
      </c>
      <c r="AS39" s="83" t="s">
        <v>72</v>
      </c>
      <c r="AT39" s="83" t="s">
        <v>52</v>
      </c>
      <c r="AU39" s="83"/>
      <c r="AW39" s="83"/>
      <c r="AX39" s="83"/>
      <c r="AY39" s="83"/>
      <c r="BA39" s="83">
        <v>3</v>
      </c>
    </row>
    <row r="40" spans="1:53" x14ac:dyDescent="0.2">
      <c r="A40" s="25">
        <v>31</v>
      </c>
      <c r="B40" s="26">
        <v>45365</v>
      </c>
      <c r="C40" s="27" t="s">
        <v>200</v>
      </c>
      <c r="D40" s="25"/>
      <c r="E40" s="28"/>
      <c r="F40" s="27"/>
      <c r="G40" s="28"/>
      <c r="H40" s="27"/>
      <c r="I40" s="28"/>
      <c r="J40" s="202">
        <v>45357</v>
      </c>
      <c r="K40" s="29" t="s">
        <v>35</v>
      </c>
      <c r="L40" s="39"/>
      <c r="M40" s="31"/>
      <c r="N40" s="27" t="s">
        <v>338</v>
      </c>
      <c r="O40" s="307"/>
      <c r="P40" s="32" t="s">
        <v>357</v>
      </c>
      <c r="Q40" s="25"/>
      <c r="R40" s="27"/>
      <c r="S40" s="27"/>
      <c r="T40" s="28"/>
      <c r="U40" s="27"/>
      <c r="V40" s="27"/>
      <c r="W40" s="28"/>
      <c r="X40" s="33"/>
      <c r="Y40" s="32"/>
      <c r="Z40" s="25"/>
      <c r="AA40" s="27"/>
      <c r="AB40" s="28"/>
      <c r="AC40" s="27"/>
      <c r="AD40" s="27"/>
      <c r="AE40" s="33"/>
      <c r="AG40" s="25"/>
      <c r="AH40" s="34"/>
      <c r="AI40" s="27"/>
      <c r="AJ40" s="27"/>
      <c r="AK40" s="27"/>
      <c r="AL40" s="25"/>
      <c r="AM40" s="34"/>
      <c r="AN40" s="27">
        <v>0.1</v>
      </c>
      <c r="AO40" s="27">
        <v>0.1</v>
      </c>
      <c r="AP40" s="27">
        <v>0.1</v>
      </c>
      <c r="AQ40" s="37"/>
      <c r="AR40" s="66"/>
      <c r="AS40" s="25" t="s">
        <v>72</v>
      </c>
      <c r="AT40" s="27" t="s">
        <v>52</v>
      </c>
      <c r="AU40" s="27"/>
      <c r="AW40" s="25"/>
      <c r="AX40" s="27"/>
      <c r="AY40" s="27"/>
      <c r="AZ40" s="32"/>
      <c r="BA40" s="41">
        <v>12</v>
      </c>
    </row>
    <row r="41" spans="1:53" x14ac:dyDescent="0.2">
      <c r="A41" s="25">
        <v>32</v>
      </c>
      <c r="B41" s="26">
        <v>45366</v>
      </c>
      <c r="C41" s="27" t="s">
        <v>200</v>
      </c>
      <c r="D41" s="25"/>
      <c r="E41" s="28"/>
      <c r="F41" s="27"/>
      <c r="G41" s="28"/>
      <c r="H41" s="27"/>
      <c r="I41" s="28"/>
      <c r="J41" s="202">
        <v>45357</v>
      </c>
      <c r="K41" s="29" t="s">
        <v>35</v>
      </c>
      <c r="L41" s="39" t="s">
        <v>358</v>
      </c>
      <c r="M41" s="31"/>
      <c r="N41" s="27" t="s">
        <v>272</v>
      </c>
      <c r="O41" s="307"/>
      <c r="P41" s="32"/>
      <c r="Q41" s="25"/>
      <c r="R41" s="27"/>
      <c r="S41" s="27"/>
      <c r="T41" s="28"/>
      <c r="U41" s="27"/>
      <c r="V41" s="27"/>
      <c r="W41" s="28"/>
      <c r="X41" s="33"/>
      <c r="Y41" s="32"/>
      <c r="Z41" s="25"/>
      <c r="AA41" s="27"/>
      <c r="AB41" s="28"/>
      <c r="AC41" s="27"/>
      <c r="AD41" s="27"/>
      <c r="AE41" s="33"/>
      <c r="AG41" s="25"/>
      <c r="AH41" s="34"/>
      <c r="AI41" s="27"/>
      <c r="AJ41" s="27"/>
      <c r="AK41" s="27"/>
      <c r="AL41" s="25"/>
      <c r="AM41" s="34"/>
      <c r="AN41" s="27">
        <v>0.1</v>
      </c>
      <c r="AO41" s="27">
        <v>0.1</v>
      </c>
      <c r="AP41" s="27">
        <v>0.1</v>
      </c>
      <c r="AQ41" s="37"/>
      <c r="AR41" s="32"/>
      <c r="AS41" s="25" t="s">
        <v>72</v>
      </c>
      <c r="AT41" s="27" t="s">
        <v>52</v>
      </c>
      <c r="AU41" s="27"/>
      <c r="AW41" s="25"/>
      <c r="AX41" s="27"/>
      <c r="AY41" s="27"/>
      <c r="AZ41" s="32"/>
      <c r="BA41" s="41">
        <v>0</v>
      </c>
    </row>
    <row r="42" spans="1:53" x14ac:dyDescent="0.2">
      <c r="A42" s="25">
        <v>33</v>
      </c>
      <c r="B42" s="26">
        <v>45367</v>
      </c>
      <c r="C42" s="27" t="s">
        <v>200</v>
      </c>
      <c r="D42" s="25"/>
      <c r="E42" s="28"/>
      <c r="F42" s="27"/>
      <c r="G42" s="28"/>
      <c r="H42" s="27"/>
      <c r="I42" s="28"/>
      <c r="J42" s="202">
        <v>45357</v>
      </c>
      <c r="K42" s="29" t="s">
        <v>35</v>
      </c>
      <c r="L42" s="39"/>
      <c r="M42" s="31"/>
      <c r="N42" s="27" t="s">
        <v>272</v>
      </c>
      <c r="O42" s="307"/>
      <c r="P42" s="32"/>
      <c r="Q42" s="25"/>
      <c r="R42" s="27"/>
      <c r="S42" s="27"/>
      <c r="T42" s="28"/>
      <c r="U42" s="27"/>
      <c r="V42" s="27"/>
      <c r="W42" s="28"/>
      <c r="X42" s="33"/>
      <c r="Y42" s="32"/>
      <c r="Z42" s="25"/>
      <c r="AA42" s="27"/>
      <c r="AB42" s="28"/>
      <c r="AC42" s="27"/>
      <c r="AD42" s="27"/>
      <c r="AE42" s="33"/>
      <c r="AG42" s="25"/>
      <c r="AH42" s="34"/>
      <c r="AI42" s="27"/>
      <c r="AJ42" s="27"/>
      <c r="AK42" s="27"/>
      <c r="AL42" s="25"/>
      <c r="AM42" s="34"/>
      <c r="AN42" s="27">
        <v>0.1</v>
      </c>
      <c r="AO42" s="27">
        <v>0.1</v>
      </c>
      <c r="AP42" s="27">
        <v>0.1</v>
      </c>
      <c r="AQ42" s="37"/>
      <c r="AR42" s="32"/>
      <c r="AS42" s="25" t="s">
        <v>72</v>
      </c>
      <c r="AT42" s="27" t="s">
        <v>52</v>
      </c>
      <c r="AW42" s="25"/>
      <c r="AX42" s="27"/>
      <c r="AY42" s="27"/>
      <c r="AZ42" s="32"/>
      <c r="BA42" s="41">
        <v>1</v>
      </c>
    </row>
    <row r="43" spans="1:53" ht="16" thickBot="1" x14ac:dyDescent="0.25">
      <c r="A43" s="25">
        <v>34</v>
      </c>
      <c r="B43" s="26">
        <v>45368</v>
      </c>
      <c r="C43" s="27"/>
      <c r="D43" s="25"/>
      <c r="E43" s="28"/>
      <c r="F43" s="27"/>
      <c r="G43" s="28"/>
      <c r="H43" s="27"/>
      <c r="I43" s="28"/>
      <c r="J43" s="202">
        <v>45357</v>
      </c>
      <c r="K43" s="29" t="s">
        <v>35</v>
      </c>
      <c r="L43" s="39"/>
      <c r="M43" s="31"/>
      <c r="N43" s="27" t="s">
        <v>272</v>
      </c>
      <c r="O43" s="307"/>
      <c r="P43" s="32"/>
      <c r="Q43" s="25"/>
      <c r="R43" s="27"/>
      <c r="S43" s="27"/>
      <c r="T43" s="28"/>
      <c r="U43" s="27"/>
      <c r="V43" s="27"/>
      <c r="W43" s="28"/>
      <c r="X43" s="33"/>
      <c r="Y43" s="32"/>
      <c r="Z43" s="25"/>
      <c r="AA43" s="27"/>
      <c r="AB43" s="28"/>
      <c r="AC43" s="27"/>
      <c r="AD43" s="27"/>
      <c r="AE43" s="33"/>
      <c r="AG43" s="25"/>
      <c r="AH43" s="34"/>
      <c r="AI43" s="27"/>
      <c r="AJ43" s="27"/>
      <c r="AK43" s="27"/>
      <c r="AL43" s="25"/>
      <c r="AM43" s="34"/>
      <c r="AN43" s="27"/>
      <c r="AO43" s="27"/>
      <c r="AP43" s="36"/>
      <c r="AQ43" s="37"/>
      <c r="AR43" s="32"/>
      <c r="AS43" s="25" t="s">
        <v>72</v>
      </c>
      <c r="AT43" s="27" t="s">
        <v>52</v>
      </c>
      <c r="AU43" s="27"/>
      <c r="AW43" s="25"/>
      <c r="AX43" s="27"/>
      <c r="AY43" s="27"/>
      <c r="AZ43" s="32"/>
      <c r="BA43" s="41"/>
    </row>
    <row r="44" spans="1:53" ht="16" thickBot="1" x14ac:dyDescent="0.25">
      <c r="A44" s="25">
        <v>35</v>
      </c>
      <c r="B44" s="26">
        <v>45369</v>
      </c>
      <c r="C44" s="27" t="s">
        <v>200</v>
      </c>
      <c r="D44" s="25"/>
      <c r="E44" s="28"/>
      <c r="F44" s="27"/>
      <c r="G44" s="28"/>
      <c r="H44" s="27"/>
      <c r="I44" s="28"/>
      <c r="J44" s="202">
        <v>45357</v>
      </c>
      <c r="K44" s="29" t="s">
        <v>35</v>
      </c>
      <c r="L44" s="39"/>
      <c r="M44" s="31"/>
      <c r="N44" s="27" t="s">
        <v>272</v>
      </c>
      <c r="O44" s="307"/>
      <c r="P44" s="32"/>
      <c r="Q44" s="25"/>
      <c r="R44" s="27"/>
      <c r="S44" s="27"/>
      <c r="T44" s="28"/>
      <c r="U44" s="27"/>
      <c r="V44" s="27"/>
      <c r="W44" s="28"/>
      <c r="X44" s="33"/>
      <c r="Y44" s="32"/>
      <c r="Z44" s="25"/>
      <c r="AA44" s="27"/>
      <c r="AB44" s="28"/>
      <c r="AC44" s="27"/>
      <c r="AD44" s="27"/>
      <c r="AE44" s="33"/>
      <c r="AG44" s="25"/>
      <c r="AH44" s="34"/>
      <c r="AI44" s="27"/>
      <c r="AJ44" s="27"/>
      <c r="AK44" s="27"/>
      <c r="AL44" s="25"/>
      <c r="AM44" s="34"/>
      <c r="AN44" s="27">
        <v>0.1</v>
      </c>
      <c r="AO44" s="27">
        <v>0.1</v>
      </c>
      <c r="AP44" s="36">
        <v>0.1</v>
      </c>
      <c r="AQ44" s="37"/>
      <c r="AR44" s="32"/>
      <c r="AS44" s="25" t="s">
        <v>72</v>
      </c>
      <c r="AT44" s="27" t="s">
        <v>52</v>
      </c>
      <c r="AU44" s="58" t="s">
        <v>77</v>
      </c>
      <c r="AW44" s="25"/>
      <c r="AX44" s="27"/>
      <c r="AY44" s="27"/>
      <c r="AZ44" s="32"/>
      <c r="BA44" s="41">
        <v>6</v>
      </c>
    </row>
    <row r="45" spans="1:53" ht="16" thickBot="1" x14ac:dyDescent="0.25">
      <c r="A45" s="25">
        <v>36</v>
      </c>
      <c r="B45" s="26">
        <v>45370</v>
      </c>
      <c r="C45" s="27" t="s">
        <v>200</v>
      </c>
      <c r="D45" s="25"/>
      <c r="E45" s="28"/>
      <c r="F45" s="27"/>
      <c r="G45" s="28"/>
      <c r="H45" s="27"/>
      <c r="I45" s="28"/>
      <c r="J45" s="202">
        <v>45357</v>
      </c>
      <c r="K45" s="29" t="s">
        <v>35</v>
      </c>
      <c r="L45" s="53" t="s">
        <v>363</v>
      </c>
      <c r="M45" s="31"/>
      <c r="N45" s="27" t="s">
        <v>272</v>
      </c>
      <c r="O45" s="307"/>
      <c r="P45" s="32"/>
      <c r="Q45" s="25"/>
      <c r="R45" s="27"/>
      <c r="S45" s="27"/>
      <c r="T45" s="28"/>
      <c r="U45" s="27"/>
      <c r="V45" s="27"/>
      <c r="W45" s="28"/>
      <c r="X45" s="33"/>
      <c r="Y45" s="32"/>
      <c r="Z45" s="25"/>
      <c r="AA45" s="27"/>
      <c r="AB45" s="28"/>
      <c r="AC45" s="27"/>
      <c r="AD45" s="27"/>
      <c r="AE45" s="33"/>
      <c r="AG45" s="25"/>
      <c r="AH45" s="34"/>
      <c r="AI45" s="27"/>
      <c r="AJ45" s="27"/>
      <c r="AK45" s="27"/>
      <c r="AL45" s="25"/>
      <c r="AM45" s="34"/>
      <c r="AN45" s="27"/>
      <c r="AO45" s="27"/>
      <c r="AP45" s="36"/>
      <c r="AQ45" s="37"/>
      <c r="AR45" s="32"/>
      <c r="AS45" s="25" t="s">
        <v>78</v>
      </c>
      <c r="AT45" s="27" t="s">
        <v>52</v>
      </c>
      <c r="AW45" s="25"/>
      <c r="AX45" s="27"/>
      <c r="AY45" s="27"/>
      <c r="AZ45" s="32"/>
      <c r="BA45" s="41"/>
    </row>
    <row r="46" spans="1:53" ht="16" thickBot="1" x14ac:dyDescent="0.25">
      <c r="A46" s="25">
        <v>37</v>
      </c>
      <c r="B46" s="26">
        <v>45371</v>
      </c>
      <c r="C46" s="27"/>
      <c r="D46" s="25"/>
      <c r="E46" s="28"/>
      <c r="F46" s="27"/>
      <c r="G46" s="28"/>
      <c r="H46" s="27"/>
      <c r="I46" s="28"/>
      <c r="J46" s="202">
        <v>45357</v>
      </c>
      <c r="K46" s="29" t="s">
        <v>35</v>
      </c>
      <c r="L46" s="53"/>
      <c r="M46" s="31"/>
      <c r="N46" s="27" t="s">
        <v>272</v>
      </c>
      <c r="O46" s="307"/>
      <c r="P46" s="32"/>
      <c r="Q46" s="25"/>
      <c r="R46" s="27"/>
      <c r="S46" s="27"/>
      <c r="T46" s="28"/>
      <c r="U46" s="27"/>
      <c r="V46" s="27"/>
      <c r="W46" s="28"/>
      <c r="X46" s="33"/>
      <c r="Y46" s="32"/>
      <c r="Z46" s="59"/>
      <c r="AA46" s="60"/>
      <c r="AB46" s="61"/>
      <c r="AC46" s="27"/>
      <c r="AD46" s="27"/>
      <c r="AE46" s="33"/>
      <c r="AG46" s="25"/>
      <c r="AH46" s="34"/>
      <c r="AI46" s="27"/>
      <c r="AJ46" s="27"/>
      <c r="AK46" s="27"/>
      <c r="AL46" s="25"/>
      <c r="AM46" s="34"/>
      <c r="AN46" s="27"/>
      <c r="AO46" s="27"/>
      <c r="AP46" s="36"/>
      <c r="AQ46" s="37"/>
      <c r="AR46" s="32"/>
      <c r="AS46" s="25" t="s">
        <v>78</v>
      </c>
      <c r="AT46" s="27" t="s">
        <v>52</v>
      </c>
      <c r="AU46" s="27"/>
      <c r="AW46" s="25"/>
      <c r="AX46" s="27"/>
      <c r="AY46" s="27"/>
      <c r="AZ46" s="32"/>
      <c r="BA46" s="41"/>
    </row>
    <row r="47" spans="1:53" x14ac:dyDescent="0.2">
      <c r="A47" s="25">
        <v>38</v>
      </c>
      <c r="B47" s="26">
        <v>45372</v>
      </c>
      <c r="C47" s="27"/>
      <c r="D47" s="25"/>
      <c r="E47" s="28"/>
      <c r="F47" s="27"/>
      <c r="G47" s="28"/>
      <c r="H47" s="27"/>
      <c r="I47" s="28"/>
      <c r="J47" s="202">
        <v>45357</v>
      </c>
      <c r="K47" s="29" t="s">
        <v>35</v>
      </c>
      <c r="L47" s="39"/>
      <c r="M47" s="31"/>
      <c r="N47" s="27" t="s">
        <v>272</v>
      </c>
      <c r="O47" s="307"/>
      <c r="P47" s="32"/>
      <c r="Q47" s="25"/>
      <c r="R47" s="27"/>
      <c r="S47" s="27"/>
      <c r="T47" s="28"/>
      <c r="U47" s="27"/>
      <c r="V47" s="27"/>
      <c r="W47" s="28"/>
      <c r="X47" s="33"/>
      <c r="Y47" s="32"/>
      <c r="Z47" s="25"/>
      <c r="AA47" s="27"/>
      <c r="AB47" s="28"/>
      <c r="AC47" s="27"/>
      <c r="AD47" s="27"/>
      <c r="AE47" s="33"/>
      <c r="AG47" s="25"/>
      <c r="AH47" s="34"/>
      <c r="AI47" s="27"/>
      <c r="AJ47" s="27"/>
      <c r="AK47" s="27"/>
      <c r="AL47" s="25"/>
      <c r="AM47" s="34"/>
      <c r="AN47" s="27"/>
      <c r="AO47" s="27"/>
      <c r="AP47" s="36"/>
      <c r="AQ47" s="37"/>
      <c r="AR47" s="32"/>
      <c r="AS47" s="25" t="s">
        <v>78</v>
      </c>
      <c r="AT47" s="27" t="s">
        <v>52</v>
      </c>
      <c r="AU47" s="27"/>
      <c r="AW47" s="25"/>
      <c r="AX47" s="27"/>
      <c r="AY47" s="27"/>
      <c r="AZ47" s="32"/>
      <c r="BA47" s="41"/>
    </row>
    <row r="48" spans="1:53" ht="16" thickBot="1" x14ac:dyDescent="0.25">
      <c r="A48" s="25">
        <v>39</v>
      </c>
      <c r="B48" s="26">
        <v>45373</v>
      </c>
      <c r="C48" s="27"/>
      <c r="D48" s="25"/>
      <c r="E48" s="28"/>
      <c r="F48" s="27"/>
      <c r="G48" s="28"/>
      <c r="H48" s="27"/>
      <c r="I48" s="28"/>
      <c r="J48" s="202">
        <v>45357</v>
      </c>
      <c r="K48" s="29" t="s">
        <v>35</v>
      </c>
      <c r="M48" s="31"/>
      <c r="N48" s="27" t="s">
        <v>272</v>
      </c>
      <c r="O48" s="307"/>
      <c r="P48" s="32"/>
      <c r="Q48" s="25"/>
      <c r="R48" s="27"/>
      <c r="S48" s="27"/>
      <c r="T48" s="28"/>
      <c r="U48" s="27"/>
      <c r="V48" s="27"/>
      <c r="W48" s="28"/>
      <c r="X48" s="33"/>
      <c r="Y48" s="32"/>
      <c r="Z48" s="25"/>
      <c r="AA48" s="27"/>
      <c r="AB48" s="28"/>
      <c r="AC48" s="27"/>
      <c r="AD48" s="27"/>
      <c r="AE48" s="33"/>
      <c r="AG48" s="25"/>
      <c r="AH48" s="34"/>
      <c r="AI48" s="27"/>
      <c r="AJ48" s="27"/>
      <c r="AK48" s="27"/>
      <c r="AL48" s="25"/>
      <c r="AM48" s="34"/>
      <c r="AN48" s="27"/>
      <c r="AO48" s="27"/>
      <c r="AP48" s="36"/>
      <c r="AQ48" s="37"/>
      <c r="AR48" s="32"/>
      <c r="AS48" s="25" t="s">
        <v>78</v>
      </c>
      <c r="AT48" s="27" t="s">
        <v>52</v>
      </c>
      <c r="AU48" s="27"/>
      <c r="AW48" s="25"/>
      <c r="AX48" s="27"/>
      <c r="AY48" s="27"/>
      <c r="AZ48" s="32"/>
      <c r="BA48" s="41"/>
    </row>
    <row r="49" spans="1:53" ht="16" thickBot="1" x14ac:dyDescent="0.25">
      <c r="A49" s="25">
        <v>40</v>
      </c>
      <c r="B49" s="26">
        <v>45374</v>
      </c>
      <c r="C49" s="27"/>
      <c r="D49" s="25"/>
      <c r="E49" s="28"/>
      <c r="F49" s="27"/>
      <c r="G49" s="28"/>
      <c r="H49" s="27"/>
      <c r="I49" s="28"/>
      <c r="J49" s="202">
        <v>45357</v>
      </c>
      <c r="K49" s="29" t="s">
        <v>35</v>
      </c>
      <c r="L49" s="53"/>
      <c r="M49" s="31"/>
      <c r="N49" s="27" t="s">
        <v>272</v>
      </c>
      <c r="O49" s="308"/>
      <c r="Q49" s="25"/>
      <c r="R49" s="27"/>
      <c r="S49" s="27"/>
      <c r="T49" s="28"/>
      <c r="U49" s="27"/>
      <c r="V49" s="27"/>
      <c r="W49" s="28"/>
      <c r="X49" s="33"/>
      <c r="Y49" s="32"/>
      <c r="Z49" s="59"/>
      <c r="AA49" s="60"/>
      <c r="AB49" s="61"/>
      <c r="AC49" s="27"/>
      <c r="AD49" s="27"/>
      <c r="AE49" s="33"/>
      <c r="AG49" s="25"/>
      <c r="AH49" s="34"/>
      <c r="AI49" s="27"/>
      <c r="AJ49" s="27"/>
      <c r="AK49" s="27"/>
      <c r="AL49" s="25"/>
      <c r="AM49" s="34"/>
      <c r="AN49" s="27"/>
      <c r="AO49" s="27"/>
      <c r="AP49" s="36"/>
      <c r="AQ49" s="37"/>
      <c r="AR49" s="32"/>
      <c r="AS49" s="25" t="s">
        <v>79</v>
      </c>
      <c r="AT49" s="27" t="s">
        <v>52</v>
      </c>
      <c r="AU49" s="58" t="s">
        <v>80</v>
      </c>
      <c r="AW49" s="25"/>
      <c r="AX49" s="27"/>
      <c r="AY49" s="27"/>
      <c r="AZ49" s="32"/>
      <c r="BA49" s="41"/>
    </row>
    <row r="50" spans="1:53" x14ac:dyDescent="0.2">
      <c r="A50" s="25">
        <v>41</v>
      </c>
      <c r="B50" s="26">
        <v>45375</v>
      </c>
      <c r="C50" s="27"/>
      <c r="D50" s="25"/>
      <c r="E50" s="28"/>
      <c r="F50" s="27"/>
      <c r="G50" s="28"/>
      <c r="H50" s="27"/>
      <c r="I50" s="28"/>
      <c r="J50" s="202">
        <v>45357</v>
      </c>
      <c r="K50" s="29" t="s">
        <v>35</v>
      </c>
      <c r="M50" s="31"/>
      <c r="N50" s="27" t="s">
        <v>272</v>
      </c>
      <c r="P50" s="32"/>
      <c r="Q50" s="25"/>
      <c r="R50" s="27"/>
      <c r="S50" s="27"/>
      <c r="T50" s="28"/>
      <c r="U50" s="27"/>
      <c r="V50" s="27"/>
      <c r="W50" s="28"/>
      <c r="X50" s="33"/>
      <c r="Y50" s="32"/>
      <c r="Z50" s="25"/>
      <c r="AA50" s="27"/>
      <c r="AB50" s="28"/>
      <c r="AC50" s="27"/>
      <c r="AD50" s="27"/>
      <c r="AE50" s="33"/>
      <c r="AG50" s="25"/>
      <c r="AH50" s="34"/>
      <c r="AI50" s="27"/>
      <c r="AJ50" s="27"/>
      <c r="AK50" s="27"/>
      <c r="AL50" s="25"/>
      <c r="AM50" s="34"/>
      <c r="AN50" s="27"/>
      <c r="AO50" s="27"/>
      <c r="AP50" s="36"/>
      <c r="AQ50" s="37"/>
      <c r="AR50" s="32"/>
      <c r="AS50" s="25" t="s">
        <v>79</v>
      </c>
      <c r="AT50" s="27" t="s">
        <v>52</v>
      </c>
      <c r="AU50" s="27"/>
      <c r="AW50" s="25"/>
      <c r="AX50" s="27"/>
      <c r="AY50" s="27"/>
      <c r="AZ50" s="32"/>
      <c r="BA50" s="41"/>
    </row>
    <row r="51" spans="1:53" x14ac:dyDescent="0.2">
      <c r="A51" s="25">
        <v>42</v>
      </c>
      <c r="B51" s="26">
        <v>45376</v>
      </c>
      <c r="C51" s="27"/>
      <c r="D51" s="25"/>
      <c r="E51" s="28"/>
      <c r="F51" s="27"/>
      <c r="G51" s="28"/>
      <c r="H51" s="27"/>
      <c r="I51" s="28"/>
      <c r="J51" s="202">
        <v>45357</v>
      </c>
      <c r="K51" s="29" t="s">
        <v>35</v>
      </c>
      <c r="L51" s="39"/>
      <c r="M51" s="31"/>
      <c r="N51" s="27" t="s">
        <v>272</v>
      </c>
      <c r="P51" s="32"/>
      <c r="Q51" s="25"/>
      <c r="R51" s="27"/>
      <c r="S51" s="27"/>
      <c r="T51" s="28"/>
      <c r="U51" s="27"/>
      <c r="V51" s="27"/>
      <c r="W51" s="28"/>
      <c r="X51" s="33"/>
      <c r="Y51" s="32"/>
      <c r="Z51" s="25"/>
      <c r="AA51" s="27"/>
      <c r="AB51" s="28"/>
      <c r="AC51" s="27"/>
      <c r="AD51" s="27"/>
      <c r="AE51" s="33"/>
      <c r="AG51" s="25"/>
      <c r="AH51" s="34"/>
      <c r="AI51" s="27"/>
      <c r="AJ51" s="27"/>
      <c r="AK51" s="27"/>
      <c r="AL51" s="25"/>
      <c r="AM51" s="34"/>
      <c r="AN51" s="27"/>
      <c r="AO51" s="27"/>
      <c r="AP51" s="36"/>
      <c r="AQ51" s="37"/>
      <c r="AR51" s="32"/>
      <c r="AS51" s="25" t="s">
        <v>79</v>
      </c>
      <c r="AT51" s="27" t="s">
        <v>52</v>
      </c>
      <c r="AU51" s="27"/>
      <c r="AW51" s="25"/>
      <c r="AX51" s="27"/>
      <c r="AY51" s="27"/>
      <c r="AZ51" s="32"/>
      <c r="BA51" s="41"/>
    </row>
    <row r="52" spans="1:53" ht="16" thickBot="1" x14ac:dyDescent="0.25">
      <c r="A52" s="25">
        <v>43</v>
      </c>
      <c r="B52" s="26">
        <v>45377</v>
      </c>
      <c r="C52" s="27"/>
      <c r="D52" s="25"/>
      <c r="E52" s="28"/>
      <c r="F52" s="27"/>
      <c r="G52" s="28"/>
      <c r="H52" s="27"/>
      <c r="I52" s="28"/>
      <c r="J52" s="202">
        <v>45357</v>
      </c>
      <c r="K52" s="29" t="s">
        <v>35</v>
      </c>
      <c r="L52" s="39"/>
      <c r="M52" s="31"/>
      <c r="N52" s="27" t="s">
        <v>272</v>
      </c>
      <c r="P52" s="32"/>
      <c r="Q52" s="25"/>
      <c r="R52" s="27"/>
      <c r="S52" s="27"/>
      <c r="T52" s="28"/>
      <c r="U52" s="27"/>
      <c r="V52" s="27"/>
      <c r="W52" s="28"/>
      <c r="X52" s="33"/>
      <c r="Y52" s="32"/>
      <c r="Z52" s="25"/>
      <c r="AA52" s="27"/>
      <c r="AB52" s="28"/>
      <c r="AC52" s="27"/>
      <c r="AD52" s="27"/>
      <c r="AE52" s="33"/>
      <c r="AG52" s="25"/>
      <c r="AH52" s="34"/>
      <c r="AI52" s="27"/>
      <c r="AJ52" s="27"/>
      <c r="AK52" s="27"/>
      <c r="AL52" s="25"/>
      <c r="AM52" s="34"/>
      <c r="AN52" s="27"/>
      <c r="AO52" s="27"/>
      <c r="AP52" s="36"/>
      <c r="AQ52" s="37"/>
      <c r="AR52" s="32"/>
      <c r="AS52" s="25" t="s">
        <v>79</v>
      </c>
      <c r="AT52" s="27" t="s">
        <v>52</v>
      </c>
      <c r="AU52" s="27"/>
      <c r="AW52" s="25"/>
      <c r="AX52" s="27"/>
      <c r="AY52" s="27"/>
      <c r="AZ52" s="32"/>
      <c r="BA52" s="41"/>
    </row>
    <row r="53" spans="1:53" ht="16" thickBot="1" x14ac:dyDescent="0.25">
      <c r="A53" s="25">
        <v>44</v>
      </c>
      <c r="B53" s="26">
        <v>45378</v>
      </c>
      <c r="C53" s="27"/>
      <c r="D53" s="25"/>
      <c r="E53" s="28"/>
      <c r="F53" s="27"/>
      <c r="G53" s="28"/>
      <c r="H53" s="27"/>
      <c r="I53" s="28"/>
      <c r="J53" s="202">
        <v>45357</v>
      </c>
      <c r="K53" s="29" t="s">
        <v>35</v>
      </c>
      <c r="L53" s="39"/>
      <c r="M53" s="31"/>
      <c r="N53" s="27" t="s">
        <v>272</v>
      </c>
      <c r="P53" s="32"/>
      <c r="Q53" s="27"/>
      <c r="R53" s="27"/>
      <c r="S53" s="27"/>
      <c r="T53" s="28"/>
      <c r="U53" s="27"/>
      <c r="V53" s="27"/>
      <c r="W53" s="28"/>
      <c r="X53" s="33"/>
      <c r="Y53" s="32"/>
      <c r="Z53" s="59"/>
      <c r="AA53" s="60"/>
      <c r="AB53" s="61"/>
      <c r="AC53" s="27"/>
      <c r="AD53" s="27"/>
      <c r="AE53" s="33"/>
      <c r="AG53" s="25"/>
      <c r="AH53" s="34"/>
      <c r="AI53" s="27"/>
      <c r="AJ53" s="27"/>
      <c r="AK53" s="27"/>
      <c r="AL53" s="25"/>
      <c r="AM53" s="34"/>
      <c r="AN53" s="27"/>
      <c r="AO53" s="27"/>
      <c r="AP53" s="36"/>
      <c r="AQ53" s="37"/>
      <c r="AR53" s="32"/>
      <c r="AS53" s="25" t="s">
        <v>79</v>
      </c>
      <c r="AT53" s="27" t="s">
        <v>52</v>
      </c>
      <c r="AU53" s="58" t="s">
        <v>81</v>
      </c>
      <c r="AW53" s="25"/>
      <c r="AX53" s="27"/>
      <c r="AY53" s="27"/>
      <c r="AZ53" s="32"/>
      <c r="BA53" s="41"/>
    </row>
    <row r="54" spans="1:53" x14ac:dyDescent="0.2">
      <c r="A54" s="25">
        <v>45</v>
      </c>
      <c r="B54" s="26">
        <v>45379</v>
      </c>
      <c r="C54" s="27"/>
      <c r="D54" s="25"/>
      <c r="E54" s="28"/>
      <c r="F54" s="27"/>
      <c r="G54" s="28"/>
      <c r="H54" s="27"/>
      <c r="I54" s="28"/>
      <c r="J54" s="202">
        <v>45357</v>
      </c>
      <c r="K54" s="29" t="s">
        <v>35</v>
      </c>
      <c r="L54" s="39"/>
      <c r="M54" s="31"/>
      <c r="N54" s="27" t="s">
        <v>272</v>
      </c>
      <c r="P54" s="32"/>
      <c r="Q54" s="25"/>
      <c r="R54" s="27"/>
      <c r="S54" s="27"/>
      <c r="T54" s="28"/>
      <c r="U54" s="27"/>
      <c r="V54" s="27"/>
      <c r="W54" s="28"/>
      <c r="X54" s="33"/>
      <c r="Y54" s="32"/>
      <c r="Z54" s="25"/>
      <c r="AA54" s="27"/>
      <c r="AB54" s="28"/>
      <c r="AC54" s="27"/>
      <c r="AD54" s="27"/>
      <c r="AE54" s="33"/>
      <c r="AG54" s="25"/>
      <c r="AH54" s="34"/>
      <c r="AI54" s="27"/>
      <c r="AJ54" s="27"/>
      <c r="AK54" s="27"/>
      <c r="AL54" s="25"/>
      <c r="AM54" s="34"/>
      <c r="AN54" s="27"/>
      <c r="AO54" s="27"/>
      <c r="AP54" s="36"/>
      <c r="AQ54" s="37"/>
      <c r="AR54" s="32"/>
      <c r="AS54" s="25" t="s">
        <v>82</v>
      </c>
      <c r="AT54" s="27" t="s">
        <v>52</v>
      </c>
      <c r="AW54" s="25"/>
      <c r="AX54" s="27"/>
      <c r="AY54" s="27"/>
      <c r="AZ54" s="32"/>
      <c r="BA54" s="41"/>
    </row>
    <row r="55" spans="1:53" x14ac:dyDescent="0.2">
      <c r="A55" s="25">
        <v>46</v>
      </c>
      <c r="B55" s="26">
        <v>45380</v>
      </c>
      <c r="C55" s="27"/>
      <c r="D55" s="25"/>
      <c r="E55" s="28"/>
      <c r="F55" s="27"/>
      <c r="G55" s="28"/>
      <c r="H55" s="27"/>
      <c r="I55" s="28"/>
      <c r="J55" s="202">
        <v>45357</v>
      </c>
      <c r="K55" s="29" t="s">
        <v>35</v>
      </c>
      <c r="L55" s="39"/>
      <c r="M55" s="31"/>
      <c r="N55" s="27" t="s">
        <v>272</v>
      </c>
      <c r="P55" s="32"/>
      <c r="Q55" s="25"/>
      <c r="R55" s="27"/>
      <c r="S55" s="27"/>
      <c r="T55" s="28"/>
      <c r="U55" s="27"/>
      <c r="V55" s="27"/>
      <c r="W55" s="28"/>
      <c r="X55" s="33"/>
      <c r="Y55" s="32"/>
      <c r="Z55" s="25"/>
      <c r="AA55" s="27"/>
      <c r="AB55" s="28"/>
      <c r="AC55" s="27"/>
      <c r="AD55" s="27"/>
      <c r="AE55" s="33"/>
      <c r="AG55" s="25"/>
      <c r="AH55" s="34"/>
      <c r="AI55" s="27"/>
      <c r="AJ55" s="27"/>
      <c r="AK55" s="27"/>
      <c r="AL55" s="25"/>
      <c r="AM55" s="34"/>
      <c r="AN55" s="27"/>
      <c r="AO55" s="27"/>
      <c r="AP55" s="36"/>
      <c r="AQ55" s="37"/>
      <c r="AR55" s="32"/>
      <c r="AS55" s="25" t="s">
        <v>82</v>
      </c>
      <c r="AT55" s="27" t="s">
        <v>52</v>
      </c>
      <c r="AU55" s="27"/>
      <c r="AW55" s="25"/>
      <c r="AX55" s="27"/>
      <c r="AY55" s="27"/>
      <c r="AZ55" s="32"/>
      <c r="BA55" s="41"/>
    </row>
    <row r="56" spans="1:53" x14ac:dyDescent="0.2">
      <c r="A56" s="25">
        <v>47</v>
      </c>
      <c r="B56" s="26">
        <v>45381</v>
      </c>
      <c r="C56" s="27"/>
      <c r="D56" s="25"/>
      <c r="E56" s="28"/>
      <c r="F56" s="27"/>
      <c r="G56" s="28"/>
      <c r="H56" s="27"/>
      <c r="I56" s="28"/>
      <c r="J56" s="202">
        <v>45357</v>
      </c>
      <c r="K56" s="29" t="s">
        <v>35</v>
      </c>
      <c r="L56" s="39"/>
      <c r="M56" s="31"/>
      <c r="N56" s="27" t="s">
        <v>272</v>
      </c>
      <c r="P56" s="32"/>
      <c r="Q56" s="25"/>
      <c r="R56" s="27"/>
      <c r="S56" s="27"/>
      <c r="T56" s="28"/>
      <c r="U56" s="27"/>
      <c r="V56" s="27"/>
      <c r="W56" s="28"/>
      <c r="X56" s="33"/>
      <c r="Y56" s="32"/>
      <c r="Z56" s="25"/>
      <c r="AA56" s="27"/>
      <c r="AB56" s="28"/>
      <c r="AC56" s="27"/>
      <c r="AD56" s="27"/>
      <c r="AE56" s="33"/>
      <c r="AG56" s="25"/>
      <c r="AH56" s="34"/>
      <c r="AI56" s="27"/>
      <c r="AJ56" s="27"/>
      <c r="AK56" s="27"/>
      <c r="AL56" s="25"/>
      <c r="AM56" s="34"/>
      <c r="AN56" s="27"/>
      <c r="AO56" s="27"/>
      <c r="AP56" s="36"/>
      <c r="AQ56" s="37"/>
      <c r="AR56" s="32"/>
      <c r="AS56" s="25" t="s">
        <v>82</v>
      </c>
      <c r="AT56" s="27" t="s">
        <v>52</v>
      </c>
      <c r="AU56" s="27"/>
      <c r="AW56" s="25"/>
      <c r="AX56" s="27"/>
      <c r="AY56" s="27"/>
      <c r="AZ56" s="32"/>
      <c r="BA56" s="41"/>
    </row>
    <row r="57" spans="1:53" x14ac:dyDescent="0.2">
      <c r="A57" s="25">
        <v>48</v>
      </c>
      <c r="B57" s="26">
        <v>45382</v>
      </c>
      <c r="C57" s="27"/>
      <c r="D57" s="25"/>
      <c r="E57" s="28"/>
      <c r="F57" s="27"/>
      <c r="G57" s="28"/>
      <c r="H57" s="27"/>
      <c r="I57" s="28"/>
      <c r="J57" s="202">
        <v>45357</v>
      </c>
      <c r="K57" s="29" t="s">
        <v>35</v>
      </c>
      <c r="M57" s="31"/>
      <c r="N57" s="27" t="s">
        <v>272</v>
      </c>
      <c r="P57" s="32"/>
      <c r="Q57" s="25"/>
      <c r="R57" s="27"/>
      <c r="S57" s="27"/>
      <c r="T57" s="28"/>
      <c r="U57" s="27"/>
      <c r="V57" s="27"/>
      <c r="W57" s="28"/>
      <c r="X57" s="33"/>
      <c r="Y57" s="32"/>
      <c r="Z57" s="25"/>
      <c r="AA57" s="27"/>
      <c r="AB57" s="28"/>
      <c r="AC57" s="27"/>
      <c r="AD57" s="27"/>
      <c r="AE57" s="33"/>
      <c r="AG57" s="25"/>
      <c r="AH57" s="34"/>
      <c r="AI57" s="27"/>
      <c r="AJ57" s="27"/>
      <c r="AK57" s="27"/>
      <c r="AL57" s="25"/>
      <c r="AM57" s="34"/>
      <c r="AN57" s="27"/>
      <c r="AO57" s="27"/>
      <c r="AP57" s="36"/>
      <c r="AQ57" s="37"/>
      <c r="AR57" s="32"/>
      <c r="AS57" s="25" t="s">
        <v>82</v>
      </c>
      <c r="AT57" s="27" t="s">
        <v>52</v>
      </c>
      <c r="AU57" s="27"/>
      <c r="AW57" s="25"/>
      <c r="AX57" s="27"/>
      <c r="AY57" s="27"/>
      <c r="AZ57" s="32"/>
      <c r="BA57" s="41"/>
    </row>
    <row r="58" spans="1:53" ht="16" thickBot="1" x14ac:dyDescent="0.25">
      <c r="A58" s="25">
        <v>49</v>
      </c>
      <c r="B58" s="26">
        <v>45383</v>
      </c>
      <c r="C58" s="27"/>
      <c r="D58" s="25"/>
      <c r="E58" s="28"/>
      <c r="F58" s="27"/>
      <c r="G58" s="28"/>
      <c r="H58" s="27"/>
      <c r="I58" s="28"/>
      <c r="J58" s="202">
        <v>45357</v>
      </c>
      <c r="K58" s="29" t="s">
        <v>35</v>
      </c>
      <c r="L58" s="39"/>
      <c r="M58" s="31"/>
      <c r="N58" s="27" t="s">
        <v>272</v>
      </c>
      <c r="P58" s="32"/>
      <c r="Q58" s="25"/>
      <c r="R58" s="27"/>
      <c r="S58" s="27"/>
      <c r="T58" s="28"/>
      <c r="U58" s="27"/>
      <c r="V58" s="27"/>
      <c r="W58" s="28"/>
      <c r="X58" s="33"/>
      <c r="Y58" s="32"/>
      <c r="Z58" s="25"/>
      <c r="AA58" s="27"/>
      <c r="AB58" s="28"/>
      <c r="AC58" s="27"/>
      <c r="AD58" s="27"/>
      <c r="AE58" s="33"/>
      <c r="AG58" s="25"/>
      <c r="AH58" s="34"/>
      <c r="AI58" s="27"/>
      <c r="AJ58" s="27"/>
      <c r="AK58" s="27"/>
      <c r="AL58" s="25"/>
      <c r="AM58" s="34"/>
      <c r="AN58" s="27"/>
      <c r="AO58" s="27"/>
      <c r="AP58" s="36"/>
      <c r="AQ58" s="37"/>
      <c r="AR58" s="32"/>
      <c r="AS58" s="25" t="s">
        <v>82</v>
      </c>
      <c r="AT58" s="27" t="s">
        <v>52</v>
      </c>
      <c r="AU58" s="27"/>
      <c r="AW58" s="25"/>
      <c r="AX58" s="27"/>
      <c r="AY58" s="27"/>
      <c r="AZ58" s="32"/>
      <c r="BA58" s="41"/>
    </row>
    <row r="59" spans="1:53" ht="16" thickBot="1" x14ac:dyDescent="0.25">
      <c r="A59" s="25">
        <v>50</v>
      </c>
      <c r="B59" s="26">
        <v>45384</v>
      </c>
      <c r="C59" s="27"/>
      <c r="D59" s="25"/>
      <c r="E59" s="28"/>
      <c r="F59" s="27"/>
      <c r="G59" s="28"/>
      <c r="H59" s="27"/>
      <c r="I59" s="28"/>
      <c r="J59" s="202">
        <v>45357</v>
      </c>
      <c r="K59" s="29" t="s">
        <v>35</v>
      </c>
      <c r="L59" s="44" t="s">
        <v>83</v>
      </c>
      <c r="M59" s="31"/>
      <c r="N59" s="27" t="s">
        <v>272</v>
      </c>
      <c r="O59" s="45" t="s">
        <v>84</v>
      </c>
      <c r="P59" s="46" t="s">
        <v>85</v>
      </c>
      <c r="Q59" s="25"/>
      <c r="R59" s="27"/>
      <c r="S59" s="27"/>
      <c r="T59" s="28"/>
      <c r="U59" s="27"/>
      <c r="V59" s="27"/>
      <c r="W59" s="28"/>
      <c r="X59" s="33"/>
      <c r="Y59" s="32"/>
      <c r="Z59" s="25"/>
      <c r="AA59" s="27"/>
      <c r="AB59" s="28"/>
      <c r="AC59" s="27"/>
      <c r="AD59" s="27"/>
      <c r="AE59" s="33"/>
      <c r="AG59" s="25"/>
      <c r="AH59" s="34"/>
      <c r="AI59" s="27"/>
      <c r="AJ59" s="27"/>
      <c r="AK59" s="27"/>
      <c r="AL59" s="25"/>
      <c r="AM59" s="34"/>
      <c r="AN59" s="27"/>
      <c r="AO59" s="27"/>
      <c r="AP59" s="36"/>
      <c r="AQ59" s="37"/>
      <c r="AR59" s="32"/>
      <c r="AS59" s="25" t="s">
        <v>86</v>
      </c>
      <c r="AT59" s="27" t="s">
        <v>87</v>
      </c>
      <c r="AU59" s="58" t="s">
        <v>88</v>
      </c>
      <c r="AW59" s="25"/>
      <c r="AX59" s="27"/>
      <c r="AY59" s="27"/>
      <c r="AZ59" s="32"/>
      <c r="BA59" s="41"/>
    </row>
    <row r="60" spans="1:53" ht="16" thickBot="1" x14ac:dyDescent="0.25">
      <c r="A60" s="25">
        <v>51</v>
      </c>
      <c r="B60" s="26">
        <v>45385</v>
      </c>
      <c r="C60" s="27"/>
      <c r="D60" s="25"/>
      <c r="E60" s="28"/>
      <c r="F60" s="27"/>
      <c r="G60" s="28"/>
      <c r="H60" s="27"/>
      <c r="I60" s="28"/>
      <c r="J60" s="27">
        <v>6</v>
      </c>
      <c r="K60" s="29" t="s">
        <v>35</v>
      </c>
      <c r="L60" s="88" t="s">
        <v>89</v>
      </c>
      <c r="M60" s="31"/>
      <c r="N60" s="27"/>
      <c r="P60" s="46"/>
      <c r="Q60" s="27"/>
      <c r="R60" s="27"/>
      <c r="S60" s="27"/>
      <c r="T60" s="28"/>
      <c r="U60" s="27"/>
      <c r="V60" s="27"/>
      <c r="W60" s="28"/>
      <c r="X60" s="33"/>
      <c r="Y60" s="32"/>
      <c r="Z60" s="25"/>
      <c r="AA60" s="27"/>
      <c r="AB60" s="28"/>
      <c r="AC60" s="27"/>
      <c r="AD60" s="27"/>
      <c r="AE60" s="33"/>
      <c r="AG60" s="25"/>
      <c r="AH60" s="34"/>
      <c r="AI60" s="27"/>
      <c r="AJ60" s="27"/>
      <c r="AK60" s="27"/>
      <c r="AL60" s="25"/>
      <c r="AM60" s="34"/>
      <c r="AN60" s="27"/>
      <c r="AO60" s="27"/>
      <c r="AP60" s="36"/>
      <c r="AQ60" s="37"/>
      <c r="AR60" s="32"/>
      <c r="AS60" s="25" t="s">
        <v>86</v>
      </c>
      <c r="AT60" s="27" t="s">
        <v>87</v>
      </c>
      <c r="AU60" s="27"/>
      <c r="AW60" s="25"/>
      <c r="AX60" s="27"/>
      <c r="AY60" s="27"/>
      <c r="AZ60" s="32"/>
      <c r="BA60" s="41"/>
    </row>
    <row r="61" spans="1:53" ht="16" thickBot="1" x14ac:dyDescent="0.25">
      <c r="A61" s="25">
        <v>52</v>
      </c>
      <c r="B61" s="26">
        <v>45386</v>
      </c>
      <c r="C61" s="27"/>
      <c r="D61" s="25"/>
      <c r="E61" s="28"/>
      <c r="F61" s="27"/>
      <c r="G61" s="28"/>
      <c r="H61" s="27"/>
      <c r="I61" s="28"/>
      <c r="J61" s="27">
        <v>6</v>
      </c>
      <c r="K61" s="29" t="s">
        <v>35</v>
      </c>
      <c r="L61" s="39"/>
      <c r="M61" s="31"/>
      <c r="N61" s="27"/>
      <c r="P61" s="32"/>
      <c r="Q61" s="25"/>
      <c r="R61" s="27"/>
      <c r="S61" s="27"/>
      <c r="T61" s="28"/>
      <c r="U61" s="27"/>
      <c r="V61" s="27"/>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W61" s="25"/>
      <c r="AX61" s="27"/>
      <c r="AY61" s="27"/>
      <c r="AZ61" s="32"/>
      <c r="BA61" s="41"/>
    </row>
    <row r="62" spans="1:53" ht="16" thickBot="1" x14ac:dyDescent="0.25">
      <c r="A62" s="25">
        <v>53</v>
      </c>
      <c r="B62" s="26">
        <v>45387</v>
      </c>
      <c r="C62" s="27"/>
      <c r="D62" s="25"/>
      <c r="E62" s="28"/>
      <c r="F62" s="27"/>
      <c r="G62" s="28"/>
      <c r="H62" s="27"/>
      <c r="I62" s="28"/>
      <c r="J62" s="27">
        <v>6</v>
      </c>
      <c r="K62" s="29" t="s">
        <v>35</v>
      </c>
      <c r="L62" s="39"/>
      <c r="M62" s="31"/>
      <c r="N62" s="27"/>
      <c r="P62" s="32"/>
      <c r="Q62" s="25"/>
      <c r="R62" s="27"/>
      <c r="S62" s="27"/>
      <c r="T62" s="28"/>
      <c r="U62" s="27"/>
      <c r="V62" s="27"/>
      <c r="W62" s="28"/>
      <c r="X62" s="33"/>
      <c r="Y62" s="32"/>
      <c r="Z62" s="25"/>
      <c r="AA62" s="27"/>
      <c r="AB62" s="28"/>
      <c r="AC62" s="27"/>
      <c r="AD62" s="27"/>
      <c r="AE62" s="33"/>
      <c r="AG62" s="25"/>
      <c r="AH62" s="34"/>
      <c r="AI62" s="27"/>
      <c r="AJ62" s="27"/>
      <c r="AK62" s="27"/>
      <c r="AL62" s="25"/>
      <c r="AM62" s="34"/>
      <c r="AN62" s="27"/>
      <c r="AO62" s="27"/>
      <c r="AP62" s="36"/>
      <c r="AQ62" s="37"/>
      <c r="AR62" s="32"/>
      <c r="AS62" s="25" t="s">
        <v>86</v>
      </c>
      <c r="AT62" s="27" t="s">
        <v>87</v>
      </c>
      <c r="AU62" s="27"/>
      <c r="AW62" s="25" t="s">
        <v>90</v>
      </c>
      <c r="AX62" s="27" t="s">
        <v>91</v>
      </c>
      <c r="AY62" s="89" t="s">
        <v>92</v>
      </c>
      <c r="AZ62" s="32"/>
      <c r="BA62" s="41"/>
    </row>
    <row r="63" spans="1:53" ht="16" thickBot="1" x14ac:dyDescent="0.25">
      <c r="A63" s="25">
        <v>54</v>
      </c>
      <c r="B63" s="26">
        <v>45388</v>
      </c>
      <c r="C63" s="27"/>
      <c r="D63" s="25"/>
      <c r="E63" s="28"/>
      <c r="F63" s="27"/>
      <c r="G63" s="28"/>
      <c r="H63" s="27"/>
      <c r="I63" s="28"/>
      <c r="J63" s="27">
        <v>6</v>
      </c>
      <c r="K63" s="29" t="s">
        <v>35</v>
      </c>
      <c r="L63" s="39"/>
      <c r="M63" s="31"/>
      <c r="N63" s="27"/>
      <c r="P63" s="32"/>
      <c r="Q63" s="25"/>
      <c r="R63" s="27"/>
      <c r="S63" s="27"/>
      <c r="T63" s="28"/>
      <c r="U63" s="27"/>
      <c r="V63" s="27"/>
      <c r="W63" s="28"/>
      <c r="X63" s="33"/>
      <c r="Y63" s="32"/>
      <c r="Z63" s="25"/>
      <c r="AA63" s="27"/>
      <c r="AB63" s="28"/>
      <c r="AC63" s="27"/>
      <c r="AD63" s="27"/>
      <c r="AE63" s="33"/>
      <c r="AG63" s="25"/>
      <c r="AH63" s="34"/>
      <c r="AI63" s="27"/>
      <c r="AJ63" s="27"/>
      <c r="AK63" s="27"/>
      <c r="AL63" s="25"/>
      <c r="AM63" s="34"/>
      <c r="AN63" s="27"/>
      <c r="AO63" s="27"/>
      <c r="AP63" s="36"/>
      <c r="AQ63" s="37"/>
      <c r="AR63" s="32"/>
      <c r="AS63" s="25" t="s">
        <v>86</v>
      </c>
      <c r="AT63" s="27" t="s">
        <v>87</v>
      </c>
      <c r="AU63" s="27"/>
      <c r="AW63" s="25" t="s">
        <v>90</v>
      </c>
      <c r="AX63" s="27" t="s">
        <v>91</v>
      </c>
      <c r="AY63" s="27"/>
      <c r="AZ63" s="32"/>
      <c r="BA63" s="41"/>
    </row>
    <row r="64" spans="1:53" ht="16" thickBot="1" x14ac:dyDescent="0.25">
      <c r="A64" s="25">
        <v>55</v>
      </c>
      <c r="B64" s="26">
        <v>45389</v>
      </c>
      <c r="C64" s="27"/>
      <c r="D64" s="25"/>
      <c r="E64" s="28"/>
      <c r="F64" s="27"/>
      <c r="G64" s="28"/>
      <c r="H64" s="27"/>
      <c r="I64" s="28"/>
      <c r="J64" s="27">
        <v>6</v>
      </c>
      <c r="K64" s="29" t="s">
        <v>35</v>
      </c>
      <c r="L64" s="39"/>
      <c r="M64" s="31"/>
      <c r="N64" s="27"/>
      <c r="P64" s="32"/>
      <c r="Q64" s="25"/>
      <c r="R64" s="27"/>
      <c r="S64" s="27"/>
      <c r="T64" s="28"/>
      <c r="U64" s="27"/>
      <c r="V64" s="27"/>
      <c r="W64" s="28"/>
      <c r="X64" s="33"/>
      <c r="Y64" s="32"/>
      <c r="Z64" s="25"/>
      <c r="AA64" s="27"/>
      <c r="AB64" s="28"/>
      <c r="AC64" s="27"/>
      <c r="AD64" s="27"/>
      <c r="AE64" s="33"/>
      <c r="AG64" s="25"/>
      <c r="AH64" s="34"/>
      <c r="AI64" s="27"/>
      <c r="AJ64" s="27"/>
      <c r="AK64" s="27"/>
      <c r="AL64" s="25"/>
      <c r="AM64" s="34"/>
      <c r="AN64" s="27"/>
      <c r="AO64" s="27"/>
      <c r="AP64" s="36"/>
      <c r="AQ64" s="82" t="s">
        <v>93</v>
      </c>
      <c r="AR64" s="32" t="s">
        <v>310</v>
      </c>
      <c r="AS64" s="25" t="s">
        <v>86</v>
      </c>
      <c r="AT64" s="27" t="s">
        <v>87</v>
      </c>
      <c r="AW64" s="25" t="s">
        <v>90</v>
      </c>
      <c r="AX64" s="27" t="s">
        <v>91</v>
      </c>
      <c r="AY64" s="27"/>
      <c r="AZ64" s="32"/>
      <c r="BA64" s="41"/>
    </row>
    <row r="65" spans="1:53" x14ac:dyDescent="0.2">
      <c r="A65" s="25">
        <v>56</v>
      </c>
      <c r="B65" s="26">
        <v>45390</v>
      </c>
      <c r="C65" s="27"/>
      <c r="D65" s="25"/>
      <c r="E65" s="28"/>
      <c r="F65" s="27"/>
      <c r="G65" s="28"/>
      <c r="H65" s="27"/>
      <c r="I65" s="28"/>
      <c r="J65" s="27">
        <v>6</v>
      </c>
      <c r="K65" s="29" t="s">
        <v>35</v>
      </c>
      <c r="L65" s="39"/>
      <c r="M65" s="31"/>
      <c r="N65" s="27"/>
      <c r="P65" s="32"/>
      <c r="Q65" s="25"/>
      <c r="R65" s="27"/>
      <c r="S65" s="27"/>
      <c r="T65" s="28"/>
      <c r="U65" s="27"/>
      <c r="V65" s="27"/>
      <c r="W65" s="28"/>
      <c r="X65" s="33"/>
      <c r="Y65" s="32"/>
      <c r="Z65" s="25"/>
      <c r="AA65" s="27"/>
      <c r="AB65" s="28"/>
      <c r="AC65" s="27"/>
      <c r="AD65" s="27"/>
      <c r="AE65" s="33"/>
      <c r="AG65" s="25"/>
      <c r="AH65" s="34"/>
      <c r="AI65" s="27"/>
      <c r="AJ65" s="27"/>
      <c r="AK65" s="27"/>
      <c r="AL65" s="25"/>
      <c r="AM65" s="34"/>
      <c r="AN65" s="27"/>
      <c r="AO65" s="27"/>
      <c r="AP65" s="36"/>
      <c r="AQ65" s="37"/>
      <c r="AR65" s="32"/>
      <c r="AS65" s="25" t="s">
        <v>86</v>
      </c>
      <c r="AT65" s="27" t="s">
        <v>87</v>
      </c>
      <c r="AU65" s="27"/>
      <c r="AW65" s="25" t="s">
        <v>90</v>
      </c>
      <c r="AX65" s="27" t="s">
        <v>91</v>
      </c>
      <c r="AY65" s="27"/>
      <c r="AZ65" s="32"/>
      <c r="BA65" s="41"/>
    </row>
    <row r="66" spans="1:53" ht="16" thickBot="1" x14ac:dyDescent="0.25">
      <c r="A66" s="25">
        <v>57</v>
      </c>
      <c r="B66" s="26">
        <v>45391</v>
      </c>
      <c r="C66" s="27"/>
      <c r="D66" s="25"/>
      <c r="E66" s="28"/>
      <c r="F66" s="27"/>
      <c r="G66" s="28"/>
      <c r="H66" s="27"/>
      <c r="I66" s="28"/>
      <c r="J66" s="27">
        <v>6</v>
      </c>
      <c r="K66" s="29" t="s">
        <v>35</v>
      </c>
      <c r="L66" s="39"/>
      <c r="M66" s="31"/>
      <c r="N66" s="27"/>
      <c r="P66" s="32"/>
      <c r="Q66" s="25"/>
      <c r="R66" s="27"/>
      <c r="S66" s="27"/>
      <c r="T66" s="28"/>
      <c r="U66" s="27"/>
      <c r="V66" s="27"/>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27"/>
      <c r="AW66" s="25" t="s">
        <v>90</v>
      </c>
      <c r="AX66" s="27" t="s">
        <v>91</v>
      </c>
      <c r="AY66" s="27"/>
      <c r="AZ66" s="32"/>
      <c r="BA66" s="41"/>
    </row>
    <row r="67" spans="1:53" ht="16" thickBot="1" x14ac:dyDescent="0.25">
      <c r="A67" s="25">
        <v>58</v>
      </c>
      <c r="B67" s="26">
        <v>45392</v>
      </c>
      <c r="C67" s="27"/>
      <c r="D67" s="25"/>
      <c r="E67" s="28"/>
      <c r="F67" s="27"/>
      <c r="G67" s="28"/>
      <c r="H67" s="27"/>
      <c r="I67" s="28"/>
      <c r="J67" s="27">
        <v>6</v>
      </c>
      <c r="K67" s="29" t="s">
        <v>35</v>
      </c>
      <c r="L67" s="39"/>
      <c r="M67" s="31"/>
      <c r="N67" s="27"/>
      <c r="P67" s="32"/>
      <c r="Q67" s="25"/>
      <c r="R67" s="27"/>
      <c r="S67" s="27"/>
      <c r="T67" s="28"/>
      <c r="U67" s="27"/>
      <c r="V67" s="27"/>
      <c r="W67" s="28"/>
      <c r="X67" s="33"/>
      <c r="Y67" s="32"/>
      <c r="Z67" s="25"/>
      <c r="AA67" s="27"/>
      <c r="AB67" s="28"/>
      <c r="AC67" s="27"/>
      <c r="AD67" s="27"/>
      <c r="AE67" s="33"/>
      <c r="AG67" s="25"/>
      <c r="AH67" s="34"/>
      <c r="AI67" s="27"/>
      <c r="AJ67" s="27"/>
      <c r="AK67" s="27"/>
      <c r="AL67" s="25"/>
      <c r="AM67" s="34"/>
      <c r="AN67" s="27">
        <v>0.05</v>
      </c>
      <c r="AO67" s="27">
        <v>0.05</v>
      </c>
      <c r="AP67" s="36">
        <v>0.05</v>
      </c>
      <c r="AQ67" s="37"/>
      <c r="AR67" s="32"/>
      <c r="AS67" s="25" t="s">
        <v>86</v>
      </c>
      <c r="AT67" s="27" t="s">
        <v>87</v>
      </c>
      <c r="AU67" s="27"/>
      <c r="AW67" s="25" t="s">
        <v>90</v>
      </c>
      <c r="AX67" s="27" t="s">
        <v>91</v>
      </c>
      <c r="AY67" s="89" t="s">
        <v>94</v>
      </c>
      <c r="AZ67" s="32"/>
      <c r="BA67" s="41"/>
    </row>
    <row r="68" spans="1:53" ht="16" thickBot="1" x14ac:dyDescent="0.25">
      <c r="A68" s="25">
        <v>59</v>
      </c>
      <c r="B68" s="26">
        <v>45393</v>
      </c>
      <c r="C68" s="27"/>
      <c r="D68" s="25"/>
      <c r="E68" s="28"/>
      <c r="F68" s="27"/>
      <c r="G68" s="28"/>
      <c r="H68" s="27"/>
      <c r="I68" s="28"/>
      <c r="J68" s="27">
        <v>6</v>
      </c>
      <c r="K68" s="29" t="s">
        <v>35</v>
      </c>
      <c r="L68" s="39"/>
      <c r="M68" s="31"/>
      <c r="N68" s="27"/>
      <c r="P68" s="32"/>
      <c r="Q68" s="25"/>
      <c r="R68" s="27"/>
      <c r="S68" s="27"/>
      <c r="T68" s="28"/>
      <c r="U68" s="27"/>
      <c r="V68" s="27"/>
      <c r="W68" s="28"/>
      <c r="X68" s="33"/>
      <c r="Y68" s="32"/>
      <c r="Z68" s="25"/>
      <c r="AA68" s="27"/>
      <c r="AB68" s="28"/>
      <c r="AC68" s="27"/>
      <c r="AD68" s="27"/>
      <c r="AE68" s="33"/>
      <c r="AG68" s="25"/>
      <c r="AH68" s="34"/>
      <c r="AI68" s="27"/>
      <c r="AJ68" s="27"/>
      <c r="AK68" s="27"/>
      <c r="AL68" s="25"/>
      <c r="AM68" s="34"/>
      <c r="AN68" s="27">
        <v>0.1</v>
      </c>
      <c r="AO68" s="27">
        <v>0.1</v>
      </c>
      <c r="AP68" s="36">
        <v>0.1</v>
      </c>
      <c r="AQ68" s="37"/>
      <c r="AR68" s="32"/>
      <c r="AS68" s="25" t="s">
        <v>86</v>
      </c>
      <c r="AT68" s="27" t="s">
        <v>87</v>
      </c>
      <c r="AU68" s="27"/>
      <c r="AW68" s="25" t="s">
        <v>90</v>
      </c>
      <c r="AX68" s="27" t="s">
        <v>95</v>
      </c>
      <c r="AY68" s="27"/>
      <c r="AZ68" s="32"/>
      <c r="BA68" s="41"/>
    </row>
    <row r="69" spans="1:53" ht="16" thickBot="1" x14ac:dyDescent="0.25">
      <c r="A69" s="25">
        <v>60</v>
      </c>
      <c r="B69" s="26">
        <v>45394</v>
      </c>
      <c r="C69" s="27"/>
      <c r="D69" s="25"/>
      <c r="E69" s="28"/>
      <c r="F69" s="27"/>
      <c r="G69" s="28"/>
      <c r="H69" s="27"/>
      <c r="I69" s="28"/>
      <c r="J69" s="27">
        <v>6</v>
      </c>
      <c r="K69" s="29" t="s">
        <v>35</v>
      </c>
      <c r="L69" s="39"/>
      <c r="M69" s="31"/>
      <c r="N69" s="27"/>
      <c r="P69" s="32"/>
      <c r="Q69" s="25"/>
      <c r="R69" s="27"/>
      <c r="S69" s="27"/>
      <c r="T69" s="28"/>
      <c r="U69" s="27"/>
      <c r="V69" s="27"/>
      <c r="W69" s="28"/>
      <c r="X69" s="33"/>
      <c r="Y69" s="32"/>
      <c r="Z69" s="25"/>
      <c r="AA69" s="27"/>
      <c r="AB69" s="28"/>
      <c r="AC69" s="27"/>
      <c r="AD69" s="27"/>
      <c r="AE69" s="33"/>
      <c r="AG69" s="25"/>
      <c r="AH69" s="34"/>
      <c r="AI69" s="27"/>
      <c r="AJ69" s="27"/>
      <c r="AK69" s="27"/>
      <c r="AL69" s="25"/>
      <c r="AM69" s="34"/>
      <c r="AN69" s="27">
        <v>0.1</v>
      </c>
      <c r="AO69" s="27">
        <v>0.1</v>
      </c>
      <c r="AP69" s="36">
        <v>0.1</v>
      </c>
      <c r="AQ69" s="37"/>
      <c r="AR69" s="32"/>
      <c r="AS69" s="25" t="s">
        <v>96</v>
      </c>
      <c r="AT69" s="27" t="s">
        <v>87</v>
      </c>
      <c r="AU69" s="58" t="s">
        <v>97</v>
      </c>
      <c r="AW69" s="25" t="s">
        <v>90</v>
      </c>
      <c r="AX69" s="27" t="s">
        <v>95</v>
      </c>
      <c r="AY69" s="27"/>
      <c r="AZ69" s="32"/>
      <c r="BA69" s="41"/>
    </row>
    <row r="70" spans="1:53" x14ac:dyDescent="0.2">
      <c r="A70" s="25">
        <v>61</v>
      </c>
      <c r="B70" s="26">
        <v>45395</v>
      </c>
      <c r="C70" s="27"/>
      <c r="D70" s="25"/>
      <c r="E70" s="28"/>
      <c r="F70" s="27"/>
      <c r="G70" s="28"/>
      <c r="H70" s="27"/>
      <c r="I70" s="28"/>
      <c r="J70" s="27">
        <v>6</v>
      </c>
      <c r="K70" s="29" t="s">
        <v>35</v>
      </c>
      <c r="L70" s="39"/>
      <c r="M70" s="31"/>
      <c r="N70" s="27"/>
      <c r="P70" s="32"/>
      <c r="Q70" s="25"/>
      <c r="R70" s="27"/>
      <c r="S70" s="27"/>
      <c r="T70" s="28"/>
      <c r="U70" s="27"/>
      <c r="V70" s="27"/>
      <c r="W70" s="28"/>
      <c r="X70" s="33"/>
      <c r="Y70" s="32"/>
      <c r="Z70" s="25"/>
      <c r="AA70" s="27"/>
      <c r="AB70" s="28"/>
      <c r="AC70" s="27"/>
      <c r="AD70" s="27"/>
      <c r="AE70" s="33"/>
      <c r="AG70" s="25"/>
      <c r="AH70" s="34"/>
      <c r="AI70" s="27"/>
      <c r="AJ70" s="27"/>
      <c r="AK70" s="27"/>
      <c r="AL70" s="25"/>
      <c r="AM70" s="34"/>
      <c r="AN70" s="27">
        <v>0.1</v>
      </c>
      <c r="AO70" s="27">
        <v>0.1</v>
      </c>
      <c r="AP70" s="36">
        <v>0.1</v>
      </c>
      <c r="AQ70" s="37"/>
      <c r="AR70" s="32"/>
      <c r="AS70" s="25" t="s">
        <v>96</v>
      </c>
      <c r="AT70" s="27" t="s">
        <v>87</v>
      </c>
      <c r="AU70" s="27"/>
      <c r="AW70" s="25" t="s">
        <v>90</v>
      </c>
      <c r="AX70" s="27" t="s">
        <v>95</v>
      </c>
      <c r="AY70" s="27"/>
      <c r="AZ70" s="32"/>
      <c r="BA70" s="41"/>
    </row>
    <row r="71" spans="1:53" x14ac:dyDescent="0.2">
      <c r="A71" s="25">
        <v>62</v>
      </c>
      <c r="B71" s="26">
        <v>45396</v>
      </c>
      <c r="C71" s="27"/>
      <c r="D71" s="25"/>
      <c r="E71" s="28"/>
      <c r="F71" s="27"/>
      <c r="G71" s="28"/>
      <c r="H71" s="27"/>
      <c r="I71" s="28"/>
      <c r="J71" s="27">
        <v>6</v>
      </c>
      <c r="K71" s="29" t="s">
        <v>35</v>
      </c>
      <c r="L71" s="39"/>
      <c r="M71" s="31"/>
      <c r="N71" s="27"/>
      <c r="P71" s="32"/>
      <c r="Q71" s="25"/>
      <c r="R71" s="27"/>
      <c r="S71" s="27"/>
      <c r="T71" s="28"/>
      <c r="U71" s="27"/>
      <c r="V71" s="27"/>
      <c r="W71" s="28"/>
      <c r="X71" s="33"/>
      <c r="Y71" s="32"/>
      <c r="Z71" s="25"/>
      <c r="AA71" s="27"/>
      <c r="AB71" s="28"/>
      <c r="AC71" s="27"/>
      <c r="AD71" s="27"/>
      <c r="AE71" s="33"/>
      <c r="AG71" s="25"/>
      <c r="AH71" s="34"/>
      <c r="AI71" s="27"/>
      <c r="AJ71" s="27"/>
      <c r="AK71" s="27"/>
      <c r="AL71" s="25"/>
      <c r="AM71" s="34"/>
      <c r="AN71" s="27">
        <v>0.1</v>
      </c>
      <c r="AO71" s="27">
        <v>0.1</v>
      </c>
      <c r="AP71" s="36">
        <v>0.1</v>
      </c>
      <c r="AQ71" s="37"/>
      <c r="AR71" s="32"/>
      <c r="AS71" s="25" t="s">
        <v>96</v>
      </c>
      <c r="AT71" s="27" t="s">
        <v>87</v>
      </c>
      <c r="AU71" s="27"/>
      <c r="AW71" s="25" t="s">
        <v>90</v>
      </c>
      <c r="AX71" s="27" t="s">
        <v>95</v>
      </c>
      <c r="AY71" s="27"/>
      <c r="AZ71" s="32"/>
      <c r="BA71" s="41"/>
    </row>
    <row r="72" spans="1:53" x14ac:dyDescent="0.2">
      <c r="A72" s="25">
        <v>63</v>
      </c>
      <c r="B72" s="26">
        <v>45397</v>
      </c>
      <c r="C72" s="27"/>
      <c r="D72" s="25"/>
      <c r="E72" s="28"/>
      <c r="F72" s="27"/>
      <c r="G72" s="28"/>
      <c r="H72" s="27"/>
      <c r="I72" s="28"/>
      <c r="J72" s="27">
        <v>6</v>
      </c>
      <c r="K72" s="29" t="s">
        <v>35</v>
      </c>
      <c r="L72" s="39"/>
      <c r="M72" s="31"/>
      <c r="N72" s="27"/>
      <c r="P72" s="32"/>
      <c r="Q72" s="25"/>
      <c r="R72" s="27"/>
      <c r="S72" s="27"/>
      <c r="T72" s="28"/>
      <c r="U72" s="27"/>
      <c r="V72" s="27"/>
      <c r="W72" s="28"/>
      <c r="X72" s="33"/>
      <c r="Y72" s="32"/>
      <c r="Z72" s="25"/>
      <c r="AA72" s="27"/>
      <c r="AB72" s="28"/>
      <c r="AC72" s="27"/>
      <c r="AD72" s="27"/>
      <c r="AE72" s="33"/>
      <c r="AG72" s="25"/>
      <c r="AH72" s="34"/>
      <c r="AI72" s="27"/>
      <c r="AJ72" s="27"/>
      <c r="AK72" s="27"/>
      <c r="AL72" s="25"/>
      <c r="AM72" s="34"/>
      <c r="AN72" s="27">
        <v>0.1</v>
      </c>
      <c r="AO72" s="27">
        <v>0.1</v>
      </c>
      <c r="AP72" s="36">
        <v>0.1</v>
      </c>
      <c r="AQ72" s="37"/>
      <c r="AR72" s="32"/>
      <c r="AS72" s="25" t="s">
        <v>96</v>
      </c>
      <c r="AT72" s="27" t="s">
        <v>87</v>
      </c>
      <c r="AU72" s="27"/>
      <c r="AW72" s="25" t="s">
        <v>90</v>
      </c>
      <c r="AX72" s="27" t="s">
        <v>95</v>
      </c>
      <c r="AY72" s="27"/>
      <c r="AZ72" s="32"/>
      <c r="BA72" s="41"/>
    </row>
    <row r="73" spans="1:53" x14ac:dyDescent="0.2">
      <c r="A73" s="25">
        <v>64</v>
      </c>
      <c r="B73" s="26">
        <v>45398</v>
      </c>
      <c r="C73" s="27"/>
      <c r="D73" s="25"/>
      <c r="E73" s="28"/>
      <c r="F73" s="27"/>
      <c r="G73" s="28"/>
      <c r="H73" s="27"/>
      <c r="I73" s="28"/>
      <c r="J73" s="27">
        <v>6</v>
      </c>
      <c r="K73" s="29" t="s">
        <v>35</v>
      </c>
      <c r="L73" s="39"/>
      <c r="M73" s="31"/>
      <c r="N73" s="27"/>
      <c r="P73" s="32"/>
      <c r="Q73" s="25"/>
      <c r="R73" s="27"/>
      <c r="S73" s="27"/>
      <c r="T73" s="28"/>
      <c r="U73" s="27"/>
      <c r="V73" s="27"/>
      <c r="W73" s="28"/>
      <c r="X73" s="33"/>
      <c r="Y73" s="32"/>
      <c r="Z73" s="25"/>
      <c r="AA73" s="27"/>
      <c r="AB73" s="28"/>
      <c r="AC73" s="27"/>
      <c r="AD73" s="27"/>
      <c r="AE73" s="33"/>
      <c r="AG73" s="25"/>
      <c r="AH73" s="34"/>
      <c r="AI73" s="27"/>
      <c r="AJ73" s="27"/>
      <c r="AK73" s="27"/>
      <c r="AL73" s="25"/>
      <c r="AM73" s="34"/>
      <c r="AN73" s="27">
        <v>0.1</v>
      </c>
      <c r="AO73" s="27">
        <v>0.1</v>
      </c>
      <c r="AP73" s="36">
        <v>0.1</v>
      </c>
      <c r="AQ73" s="37"/>
      <c r="AR73" s="32"/>
      <c r="AS73" s="25" t="s">
        <v>96</v>
      </c>
      <c r="AT73" s="27" t="s">
        <v>87</v>
      </c>
      <c r="AU73" s="27"/>
      <c r="AW73" s="25" t="s">
        <v>90</v>
      </c>
      <c r="AX73" s="27" t="s">
        <v>95</v>
      </c>
      <c r="AY73" s="27"/>
      <c r="AZ73" s="32"/>
      <c r="BA73" s="41"/>
    </row>
    <row r="74" spans="1:53" x14ac:dyDescent="0.2">
      <c r="A74" s="25">
        <v>65</v>
      </c>
      <c r="B74" s="26">
        <v>45399</v>
      </c>
      <c r="C74" s="27"/>
      <c r="D74" s="25"/>
      <c r="E74" s="28"/>
      <c r="F74" s="27"/>
      <c r="G74" s="28"/>
      <c r="H74" s="27"/>
      <c r="I74" s="28"/>
      <c r="J74" s="27">
        <v>6</v>
      </c>
      <c r="K74" s="29" t="s">
        <v>35</v>
      </c>
      <c r="L74" s="39"/>
      <c r="M74" s="31"/>
      <c r="N74" s="27"/>
      <c r="P74" s="32"/>
      <c r="Q74" s="25"/>
      <c r="R74" s="27"/>
      <c r="S74" s="27"/>
      <c r="T74" s="28"/>
      <c r="U74" s="27"/>
      <c r="V74" s="27"/>
      <c r="W74" s="28"/>
      <c r="X74" s="33"/>
      <c r="Y74" s="32"/>
      <c r="Z74" s="25"/>
      <c r="AA74" s="27"/>
      <c r="AB74" s="28"/>
      <c r="AC74" s="27"/>
      <c r="AD74" s="27"/>
      <c r="AE74" s="33"/>
      <c r="AG74" s="25"/>
      <c r="AH74" s="34"/>
      <c r="AI74" s="27"/>
      <c r="AJ74" s="27"/>
      <c r="AK74" s="27"/>
      <c r="AL74" s="25"/>
      <c r="AM74" s="34"/>
      <c r="AN74" s="27">
        <v>0.1</v>
      </c>
      <c r="AO74" s="27">
        <v>0.1</v>
      </c>
      <c r="AP74" s="36">
        <v>0.1</v>
      </c>
      <c r="AQ74" s="37"/>
      <c r="AR74" s="32"/>
      <c r="AS74" s="25" t="s">
        <v>96</v>
      </c>
      <c r="AT74" s="27" t="s">
        <v>87</v>
      </c>
      <c r="AU74" s="27"/>
      <c r="AW74" s="25" t="s">
        <v>90</v>
      </c>
      <c r="AX74" s="27" t="s">
        <v>95</v>
      </c>
      <c r="AY74" s="27"/>
      <c r="AZ74" s="32"/>
      <c r="BA74" s="41"/>
    </row>
    <row r="75" spans="1:53" x14ac:dyDescent="0.2">
      <c r="A75" s="25">
        <v>66</v>
      </c>
      <c r="B75" s="26">
        <v>45400</v>
      </c>
      <c r="C75" s="27"/>
      <c r="D75" s="25"/>
      <c r="E75" s="28"/>
      <c r="F75" s="27"/>
      <c r="G75" s="28"/>
      <c r="H75" s="27"/>
      <c r="I75" s="28"/>
      <c r="J75" s="27">
        <v>6</v>
      </c>
      <c r="K75" s="29" t="s">
        <v>35</v>
      </c>
      <c r="L75" s="39"/>
      <c r="M75" s="31"/>
      <c r="N75" s="27"/>
      <c r="P75" s="32"/>
      <c r="Q75" s="25"/>
      <c r="R75" s="27"/>
      <c r="S75" s="27"/>
      <c r="T75" s="28"/>
      <c r="U75" s="27"/>
      <c r="V75" s="27"/>
      <c r="W75" s="28"/>
      <c r="X75" s="33"/>
      <c r="Y75" s="32"/>
      <c r="Z75" s="25"/>
      <c r="AA75" s="27"/>
      <c r="AB75" s="28"/>
      <c r="AC75" s="27"/>
      <c r="AD75" s="27"/>
      <c r="AE75" s="33"/>
      <c r="AG75" s="25"/>
      <c r="AH75" s="34"/>
      <c r="AI75" s="27"/>
      <c r="AJ75" s="27"/>
      <c r="AK75" s="27"/>
      <c r="AL75" s="25"/>
      <c r="AM75" s="34"/>
      <c r="AN75" s="27">
        <v>0.1</v>
      </c>
      <c r="AO75" s="27">
        <v>0.1</v>
      </c>
      <c r="AP75" s="36">
        <v>0.1</v>
      </c>
      <c r="AQ75" s="37"/>
      <c r="AR75" s="32"/>
      <c r="AS75" s="25" t="s">
        <v>96</v>
      </c>
      <c r="AT75" s="27" t="s">
        <v>87</v>
      </c>
      <c r="AU75" s="27"/>
      <c r="AW75" s="25" t="s">
        <v>90</v>
      </c>
      <c r="AX75" s="27" t="s">
        <v>95</v>
      </c>
      <c r="AY75" s="27"/>
      <c r="AZ75" s="32"/>
      <c r="BA75" s="41"/>
    </row>
    <row r="76" spans="1:53" x14ac:dyDescent="0.2">
      <c r="A76" s="25">
        <v>67</v>
      </c>
      <c r="B76" s="26">
        <v>45401</v>
      </c>
      <c r="C76" s="27"/>
      <c r="D76" s="25"/>
      <c r="E76" s="28"/>
      <c r="F76" s="27"/>
      <c r="G76" s="28"/>
      <c r="H76" s="27"/>
      <c r="I76" s="28"/>
      <c r="J76" s="27">
        <v>6</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v>0.1</v>
      </c>
      <c r="AO76" s="27">
        <v>0.1</v>
      </c>
      <c r="AP76" s="36">
        <v>0.1</v>
      </c>
      <c r="AQ76" s="37"/>
      <c r="AR76" s="32"/>
      <c r="AS76" s="25" t="s">
        <v>96</v>
      </c>
      <c r="AT76" s="27" t="s">
        <v>87</v>
      </c>
      <c r="AU76" s="27"/>
      <c r="AW76" s="25" t="s">
        <v>90</v>
      </c>
      <c r="AX76" s="27" t="s">
        <v>95</v>
      </c>
      <c r="AY76" s="27"/>
      <c r="AZ76" s="32"/>
      <c r="BA76" s="41"/>
    </row>
    <row r="77" spans="1:53" x14ac:dyDescent="0.2">
      <c r="A77" s="25">
        <v>68</v>
      </c>
      <c r="B77" s="26">
        <v>45402</v>
      </c>
      <c r="C77" s="27"/>
      <c r="D77" s="25"/>
      <c r="E77" s="28"/>
      <c r="F77" s="27"/>
      <c r="G77" s="28"/>
      <c r="H77" s="27"/>
      <c r="I77" s="28"/>
      <c r="J77" s="27">
        <v>6</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v>0.1</v>
      </c>
      <c r="AO77" s="27">
        <v>0.1</v>
      </c>
      <c r="AP77" s="36">
        <v>0.1</v>
      </c>
      <c r="AQ77" s="37"/>
      <c r="AR77" s="32"/>
      <c r="AS77" s="25" t="s">
        <v>96</v>
      </c>
      <c r="AT77" s="27" t="s">
        <v>87</v>
      </c>
      <c r="AU77" s="27"/>
      <c r="AW77" s="25" t="s">
        <v>90</v>
      </c>
      <c r="AX77" s="27" t="s">
        <v>95</v>
      </c>
      <c r="AY77" s="27"/>
      <c r="AZ77" s="32"/>
      <c r="BA77" s="41"/>
    </row>
    <row r="78" spans="1:53" x14ac:dyDescent="0.2">
      <c r="A78" s="25">
        <v>69</v>
      </c>
      <c r="B78" s="26">
        <v>45403</v>
      </c>
      <c r="C78" s="27"/>
      <c r="D78" s="25"/>
      <c r="E78" s="28"/>
      <c r="F78" s="27"/>
      <c r="G78" s="28"/>
      <c r="H78" s="27"/>
      <c r="I78" s="28"/>
      <c r="J78" s="27">
        <v>6</v>
      </c>
      <c r="K78" s="29" t="s">
        <v>35</v>
      </c>
      <c r="L78" s="39"/>
      <c r="M78" s="31"/>
      <c r="N78" s="27"/>
      <c r="P78" s="32"/>
      <c r="Q78" s="25"/>
      <c r="R78" s="27"/>
      <c r="S78" s="27"/>
      <c r="T78" s="28"/>
      <c r="U78" s="27"/>
      <c r="V78" s="27"/>
      <c r="W78" s="28"/>
      <c r="X78" s="33"/>
      <c r="Y78" s="32"/>
      <c r="Z78" s="25"/>
      <c r="AA78" s="27"/>
      <c r="AB78" s="28"/>
      <c r="AC78" s="27"/>
      <c r="AD78" s="27"/>
      <c r="AE78" s="33"/>
      <c r="AG78" s="25"/>
      <c r="AH78" s="34"/>
      <c r="AI78" s="27"/>
      <c r="AJ78" s="27"/>
      <c r="AK78" s="27"/>
      <c r="AL78" s="25"/>
      <c r="AM78" s="34"/>
      <c r="AN78" s="27">
        <v>0.1</v>
      </c>
      <c r="AO78" s="27">
        <v>0.1</v>
      </c>
      <c r="AP78" s="36">
        <v>0.1</v>
      </c>
      <c r="AQ78" s="37"/>
      <c r="AR78" s="32"/>
      <c r="AS78" s="25" t="s">
        <v>96</v>
      </c>
      <c r="AT78" s="27" t="s">
        <v>87</v>
      </c>
      <c r="AU78" s="27"/>
      <c r="AW78" s="25" t="s">
        <v>90</v>
      </c>
      <c r="AX78" s="27" t="s">
        <v>95</v>
      </c>
      <c r="AY78" s="27"/>
      <c r="AZ78" s="32"/>
      <c r="BA78" s="41"/>
    </row>
    <row r="79" spans="1:53" x14ac:dyDescent="0.2">
      <c r="A79" s="25">
        <v>70</v>
      </c>
      <c r="B79" s="26">
        <v>45404</v>
      </c>
      <c r="C79" s="27"/>
      <c r="D79" s="25"/>
      <c r="E79" s="28"/>
      <c r="F79" s="27"/>
      <c r="G79" s="28"/>
      <c r="H79" s="27"/>
      <c r="I79" s="28"/>
      <c r="J79" s="27">
        <v>6</v>
      </c>
      <c r="K79" s="29" t="s">
        <v>35</v>
      </c>
      <c r="L79" s="39"/>
      <c r="M79" s="31"/>
      <c r="N79" s="27"/>
      <c r="P79" s="32"/>
      <c r="Q79" s="25"/>
      <c r="R79" s="27"/>
      <c r="S79" s="27"/>
      <c r="T79" s="28"/>
      <c r="U79" s="27"/>
      <c r="V79" s="27"/>
      <c r="W79" s="28"/>
      <c r="X79" s="33"/>
      <c r="Y79" s="32"/>
      <c r="Z79" s="25"/>
      <c r="AA79" s="27"/>
      <c r="AB79" s="28"/>
      <c r="AC79" s="27"/>
      <c r="AD79" s="27"/>
      <c r="AE79" s="33"/>
      <c r="AG79" s="25"/>
      <c r="AH79" s="34"/>
      <c r="AI79" s="27"/>
      <c r="AJ79" s="27"/>
      <c r="AK79" s="27"/>
      <c r="AL79" s="25"/>
      <c r="AM79" s="34"/>
      <c r="AN79" s="27">
        <v>0.1</v>
      </c>
      <c r="AO79" s="27">
        <v>0.1</v>
      </c>
      <c r="AP79" s="36">
        <v>0.1</v>
      </c>
      <c r="AQ79" s="37"/>
      <c r="AR79" s="32"/>
      <c r="AS79" s="25" t="s">
        <v>96</v>
      </c>
      <c r="AT79" s="27" t="s">
        <v>87</v>
      </c>
      <c r="AU79" s="27"/>
      <c r="AW79" s="25" t="s">
        <v>90</v>
      </c>
      <c r="AX79" s="27" t="s">
        <v>95</v>
      </c>
      <c r="AY79" s="27"/>
      <c r="AZ79" s="32"/>
      <c r="BA79" s="41"/>
    </row>
    <row r="80" spans="1:53" x14ac:dyDescent="0.2">
      <c r="A80" s="25">
        <v>71</v>
      </c>
      <c r="B80" s="26">
        <v>45405</v>
      </c>
      <c r="C80" s="27"/>
      <c r="D80" s="25"/>
      <c r="E80" s="28"/>
      <c r="F80" s="27"/>
      <c r="G80" s="28"/>
      <c r="H80" s="27"/>
      <c r="I80" s="28"/>
      <c r="J80" s="27">
        <v>6</v>
      </c>
      <c r="K80" s="29" t="s">
        <v>35</v>
      </c>
      <c r="L80" s="39"/>
      <c r="M80" s="31"/>
      <c r="N80" s="27"/>
      <c r="P80" s="32"/>
      <c r="Q80" s="25"/>
      <c r="R80" s="27"/>
      <c r="S80" s="27"/>
      <c r="T80" s="28"/>
      <c r="U80" s="27"/>
      <c r="V80" s="27"/>
      <c r="W80" s="28"/>
      <c r="X80" s="33"/>
      <c r="Y80" s="32"/>
      <c r="Z80" s="25"/>
      <c r="AA80" s="27"/>
      <c r="AB80" s="28"/>
      <c r="AC80" s="27"/>
      <c r="AD80" s="27"/>
      <c r="AE80" s="33"/>
      <c r="AF80" s="32"/>
      <c r="AG80" s="90"/>
      <c r="AH80" s="91"/>
      <c r="AI80" s="27"/>
      <c r="AJ80" s="27"/>
      <c r="AK80" s="28"/>
      <c r="AL80" s="27"/>
      <c r="AM80" s="27"/>
      <c r="AN80" s="27">
        <v>0.1</v>
      </c>
      <c r="AO80" s="27">
        <v>0.1</v>
      </c>
      <c r="AP80" s="36">
        <v>0.1</v>
      </c>
      <c r="AQ80" s="37"/>
      <c r="AS80" s="25" t="s">
        <v>96</v>
      </c>
      <c r="AT80" s="27" t="s">
        <v>87</v>
      </c>
      <c r="AU80" s="27"/>
      <c r="AW80" s="25" t="s">
        <v>90</v>
      </c>
      <c r="AX80" s="27" t="s">
        <v>95</v>
      </c>
      <c r="AY80" s="27"/>
      <c r="AZ80" s="32"/>
      <c r="BA80" s="41"/>
    </row>
    <row r="81" spans="1:53" x14ac:dyDescent="0.2">
      <c r="A81" s="25">
        <v>72</v>
      </c>
      <c r="B81" s="26">
        <v>45406</v>
      </c>
      <c r="C81" s="27"/>
      <c r="D81" s="25"/>
      <c r="E81" s="28"/>
      <c r="F81" s="27"/>
      <c r="G81" s="28"/>
      <c r="H81" s="27"/>
      <c r="I81" s="28"/>
      <c r="J81" s="27">
        <v>6</v>
      </c>
      <c r="K81" s="29" t="s">
        <v>35</v>
      </c>
      <c r="L81" s="39"/>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v>0.1</v>
      </c>
      <c r="AO81" s="27">
        <v>0.1</v>
      </c>
      <c r="AP81" s="36">
        <v>0.1</v>
      </c>
      <c r="AQ81" s="37"/>
      <c r="AS81" s="25" t="s">
        <v>96</v>
      </c>
      <c r="AT81" s="27" t="s">
        <v>87</v>
      </c>
      <c r="AU81" s="27"/>
      <c r="AW81" s="25" t="s">
        <v>90</v>
      </c>
      <c r="AX81" s="27" t="s">
        <v>95</v>
      </c>
      <c r="AY81" s="27"/>
      <c r="AZ81" s="32"/>
      <c r="BA81" s="41"/>
    </row>
    <row r="82" spans="1:53" x14ac:dyDescent="0.2">
      <c r="A82" s="25">
        <v>73</v>
      </c>
      <c r="B82" s="26">
        <v>45407</v>
      </c>
      <c r="C82" s="27"/>
      <c r="D82" s="25"/>
      <c r="E82" s="28"/>
      <c r="F82" s="27"/>
      <c r="G82" s="28"/>
      <c r="H82" s="27"/>
      <c r="I82" s="28"/>
      <c r="J82" s="27">
        <v>6</v>
      </c>
      <c r="K82" s="29" t="s">
        <v>35</v>
      </c>
      <c r="L82" s="173"/>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v>0.1</v>
      </c>
      <c r="AO82" s="27">
        <v>0.1</v>
      </c>
      <c r="AP82" s="36">
        <v>0.1</v>
      </c>
      <c r="AQ82" s="37"/>
      <c r="AS82" s="25" t="s">
        <v>96</v>
      </c>
      <c r="AT82" s="27" t="s">
        <v>87</v>
      </c>
      <c r="AU82" s="27"/>
      <c r="AW82" s="25" t="s">
        <v>90</v>
      </c>
      <c r="AX82" s="27" t="s">
        <v>95</v>
      </c>
      <c r="AY82" s="27"/>
      <c r="AZ82" s="32"/>
      <c r="BA82" s="41"/>
    </row>
    <row r="83" spans="1:53" x14ac:dyDescent="0.2">
      <c r="A83" s="25">
        <v>74</v>
      </c>
      <c r="B83" s="26">
        <v>45408</v>
      </c>
      <c r="C83" s="27"/>
      <c r="D83" s="25"/>
      <c r="E83" s="28"/>
      <c r="F83" s="27"/>
      <c r="G83" s="28"/>
      <c r="H83" s="27"/>
      <c r="I83" s="28"/>
      <c r="J83" s="27">
        <v>6</v>
      </c>
      <c r="K83" s="29" t="s">
        <v>35</v>
      </c>
      <c r="L83" s="173"/>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v>0.1</v>
      </c>
      <c r="AO83" s="27">
        <v>0.1</v>
      </c>
      <c r="AP83" s="36">
        <v>0.1</v>
      </c>
      <c r="AQ83" s="37"/>
      <c r="AS83" s="25" t="s">
        <v>96</v>
      </c>
      <c r="AT83" s="27" t="s">
        <v>87</v>
      </c>
      <c r="AU83" s="27"/>
      <c r="AW83" s="25" t="s">
        <v>90</v>
      </c>
      <c r="AX83" s="27" t="s">
        <v>95</v>
      </c>
      <c r="AY83" s="27"/>
      <c r="AZ83" s="32"/>
      <c r="BA83" s="41"/>
    </row>
    <row r="84" spans="1:53" x14ac:dyDescent="0.2">
      <c r="A84" s="25">
        <v>75</v>
      </c>
      <c r="B84" s="26">
        <v>45409</v>
      </c>
      <c r="C84" s="27"/>
      <c r="D84" s="25"/>
      <c r="E84" s="28"/>
      <c r="F84" s="27"/>
      <c r="G84" s="28"/>
      <c r="H84" s="27"/>
      <c r="I84" s="28"/>
      <c r="J84" s="27">
        <v>6</v>
      </c>
      <c r="K84" s="29" t="s">
        <v>35</v>
      </c>
      <c r="L84" s="173"/>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v>0.1</v>
      </c>
      <c r="AO84" s="27">
        <v>0.1</v>
      </c>
      <c r="AP84" s="36">
        <v>0.1</v>
      </c>
      <c r="AQ84" s="37"/>
      <c r="AR84" s="32"/>
      <c r="AS84" s="25" t="s">
        <v>96</v>
      </c>
      <c r="AT84" s="27" t="s">
        <v>87</v>
      </c>
      <c r="AU84" s="27"/>
      <c r="AW84" s="25" t="s">
        <v>90</v>
      </c>
      <c r="AX84" s="27" t="s">
        <v>95</v>
      </c>
      <c r="AY84" s="27"/>
      <c r="AZ84" s="32"/>
      <c r="BA84" s="41"/>
    </row>
    <row r="85" spans="1:53" x14ac:dyDescent="0.2">
      <c r="A85" s="25">
        <v>76</v>
      </c>
      <c r="B85" s="26">
        <v>45410</v>
      </c>
      <c r="C85" s="27"/>
      <c r="D85" s="25"/>
      <c r="E85" s="28"/>
      <c r="F85" s="27"/>
      <c r="G85" s="28"/>
      <c r="H85" s="27"/>
      <c r="I85" s="28"/>
      <c r="J85" s="27">
        <v>6</v>
      </c>
      <c r="K85" s="29" t="s">
        <v>35</v>
      </c>
      <c r="L85" s="173"/>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v>0.1</v>
      </c>
      <c r="AO85" s="27">
        <v>0.1</v>
      </c>
      <c r="AP85" s="36">
        <v>0.1</v>
      </c>
      <c r="AQ85" s="37"/>
      <c r="AR85" s="32"/>
      <c r="AS85" s="25" t="s">
        <v>96</v>
      </c>
      <c r="AT85" s="27" t="s">
        <v>87</v>
      </c>
      <c r="AU85" s="27"/>
      <c r="AW85" s="25" t="s">
        <v>90</v>
      </c>
      <c r="AX85" s="27" t="s">
        <v>95</v>
      </c>
      <c r="AY85" s="27"/>
      <c r="AZ85" s="32"/>
      <c r="BA85" s="41"/>
    </row>
    <row r="86" spans="1:53" x14ac:dyDescent="0.2">
      <c r="A86" s="25">
        <v>77</v>
      </c>
      <c r="B86" s="26">
        <v>45411</v>
      </c>
      <c r="C86" s="27"/>
      <c r="D86" s="25"/>
      <c r="E86" s="28"/>
      <c r="F86" s="27"/>
      <c r="G86" s="28"/>
      <c r="H86" s="27"/>
      <c r="I86" s="28"/>
      <c r="J86" s="27">
        <v>6</v>
      </c>
      <c r="K86" s="29" t="s">
        <v>35</v>
      </c>
      <c r="L86" s="173"/>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v>0.1</v>
      </c>
      <c r="AO86" s="27">
        <v>0.1</v>
      </c>
      <c r="AP86" s="36">
        <v>0.1</v>
      </c>
      <c r="AQ86" s="37"/>
      <c r="AR86" s="32"/>
      <c r="AS86" s="25" t="s">
        <v>96</v>
      </c>
      <c r="AT86" s="27" t="s">
        <v>87</v>
      </c>
      <c r="AU86" s="27"/>
      <c r="AW86" s="25" t="s">
        <v>90</v>
      </c>
      <c r="AX86" s="27" t="s">
        <v>95</v>
      </c>
      <c r="AY86" s="27"/>
      <c r="AZ86" s="32"/>
      <c r="BA86" s="41"/>
    </row>
    <row r="87" spans="1:53" x14ac:dyDescent="0.2">
      <c r="A87" s="25">
        <v>78</v>
      </c>
      <c r="B87" s="26">
        <v>45412</v>
      </c>
      <c r="C87" s="27"/>
      <c r="D87" s="25"/>
      <c r="E87" s="28"/>
      <c r="F87" s="27"/>
      <c r="G87" s="28"/>
      <c r="H87" s="27"/>
      <c r="I87" s="28"/>
      <c r="J87" s="27">
        <v>6</v>
      </c>
      <c r="K87" s="29" t="s">
        <v>35</v>
      </c>
      <c r="L87" s="173"/>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v>0.1</v>
      </c>
      <c r="AO87" s="27">
        <v>0.1</v>
      </c>
      <c r="AP87" s="36">
        <v>0.1</v>
      </c>
      <c r="AQ87" s="37"/>
      <c r="AR87" s="32"/>
      <c r="AS87" s="25" t="s">
        <v>96</v>
      </c>
      <c r="AT87" s="27" t="s">
        <v>87</v>
      </c>
      <c r="AU87" s="27"/>
      <c r="AW87" s="25" t="s">
        <v>90</v>
      </c>
      <c r="AX87" s="27" t="s">
        <v>95</v>
      </c>
      <c r="AY87" s="27"/>
      <c r="AZ87" s="32"/>
      <c r="BA87" s="41"/>
    </row>
    <row r="88" spans="1:53" x14ac:dyDescent="0.2">
      <c r="A88" s="25">
        <v>79</v>
      </c>
      <c r="B88" s="26">
        <v>45413</v>
      </c>
      <c r="C88" s="27"/>
      <c r="D88" s="25"/>
      <c r="E88" s="28"/>
      <c r="F88" s="27"/>
      <c r="G88" s="28"/>
      <c r="H88" s="27"/>
      <c r="I88" s="28"/>
      <c r="J88" s="27">
        <v>6</v>
      </c>
      <c r="K88" s="29" t="s">
        <v>35</v>
      </c>
      <c r="L88" s="173"/>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v>0.1</v>
      </c>
      <c r="AO88" s="27">
        <v>0.1</v>
      </c>
      <c r="AP88" s="36">
        <v>0.1</v>
      </c>
      <c r="AQ88" s="37"/>
      <c r="AR88" s="32"/>
      <c r="AS88" s="25" t="s">
        <v>96</v>
      </c>
      <c r="AT88" s="27" t="s">
        <v>87</v>
      </c>
      <c r="AU88" s="27"/>
      <c r="AW88" s="25" t="s">
        <v>90</v>
      </c>
      <c r="AX88" s="27" t="s">
        <v>95</v>
      </c>
      <c r="AY88" s="27"/>
      <c r="AZ88" s="32"/>
      <c r="BA88" s="41"/>
    </row>
    <row r="89" spans="1:53" x14ac:dyDescent="0.2">
      <c r="A89" s="25">
        <v>80</v>
      </c>
      <c r="B89" s="26">
        <v>45414</v>
      </c>
      <c r="C89" s="27"/>
      <c r="D89" s="25"/>
      <c r="E89" s="28"/>
      <c r="F89" s="27"/>
      <c r="G89" s="28"/>
      <c r="H89" s="27"/>
      <c r="I89" s="28"/>
      <c r="J89" s="27">
        <v>6</v>
      </c>
      <c r="K89" s="29" t="s">
        <v>35</v>
      </c>
      <c r="L89" s="173"/>
      <c r="M89" s="31"/>
      <c r="N89" s="27"/>
      <c r="P89" s="32"/>
      <c r="Q89" s="25"/>
      <c r="R89" s="27"/>
      <c r="S89" s="27"/>
      <c r="T89" s="28"/>
      <c r="U89" s="27"/>
      <c r="V89" s="27"/>
      <c r="W89" s="28"/>
      <c r="X89" s="33"/>
      <c r="Y89" s="32"/>
      <c r="Z89" s="25"/>
      <c r="AA89" s="27"/>
      <c r="AB89" s="28"/>
      <c r="AC89" s="27"/>
      <c r="AD89" s="27"/>
      <c r="AE89" s="33"/>
      <c r="AF89" s="32"/>
      <c r="AG89" s="90">
        <v>0.05</v>
      </c>
      <c r="AH89" s="91">
        <v>0.05</v>
      </c>
      <c r="AI89" s="27"/>
      <c r="AJ89" s="27"/>
      <c r="AK89" s="28"/>
      <c r="AL89" s="27"/>
      <c r="AM89" s="27"/>
      <c r="AN89" s="27">
        <v>0.1</v>
      </c>
      <c r="AO89" s="27">
        <v>0.1</v>
      </c>
      <c r="AP89" s="36">
        <v>0.1</v>
      </c>
      <c r="AQ89" s="37"/>
      <c r="AR89" s="32"/>
      <c r="AS89" s="25" t="s">
        <v>96</v>
      </c>
      <c r="AT89" s="27" t="s">
        <v>87</v>
      </c>
      <c r="AU89" s="27"/>
      <c r="AW89" s="25" t="s">
        <v>90</v>
      </c>
      <c r="AX89" s="27" t="s">
        <v>95</v>
      </c>
      <c r="AY89" s="27"/>
      <c r="AZ89" s="32"/>
      <c r="BA89" s="41"/>
    </row>
    <row r="90" spans="1:53" x14ac:dyDescent="0.2">
      <c r="A90" s="25">
        <v>81</v>
      </c>
      <c r="B90" s="26">
        <v>45415</v>
      </c>
      <c r="C90" s="27"/>
      <c r="D90" s="25"/>
      <c r="E90" s="28"/>
      <c r="F90" s="27"/>
      <c r="G90" s="28"/>
      <c r="H90" s="27"/>
      <c r="I90" s="28"/>
      <c r="J90" s="27">
        <v>6</v>
      </c>
      <c r="K90" s="29" t="s">
        <v>35</v>
      </c>
      <c r="L90" s="173"/>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v>0.1</v>
      </c>
      <c r="AO90" s="27">
        <v>0.1</v>
      </c>
      <c r="AP90" s="36">
        <v>0.1</v>
      </c>
      <c r="AQ90" s="37"/>
      <c r="AR90" s="32"/>
      <c r="AS90" s="25" t="s">
        <v>96</v>
      </c>
      <c r="AT90" s="27" t="s">
        <v>87</v>
      </c>
      <c r="AU90" s="27" t="s">
        <v>187</v>
      </c>
      <c r="AW90" s="25" t="s">
        <v>90</v>
      </c>
      <c r="AX90" s="27" t="s">
        <v>95</v>
      </c>
      <c r="AY90" s="27"/>
      <c r="AZ90" s="32"/>
      <c r="BA90" s="41"/>
    </row>
    <row r="91" spans="1:53" x14ac:dyDescent="0.2">
      <c r="A91" s="25">
        <v>82</v>
      </c>
      <c r="B91" s="26">
        <v>45416</v>
      </c>
      <c r="C91" s="27"/>
      <c r="D91" s="25"/>
      <c r="E91" s="28"/>
      <c r="F91" s="27"/>
      <c r="G91" s="28"/>
      <c r="H91" s="27"/>
      <c r="I91" s="28"/>
      <c r="J91" s="27">
        <v>6</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v>0.1</v>
      </c>
      <c r="AO91" s="27">
        <v>0.1</v>
      </c>
      <c r="AP91" s="36">
        <v>0.1</v>
      </c>
      <c r="AQ91" s="37"/>
      <c r="AR91" s="32"/>
      <c r="AS91" s="25" t="s">
        <v>96</v>
      </c>
      <c r="AT91" s="27" t="s">
        <v>87</v>
      </c>
      <c r="AU91" s="27"/>
      <c r="AW91" s="25" t="s">
        <v>90</v>
      </c>
      <c r="AX91" s="27" t="s">
        <v>95</v>
      </c>
      <c r="AY91" s="27"/>
      <c r="AZ91" s="32"/>
      <c r="BA91" s="41"/>
    </row>
    <row r="92" spans="1:53" x14ac:dyDescent="0.2">
      <c r="A92" s="25">
        <v>83</v>
      </c>
      <c r="B92" s="26">
        <v>45417</v>
      </c>
      <c r="C92" s="27"/>
      <c r="D92" s="25"/>
      <c r="E92" s="28"/>
      <c r="F92" s="27"/>
      <c r="G92" s="28"/>
      <c r="H92" s="27"/>
      <c r="I92" s="28"/>
      <c r="J92" s="27">
        <v>6</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v>0.1</v>
      </c>
      <c r="AO92" s="27">
        <v>0.1</v>
      </c>
      <c r="AP92" s="36">
        <v>0.1</v>
      </c>
      <c r="AQ92" s="37"/>
      <c r="AR92" s="32"/>
      <c r="AS92" s="25" t="s">
        <v>96</v>
      </c>
      <c r="AT92" s="27" t="s">
        <v>87</v>
      </c>
      <c r="AU92" s="27"/>
      <c r="AW92" s="25" t="s">
        <v>90</v>
      </c>
      <c r="AX92" s="27" t="s">
        <v>95</v>
      </c>
      <c r="AY92" s="27"/>
      <c r="AZ92" s="32"/>
      <c r="BA92" s="41"/>
    </row>
    <row r="93" spans="1:53" x14ac:dyDescent="0.2">
      <c r="A93" s="25">
        <v>84</v>
      </c>
      <c r="B93" s="26">
        <v>45418</v>
      </c>
      <c r="C93" s="27"/>
      <c r="D93" s="25"/>
      <c r="E93" s="28"/>
      <c r="F93" s="27"/>
      <c r="G93" s="28"/>
      <c r="H93" s="27"/>
      <c r="I93" s="28"/>
      <c r="J93" s="27">
        <v>6</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v>0.1</v>
      </c>
      <c r="AO93" s="27">
        <v>0.1</v>
      </c>
      <c r="AP93" s="36">
        <v>0.1</v>
      </c>
      <c r="AQ93" s="37"/>
      <c r="AR93" s="32"/>
      <c r="AS93" s="25" t="s">
        <v>96</v>
      </c>
      <c r="AT93" s="27" t="s">
        <v>87</v>
      </c>
      <c r="AU93" s="27"/>
      <c r="AW93" s="25" t="s">
        <v>90</v>
      </c>
      <c r="AX93" s="27" t="s">
        <v>95</v>
      </c>
      <c r="AY93" s="27"/>
      <c r="AZ93" s="32"/>
      <c r="BA93" s="41"/>
    </row>
    <row r="94" spans="1:53" x14ac:dyDescent="0.2">
      <c r="A94" s="25">
        <v>85</v>
      </c>
      <c r="B94" s="26">
        <v>45419</v>
      </c>
      <c r="C94" s="27"/>
      <c r="D94" s="25"/>
      <c r="E94" s="28"/>
      <c r="F94" s="27"/>
      <c r="G94" s="28"/>
      <c r="H94" s="27"/>
      <c r="I94" s="28"/>
      <c r="J94" s="27">
        <v>6</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v>0.1</v>
      </c>
      <c r="AO94" s="27">
        <v>0.1</v>
      </c>
      <c r="AP94" s="36">
        <v>0.1</v>
      </c>
      <c r="AQ94" s="37"/>
      <c r="AR94" s="32"/>
      <c r="AS94" s="25" t="s">
        <v>96</v>
      </c>
      <c r="AT94" s="27" t="s">
        <v>87</v>
      </c>
      <c r="AU94" s="27"/>
      <c r="AW94" s="25" t="s">
        <v>90</v>
      </c>
      <c r="AX94" s="27" t="s">
        <v>95</v>
      </c>
      <c r="AY94" s="27"/>
      <c r="AZ94" s="32"/>
      <c r="BA94" s="41"/>
    </row>
    <row r="95" spans="1:53" x14ac:dyDescent="0.2">
      <c r="A95" s="25">
        <v>86</v>
      </c>
      <c r="B95" s="26">
        <v>45420</v>
      </c>
      <c r="C95" s="27"/>
      <c r="D95" s="25"/>
      <c r="E95" s="28"/>
      <c r="F95" s="27"/>
      <c r="G95" s="28"/>
      <c r="H95" s="27"/>
      <c r="I95" s="28"/>
      <c r="J95" s="27">
        <v>6</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v>0.1</v>
      </c>
      <c r="AO95" s="27">
        <v>0.1</v>
      </c>
      <c r="AP95" s="36">
        <v>0.1</v>
      </c>
      <c r="AQ95" s="37"/>
      <c r="AR95" s="32"/>
      <c r="AS95" s="25" t="s">
        <v>96</v>
      </c>
      <c r="AT95" s="27" t="s">
        <v>87</v>
      </c>
      <c r="AU95" s="27"/>
      <c r="AW95" s="25" t="s">
        <v>90</v>
      </c>
      <c r="AX95" s="27" t="s">
        <v>95</v>
      </c>
      <c r="AY95" s="27"/>
      <c r="AZ95" s="32"/>
      <c r="BA95" s="41"/>
    </row>
    <row r="96" spans="1:53" x14ac:dyDescent="0.2">
      <c r="A96" s="25">
        <v>87</v>
      </c>
      <c r="B96" s="26">
        <v>45421</v>
      </c>
      <c r="C96" s="27"/>
      <c r="D96" s="25"/>
      <c r="E96" s="28"/>
      <c r="F96" s="27"/>
      <c r="G96" s="28"/>
      <c r="H96" s="27"/>
      <c r="I96" s="28"/>
      <c r="J96" s="27">
        <v>6</v>
      </c>
      <c r="K96" s="29" t="s">
        <v>35</v>
      </c>
      <c r="L96" s="39"/>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v>0.1</v>
      </c>
      <c r="AO96" s="27">
        <v>0.1</v>
      </c>
      <c r="AP96" s="36">
        <v>0.1</v>
      </c>
      <c r="AQ96" s="37"/>
      <c r="AR96" s="32"/>
      <c r="AS96" s="25" t="s">
        <v>96</v>
      </c>
      <c r="AT96" s="27" t="s">
        <v>87</v>
      </c>
      <c r="AU96" s="27"/>
      <c r="AW96" s="25" t="s">
        <v>90</v>
      </c>
      <c r="AX96" s="27" t="s">
        <v>95</v>
      </c>
      <c r="AY96" s="27"/>
      <c r="AZ96" s="32"/>
      <c r="BA96" s="41"/>
    </row>
    <row r="97" spans="1:53" x14ac:dyDescent="0.2">
      <c r="A97" s="25">
        <v>88</v>
      </c>
      <c r="B97" s="26">
        <v>45422</v>
      </c>
      <c r="C97" s="27"/>
      <c r="D97" s="25"/>
      <c r="E97" s="28"/>
      <c r="F97" s="27"/>
      <c r="G97" s="28"/>
      <c r="H97" s="27"/>
      <c r="I97" s="28"/>
      <c r="J97" s="27">
        <v>6</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t="s">
        <v>96</v>
      </c>
      <c r="AT97" s="27" t="s">
        <v>87</v>
      </c>
      <c r="AU97" s="27"/>
      <c r="AW97" s="25" t="s">
        <v>90</v>
      </c>
      <c r="AX97" s="27" t="s">
        <v>95</v>
      </c>
      <c r="AY97" s="27"/>
      <c r="AZ97" s="32"/>
      <c r="BA97" s="41"/>
    </row>
    <row r="98" spans="1:53" x14ac:dyDescent="0.2">
      <c r="A98" s="25">
        <v>89</v>
      </c>
      <c r="B98" s="26">
        <v>45423</v>
      </c>
      <c r="C98" s="27"/>
      <c r="D98" s="25"/>
      <c r="E98" s="28"/>
      <c r="F98" s="27"/>
      <c r="G98" s="28"/>
      <c r="H98" s="27"/>
      <c r="I98" s="28"/>
      <c r="J98" s="27">
        <v>6</v>
      </c>
      <c r="K98" s="29" t="s">
        <v>35</v>
      </c>
      <c r="L98" s="39"/>
      <c r="M98" s="31"/>
      <c r="N98" s="27"/>
      <c r="P98" s="32"/>
      <c r="Q98" s="25"/>
      <c r="R98" s="27"/>
      <c r="S98" s="27"/>
      <c r="T98" s="28"/>
      <c r="U98" s="27"/>
      <c r="V98" s="27"/>
      <c r="W98" s="28"/>
      <c r="X98" s="33"/>
      <c r="Y98" s="32"/>
      <c r="Z98" s="25"/>
      <c r="AA98" s="27"/>
      <c r="AB98" s="28"/>
      <c r="AC98" s="27"/>
      <c r="AD98" s="27"/>
      <c r="AE98" s="33"/>
      <c r="AF98" s="32"/>
      <c r="AG98" s="90">
        <v>0.05</v>
      </c>
      <c r="AH98" s="91">
        <v>0.05</v>
      </c>
      <c r="AI98" s="27"/>
      <c r="AJ98" s="27"/>
      <c r="AK98" s="28"/>
      <c r="AL98" s="27"/>
      <c r="AM98" s="27"/>
      <c r="AN98" s="27">
        <v>0.1</v>
      </c>
      <c r="AO98" s="27">
        <v>0.1</v>
      </c>
      <c r="AP98" s="36">
        <v>0.1</v>
      </c>
      <c r="AQ98" s="37"/>
      <c r="AR98" s="32"/>
      <c r="AS98" s="25" t="s">
        <v>96</v>
      </c>
      <c r="AT98" s="27" t="s">
        <v>87</v>
      </c>
      <c r="AU98" s="27"/>
      <c r="AW98" s="25" t="s">
        <v>90</v>
      </c>
      <c r="AX98" s="27" t="s">
        <v>95</v>
      </c>
      <c r="AY98" s="27"/>
      <c r="AZ98" s="32"/>
      <c r="BA98" s="41"/>
    </row>
    <row r="99" spans="1:53" x14ac:dyDescent="0.2">
      <c r="A99" s="25">
        <v>90</v>
      </c>
      <c r="B99" s="26">
        <v>45424</v>
      </c>
      <c r="C99" s="27"/>
      <c r="D99" s="25"/>
      <c r="E99" s="28"/>
      <c r="F99" s="27"/>
      <c r="G99" s="28"/>
      <c r="H99" s="27"/>
      <c r="I99" s="28"/>
      <c r="J99" s="27">
        <v>6</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c r="AO99" s="27"/>
      <c r="AP99" s="36"/>
      <c r="AQ99" s="37"/>
      <c r="AR99" s="32"/>
      <c r="AS99" s="25" t="s">
        <v>96</v>
      </c>
      <c r="AT99" s="27" t="s">
        <v>87</v>
      </c>
      <c r="AU99" s="27"/>
      <c r="AW99" s="25" t="s">
        <v>90</v>
      </c>
      <c r="AX99" s="27" t="s">
        <v>95</v>
      </c>
      <c r="AY99" s="27"/>
      <c r="AZ99" s="32"/>
      <c r="BA99" s="41"/>
    </row>
    <row r="100" spans="1:53" x14ac:dyDescent="0.2">
      <c r="A100" s="25">
        <v>91</v>
      </c>
      <c r="B100" s="26">
        <v>45425</v>
      </c>
      <c r="C100" s="27"/>
      <c r="AS100" s="25" t="s">
        <v>96</v>
      </c>
      <c r="AT100" s="27" t="s">
        <v>87</v>
      </c>
      <c r="AU100" s="27"/>
      <c r="AW100" s="25" t="s">
        <v>90</v>
      </c>
      <c r="AX100" s="27" t="s">
        <v>95</v>
      </c>
    </row>
    <row r="101" spans="1:53" x14ac:dyDescent="0.2">
      <c r="A101" s="25">
        <v>92</v>
      </c>
      <c r="B101" s="26">
        <v>45426</v>
      </c>
      <c r="C101" s="27"/>
      <c r="AS101" s="25" t="s">
        <v>96</v>
      </c>
      <c r="AT101" s="27" t="s">
        <v>87</v>
      </c>
      <c r="AU101" s="27"/>
      <c r="AW101" s="25" t="s">
        <v>90</v>
      </c>
      <c r="AX101" s="27" t="s">
        <v>95</v>
      </c>
    </row>
    <row r="102" spans="1:53" x14ac:dyDescent="0.2">
      <c r="A102" s="25">
        <v>93</v>
      </c>
      <c r="B102" s="26">
        <v>45427</v>
      </c>
      <c r="C102" s="27"/>
      <c r="AS102" s="25" t="s">
        <v>96</v>
      </c>
      <c r="AT102" s="27" t="s">
        <v>87</v>
      </c>
      <c r="AU102" s="27"/>
      <c r="AW102" s="25" t="s">
        <v>90</v>
      </c>
      <c r="AX102" s="27" t="s">
        <v>95</v>
      </c>
    </row>
    <row r="103" spans="1:53" x14ac:dyDescent="0.2">
      <c r="A103" s="25">
        <v>94</v>
      </c>
      <c r="B103" s="26">
        <v>45428</v>
      </c>
      <c r="C103" s="27"/>
      <c r="AS103" s="25" t="s">
        <v>96</v>
      </c>
      <c r="AT103" s="27" t="s">
        <v>87</v>
      </c>
      <c r="AU103" s="27"/>
      <c r="AW103" s="25" t="s">
        <v>90</v>
      </c>
      <c r="AX103" s="27" t="s">
        <v>95</v>
      </c>
    </row>
    <row r="104" spans="1:53" x14ac:dyDescent="0.2">
      <c r="A104" s="25">
        <v>95</v>
      </c>
      <c r="B104" s="26">
        <v>45429</v>
      </c>
      <c r="C104" s="27"/>
      <c r="AS104" s="25" t="s">
        <v>96</v>
      </c>
      <c r="AT104" s="27" t="s">
        <v>87</v>
      </c>
      <c r="AU104" s="27"/>
      <c r="AW104" s="25" t="s">
        <v>90</v>
      </c>
      <c r="AX104" s="27" t="s">
        <v>95</v>
      </c>
    </row>
    <row r="105" spans="1:53" x14ac:dyDescent="0.2">
      <c r="A105" s="25">
        <v>96</v>
      </c>
      <c r="B105" s="26">
        <v>45430</v>
      </c>
      <c r="C105" s="27"/>
      <c r="AN105">
        <v>0.1</v>
      </c>
      <c r="AO105">
        <v>0.1</v>
      </c>
      <c r="AP105">
        <v>0.1</v>
      </c>
      <c r="AS105" s="25" t="s">
        <v>96</v>
      </c>
      <c r="AT105" s="27" t="s">
        <v>87</v>
      </c>
      <c r="AU105" s="27"/>
      <c r="AW105" s="25" t="s">
        <v>90</v>
      </c>
      <c r="AX105" s="27" t="s">
        <v>95</v>
      </c>
      <c r="BA105">
        <v>0</v>
      </c>
    </row>
    <row r="106" spans="1:53" x14ac:dyDescent="0.2">
      <c r="A106" s="25">
        <v>97</v>
      </c>
      <c r="B106" s="26">
        <v>45431</v>
      </c>
      <c r="C106" s="27"/>
      <c r="AN106">
        <v>0.1</v>
      </c>
      <c r="AO106">
        <v>0.1</v>
      </c>
      <c r="AP106">
        <v>0.1</v>
      </c>
      <c r="AS106" s="25" t="s">
        <v>96</v>
      </c>
      <c r="AT106" s="27" t="s">
        <v>87</v>
      </c>
      <c r="AU106" s="27"/>
      <c r="AW106" s="25" t="s">
        <v>90</v>
      </c>
      <c r="AX106" s="27" t="s">
        <v>95</v>
      </c>
    </row>
    <row r="107" spans="1:53" x14ac:dyDescent="0.2">
      <c r="A107" s="25">
        <v>98</v>
      </c>
      <c r="B107" s="26">
        <v>45432</v>
      </c>
      <c r="C107" s="27"/>
      <c r="J107">
        <v>2</v>
      </c>
      <c r="K107" s="172">
        <v>0.5083333333333333</v>
      </c>
      <c r="AG107">
        <v>0.05</v>
      </c>
      <c r="AH107">
        <v>0.05</v>
      </c>
      <c r="AN107">
        <v>0.1</v>
      </c>
      <c r="AO107">
        <v>0.1</v>
      </c>
      <c r="AP107">
        <v>0.1</v>
      </c>
      <c r="AS107" s="25" t="s">
        <v>96</v>
      </c>
      <c r="AT107" s="27" t="s">
        <v>87</v>
      </c>
      <c r="AU107" s="27"/>
      <c r="AW107" s="25" t="s">
        <v>90</v>
      </c>
      <c r="AX107" s="27" t="s">
        <v>95</v>
      </c>
      <c r="BA107">
        <v>0</v>
      </c>
    </row>
    <row r="108" spans="1:53" x14ac:dyDescent="0.2">
      <c r="A108" s="25">
        <v>99</v>
      </c>
      <c r="B108" s="26">
        <v>45433</v>
      </c>
      <c r="AS108" s="25" t="s">
        <v>96</v>
      </c>
      <c r="AT108" s="27" t="s">
        <v>87</v>
      </c>
      <c r="AU108" s="27"/>
      <c r="AW108" s="25" t="s">
        <v>90</v>
      </c>
      <c r="AX108" s="27" t="s">
        <v>95</v>
      </c>
    </row>
    <row r="109" spans="1:53" x14ac:dyDescent="0.2">
      <c r="A109" s="25">
        <v>100</v>
      </c>
      <c r="B109" s="26">
        <v>45434</v>
      </c>
      <c r="C109" s="27"/>
      <c r="AN109">
        <v>0.1</v>
      </c>
      <c r="AO109">
        <v>0.1</v>
      </c>
      <c r="AP109">
        <v>0.1</v>
      </c>
      <c r="AS109" s="25" t="s">
        <v>96</v>
      </c>
      <c r="AT109" s="27" t="s">
        <v>87</v>
      </c>
      <c r="AU109" s="27"/>
      <c r="AW109" s="25" t="s">
        <v>90</v>
      </c>
      <c r="AX109" s="27" t="s">
        <v>95</v>
      </c>
    </row>
    <row r="110" spans="1:53" x14ac:dyDescent="0.2">
      <c r="A110" s="25">
        <v>101</v>
      </c>
      <c r="B110" s="26">
        <v>45435</v>
      </c>
      <c r="C110" s="27"/>
      <c r="AS110" s="25" t="s">
        <v>96</v>
      </c>
      <c r="AT110" s="27" t="s">
        <v>87</v>
      </c>
      <c r="AU110" s="27"/>
      <c r="AW110" s="25" t="s">
        <v>90</v>
      </c>
      <c r="AX110" s="27" t="s">
        <v>95</v>
      </c>
    </row>
    <row r="111" spans="1:53" x14ac:dyDescent="0.2">
      <c r="A111" s="25">
        <v>102</v>
      </c>
      <c r="B111" s="26">
        <v>45436</v>
      </c>
      <c r="C111" s="27"/>
      <c r="AS111" s="25" t="s">
        <v>96</v>
      </c>
      <c r="AT111" s="27" t="s">
        <v>87</v>
      </c>
      <c r="AU111" s="27"/>
      <c r="AW111" s="25" t="s">
        <v>90</v>
      </c>
      <c r="AX111" s="27" t="s">
        <v>95</v>
      </c>
    </row>
    <row r="112" spans="1:53" x14ac:dyDescent="0.2">
      <c r="A112" s="25">
        <v>103</v>
      </c>
      <c r="B112" s="26">
        <v>45437</v>
      </c>
      <c r="C112" s="27"/>
      <c r="AS112" s="25" t="s">
        <v>96</v>
      </c>
      <c r="AT112" s="27" t="s">
        <v>87</v>
      </c>
      <c r="AU112" s="27"/>
      <c r="AW112" s="25" t="s">
        <v>90</v>
      </c>
      <c r="AX112" s="27" t="s">
        <v>95</v>
      </c>
    </row>
    <row r="113" spans="1:50" x14ac:dyDescent="0.2">
      <c r="A113" s="25">
        <v>104</v>
      </c>
      <c r="B113" s="26">
        <v>45438</v>
      </c>
      <c r="C113" s="27"/>
      <c r="AS113" s="25" t="s">
        <v>96</v>
      </c>
      <c r="AT113" s="27" t="s">
        <v>87</v>
      </c>
      <c r="AU113" s="27"/>
      <c r="AW113" s="25" t="s">
        <v>90</v>
      </c>
      <c r="AX113" s="27" t="s">
        <v>95</v>
      </c>
    </row>
    <row r="114" spans="1:50" x14ac:dyDescent="0.2">
      <c r="A114" s="25">
        <v>105</v>
      </c>
      <c r="B114" s="26">
        <v>45439</v>
      </c>
      <c r="C114" s="27"/>
      <c r="AS114" s="25" t="s">
        <v>96</v>
      </c>
      <c r="AT114" s="27" t="s">
        <v>87</v>
      </c>
      <c r="AU114" s="27"/>
      <c r="AW114" s="25" t="s">
        <v>90</v>
      </c>
      <c r="AX114" s="27" t="s">
        <v>95</v>
      </c>
    </row>
    <row r="115" spans="1:50" x14ac:dyDescent="0.2">
      <c r="A115" s="25">
        <v>106</v>
      </c>
      <c r="B115" s="26">
        <v>45440</v>
      </c>
    </row>
    <row r="116" spans="1:50" x14ac:dyDescent="0.2">
      <c r="A116" s="25">
        <v>107</v>
      </c>
      <c r="B116" s="26">
        <v>45441</v>
      </c>
      <c r="C116" s="27"/>
      <c r="AN116">
        <v>0.1</v>
      </c>
      <c r="AO116">
        <v>0.1</v>
      </c>
      <c r="AP116">
        <v>0.1</v>
      </c>
    </row>
    <row r="117" spans="1:50" x14ac:dyDescent="0.2">
      <c r="A117" s="25">
        <v>108</v>
      </c>
      <c r="B117" s="26">
        <v>45442</v>
      </c>
      <c r="C117" s="27"/>
    </row>
    <row r="118" spans="1:50" x14ac:dyDescent="0.2">
      <c r="A118" s="25">
        <v>109</v>
      </c>
      <c r="B118" s="26">
        <v>45443</v>
      </c>
      <c r="C118" s="27"/>
    </row>
    <row r="119" spans="1:50" x14ac:dyDescent="0.2">
      <c r="A119" s="25">
        <v>110</v>
      </c>
      <c r="B119" s="26">
        <v>45444</v>
      </c>
      <c r="C119" s="27"/>
    </row>
    <row r="120" spans="1:50" x14ac:dyDescent="0.2">
      <c r="A120" s="25">
        <v>111</v>
      </c>
      <c r="B120" s="26">
        <v>45445</v>
      </c>
      <c r="C120" s="27"/>
    </row>
    <row r="121" spans="1:50" s="173" customFormat="1" x14ac:dyDescent="0.2">
      <c r="A121" s="173">
        <v>112</v>
      </c>
      <c r="B121" s="26">
        <v>45446</v>
      </c>
    </row>
    <row r="122" spans="1:50" x14ac:dyDescent="0.2">
      <c r="A122" s="25">
        <v>113</v>
      </c>
      <c r="B122" s="26">
        <v>45447</v>
      </c>
      <c r="C122" s="27"/>
    </row>
    <row r="123" spans="1:50" x14ac:dyDescent="0.2">
      <c r="A123" s="25">
        <v>114</v>
      </c>
      <c r="B123" s="26">
        <v>45448</v>
      </c>
      <c r="C123" s="27"/>
    </row>
    <row r="124" spans="1:50" x14ac:dyDescent="0.2">
      <c r="A124" s="25">
        <v>115</v>
      </c>
      <c r="B124" s="26">
        <v>45449</v>
      </c>
      <c r="C124" s="27"/>
    </row>
  </sheetData>
  <mergeCells count="52">
    <mergeCell ref="A3:C5"/>
    <mergeCell ref="D3:M5"/>
    <mergeCell ref="N3:P5"/>
    <mergeCell ref="Q3:Y5"/>
    <mergeCell ref="Z3:AF5"/>
    <mergeCell ref="A6:A8"/>
    <mergeCell ref="B6:B8"/>
    <mergeCell ref="C6:C8"/>
    <mergeCell ref="D6:E7"/>
    <mergeCell ref="F6:G7"/>
    <mergeCell ref="N6:N8"/>
    <mergeCell ref="AS3:AV5"/>
    <mergeCell ref="AW3:AZ5"/>
    <mergeCell ref="BA3:BA5"/>
    <mergeCell ref="AG5:AK5"/>
    <mergeCell ref="AM5:AP5"/>
    <mergeCell ref="AG3:AP4"/>
    <mergeCell ref="O6:O8"/>
    <mergeCell ref="P6:P8"/>
    <mergeCell ref="Q6:Q8"/>
    <mergeCell ref="R6:T7"/>
    <mergeCell ref="U6:W7"/>
    <mergeCell ref="AX6:AX8"/>
    <mergeCell ref="AY6:AY8"/>
    <mergeCell ref="AZ6:AZ8"/>
    <mergeCell ref="BA6:BA8"/>
    <mergeCell ref="H6:I7"/>
    <mergeCell ref="J6:J8"/>
    <mergeCell ref="K6:K8"/>
    <mergeCell ref="L6:L8"/>
    <mergeCell ref="M6:M8"/>
    <mergeCell ref="O29:O49"/>
    <mergeCell ref="AR6:AR8"/>
    <mergeCell ref="AS6:AS8"/>
    <mergeCell ref="AT6:AT8"/>
    <mergeCell ref="AU6:AU8"/>
    <mergeCell ref="AH6:AH8"/>
    <mergeCell ref="AI6:AK7"/>
    <mergeCell ref="AL6:AL8"/>
    <mergeCell ref="AM6:AM7"/>
    <mergeCell ref="AN6:AP7"/>
    <mergeCell ref="AQ6:AQ8"/>
    <mergeCell ref="Y6:Y8"/>
    <mergeCell ref="Z6:AB7"/>
    <mergeCell ref="AC6:AD7"/>
    <mergeCell ref="AE6:AE8"/>
    <mergeCell ref="AF6:AF8"/>
    <mergeCell ref="X13:X20"/>
    <mergeCell ref="AV6:AV8"/>
    <mergeCell ref="AW6:AW8"/>
    <mergeCell ref="AG6:AG7"/>
    <mergeCell ref="X6:X8"/>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C66FE-60C3-449D-A494-4A8D3F65C916}">
  <dimension ref="A1:BB105"/>
  <sheetViews>
    <sheetView topLeftCell="A26" zoomScale="85" zoomScaleNormal="85" workbookViewId="0">
      <pane xSplit="1" topLeftCell="B1" activePane="topRight" state="frozen"/>
      <selection pane="topRight" activeCell="L45" sqref="L45"/>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8.33203125"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3.1640625" bestFit="1" customWidth="1"/>
    <col min="32" max="32" width="41.1640625" bestFit="1" customWidth="1"/>
    <col min="33" max="33" width="8.83203125" customWidth="1"/>
    <col min="34" max="34" width="10.5" customWidth="1"/>
    <col min="35" max="35" width="7.6640625" bestFit="1" customWidth="1"/>
    <col min="36" max="36" width="6.5" bestFit="1" customWidth="1"/>
    <col min="37" max="37" width="7.6640625" bestFit="1" customWidth="1"/>
    <col min="38" max="38" width="16.33203125" bestFit="1" customWidth="1"/>
    <col min="39" max="39" width="12.5" bestFit="1" customWidth="1"/>
    <col min="40" max="42" width="7.6640625" bestFit="1" customWidth="1"/>
    <col min="43" max="43" width="37.1640625"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ht="21" customHeight="1" x14ac:dyDescent="0.3">
      <c r="A1" s="176" t="s">
        <v>99</v>
      </c>
      <c r="B1" t="s">
        <v>225</v>
      </c>
    </row>
    <row r="2" spans="1:53" ht="21" customHeight="1" x14ac:dyDescent="0.2">
      <c r="B2" s="94" t="s">
        <v>100</v>
      </c>
      <c r="D2" s="401">
        <v>0.745</v>
      </c>
      <c r="E2" s="400"/>
      <c r="F2" s="400"/>
      <c r="G2" s="400"/>
      <c r="H2" s="400"/>
      <c r="I2" s="400"/>
    </row>
    <row r="3" spans="1:53" x14ac:dyDescent="0.2">
      <c r="B3" s="94" t="s">
        <v>101</v>
      </c>
      <c r="D3" s="400" t="s">
        <v>233</v>
      </c>
      <c r="E3" s="400"/>
      <c r="F3" s="400"/>
      <c r="G3" s="400"/>
      <c r="H3" s="400"/>
      <c r="I3" s="400"/>
    </row>
    <row r="4" spans="1:53" x14ac:dyDescent="0.2">
      <c r="B4" s="94" t="s">
        <v>102</v>
      </c>
      <c r="D4" s="400"/>
      <c r="E4" s="400"/>
      <c r="F4" s="400"/>
      <c r="G4" s="400"/>
      <c r="H4" s="400"/>
      <c r="I4" s="400"/>
    </row>
    <row r="5" spans="1:53" x14ac:dyDescent="0.2">
      <c r="B5" s="94" t="s">
        <v>103</v>
      </c>
      <c r="D5" s="400"/>
      <c r="E5" s="400"/>
      <c r="F5" s="400"/>
      <c r="G5" s="400"/>
      <c r="H5" s="400"/>
      <c r="I5" s="400"/>
    </row>
    <row r="6" spans="1:53" x14ac:dyDescent="0.2">
      <c r="B6" s="94" t="s">
        <v>104</v>
      </c>
      <c r="D6" s="400" t="s">
        <v>234</v>
      </c>
      <c r="E6" s="400"/>
      <c r="F6" s="400"/>
      <c r="G6" s="400"/>
      <c r="H6" s="400"/>
      <c r="I6" s="400"/>
    </row>
    <row r="7" spans="1:53" ht="16" thickBot="1" x14ac:dyDescent="0.25">
      <c r="B7" s="94" t="s">
        <v>106</v>
      </c>
      <c r="D7" s="399"/>
      <c r="E7" s="399"/>
      <c r="F7" s="399"/>
      <c r="G7" s="399"/>
      <c r="H7" s="399"/>
      <c r="I7" s="399"/>
    </row>
    <row r="8" spans="1:53" ht="23" x14ac:dyDescent="0.2">
      <c r="A8" s="209" t="s">
        <v>0</v>
      </c>
      <c r="B8" s="210"/>
      <c r="C8" s="210"/>
      <c r="D8" s="215" t="s">
        <v>1</v>
      </c>
      <c r="E8" s="215"/>
      <c r="F8" s="215"/>
      <c r="G8" s="215"/>
      <c r="H8" s="215"/>
      <c r="I8" s="215"/>
      <c r="J8" s="215"/>
      <c r="K8" s="215"/>
      <c r="L8" s="215"/>
      <c r="M8" s="215"/>
      <c r="N8" s="218" t="s">
        <v>2</v>
      </c>
      <c r="O8" s="218"/>
      <c r="P8" s="219"/>
      <c r="Q8" s="224" t="s">
        <v>3</v>
      </c>
      <c r="R8" s="225"/>
      <c r="S8" s="225"/>
      <c r="T8" s="225"/>
      <c r="U8" s="225"/>
      <c r="V8" s="225"/>
      <c r="W8" s="225"/>
      <c r="X8" s="225"/>
      <c r="Y8" s="226"/>
      <c r="Z8" s="230" t="s">
        <v>4</v>
      </c>
      <c r="AA8" s="231"/>
      <c r="AB8" s="231"/>
      <c r="AC8" s="231"/>
      <c r="AD8" s="231"/>
      <c r="AE8" s="231"/>
      <c r="AF8" s="232"/>
      <c r="AG8" s="271" t="s">
        <v>5</v>
      </c>
      <c r="AH8" s="271"/>
      <c r="AI8" s="271"/>
      <c r="AJ8" s="271"/>
      <c r="AK8" s="271"/>
      <c r="AL8" s="271"/>
      <c r="AM8" s="271"/>
      <c r="AN8" s="271"/>
      <c r="AO8" s="271"/>
      <c r="AP8" s="271"/>
      <c r="AQ8" s="1"/>
      <c r="AR8" s="2"/>
      <c r="AS8" s="251" t="s">
        <v>6</v>
      </c>
      <c r="AT8" s="252"/>
      <c r="AU8" s="252"/>
      <c r="AV8" s="252"/>
      <c r="AW8" s="257" t="s">
        <v>7</v>
      </c>
      <c r="AX8" s="258"/>
      <c r="AY8" s="258"/>
      <c r="AZ8" s="259"/>
      <c r="BA8" s="266" t="s">
        <v>8</v>
      </c>
    </row>
    <row r="9" spans="1:53" ht="23" x14ac:dyDescent="0.2">
      <c r="A9" s="211"/>
      <c r="B9" s="212"/>
      <c r="C9" s="212"/>
      <c r="D9" s="216"/>
      <c r="E9" s="216"/>
      <c r="F9" s="216"/>
      <c r="G9" s="216"/>
      <c r="H9" s="216"/>
      <c r="I9" s="216"/>
      <c r="J9" s="216"/>
      <c r="K9" s="216"/>
      <c r="L9" s="216"/>
      <c r="M9" s="216"/>
      <c r="N9" s="220"/>
      <c r="O9" s="220"/>
      <c r="P9" s="221"/>
      <c r="Q9" s="227"/>
      <c r="R9" s="228"/>
      <c r="S9" s="228"/>
      <c r="T9" s="228"/>
      <c r="U9" s="228"/>
      <c r="V9" s="228"/>
      <c r="W9" s="228"/>
      <c r="X9" s="228"/>
      <c r="Y9" s="229"/>
      <c r="Z9" s="233"/>
      <c r="AA9" s="234"/>
      <c r="AB9" s="234"/>
      <c r="AC9" s="234"/>
      <c r="AD9" s="234"/>
      <c r="AE9" s="234"/>
      <c r="AF9" s="235"/>
      <c r="AG9" s="272"/>
      <c r="AH9" s="272"/>
      <c r="AI9" s="272"/>
      <c r="AJ9" s="272"/>
      <c r="AK9" s="272"/>
      <c r="AL9" s="272"/>
      <c r="AM9" s="272"/>
      <c r="AN9" s="272"/>
      <c r="AO9" s="272"/>
      <c r="AP9" s="272"/>
      <c r="AQ9" s="3"/>
      <c r="AR9" s="4"/>
      <c r="AS9" s="253"/>
      <c r="AT9" s="254"/>
      <c r="AU9" s="254"/>
      <c r="AV9" s="254"/>
      <c r="AW9" s="260"/>
      <c r="AX9" s="261"/>
      <c r="AY9" s="261"/>
      <c r="AZ9" s="262"/>
      <c r="BA9" s="267"/>
    </row>
    <row r="10" spans="1:53" ht="21" thickBot="1" x14ac:dyDescent="0.25">
      <c r="A10" s="213"/>
      <c r="B10" s="214"/>
      <c r="C10" s="214"/>
      <c r="D10" s="217"/>
      <c r="E10" s="217"/>
      <c r="F10" s="217"/>
      <c r="G10" s="217"/>
      <c r="H10" s="217"/>
      <c r="I10" s="217"/>
      <c r="J10" s="217"/>
      <c r="K10" s="217"/>
      <c r="L10" s="217"/>
      <c r="M10" s="217"/>
      <c r="N10" s="222"/>
      <c r="O10" s="222"/>
      <c r="P10" s="223"/>
      <c r="Q10" s="227"/>
      <c r="R10" s="228"/>
      <c r="S10" s="228"/>
      <c r="T10" s="228"/>
      <c r="U10" s="228"/>
      <c r="V10" s="228"/>
      <c r="W10" s="228"/>
      <c r="X10" s="228"/>
      <c r="Y10" s="229"/>
      <c r="Z10" s="233"/>
      <c r="AA10" s="234"/>
      <c r="AB10" s="234"/>
      <c r="AC10" s="234"/>
      <c r="AD10" s="234"/>
      <c r="AE10" s="234"/>
      <c r="AF10" s="235"/>
      <c r="AG10" s="269" t="s">
        <v>9</v>
      </c>
      <c r="AH10" s="269"/>
      <c r="AI10" s="269"/>
      <c r="AJ10" s="269"/>
      <c r="AK10" s="270"/>
      <c r="AL10" s="5"/>
      <c r="AM10" s="269" t="s">
        <v>10</v>
      </c>
      <c r="AN10" s="269"/>
      <c r="AO10" s="269"/>
      <c r="AP10" s="270"/>
      <c r="AQ10" s="6"/>
      <c r="AR10" s="7"/>
      <c r="AS10" s="255"/>
      <c r="AT10" s="256"/>
      <c r="AU10" s="256"/>
      <c r="AV10" s="256"/>
      <c r="AW10" s="263"/>
      <c r="AX10" s="264"/>
      <c r="AY10" s="264"/>
      <c r="AZ10" s="265"/>
      <c r="BA10" s="268"/>
    </row>
    <row r="11" spans="1:53" x14ac:dyDescent="0.2">
      <c r="A11" s="236" t="s">
        <v>11</v>
      </c>
      <c r="B11" s="239" t="s">
        <v>12</v>
      </c>
      <c r="C11" s="239" t="s">
        <v>13</v>
      </c>
      <c r="D11" s="242" t="s">
        <v>14</v>
      </c>
      <c r="E11" s="243"/>
      <c r="F11" s="246" t="s">
        <v>15</v>
      </c>
      <c r="G11" s="243"/>
      <c r="H11" s="292" t="s">
        <v>16</v>
      </c>
      <c r="I11" s="293"/>
      <c r="J11" s="296" t="s">
        <v>17</v>
      </c>
      <c r="K11" s="299" t="s">
        <v>18</v>
      </c>
      <c r="L11" s="292" t="s">
        <v>19</v>
      </c>
      <c r="M11" s="303" t="s">
        <v>20</v>
      </c>
      <c r="N11" s="248" t="s">
        <v>21</v>
      </c>
      <c r="O11" s="248" t="s">
        <v>19</v>
      </c>
      <c r="P11" s="248" t="s">
        <v>20</v>
      </c>
      <c r="Q11" s="273" t="s">
        <v>22</v>
      </c>
      <c r="R11" s="276" t="s">
        <v>23</v>
      </c>
      <c r="S11" s="276"/>
      <c r="T11" s="277"/>
      <c r="U11" s="280" t="s">
        <v>24</v>
      </c>
      <c r="V11" s="280"/>
      <c r="W11" s="281"/>
      <c r="X11" s="353" t="s">
        <v>19</v>
      </c>
      <c r="Y11" s="330" t="s">
        <v>20</v>
      </c>
      <c r="Z11" s="333" t="s">
        <v>23</v>
      </c>
      <c r="AA11" s="334"/>
      <c r="AB11" s="335"/>
      <c r="AC11" s="339" t="s">
        <v>24</v>
      </c>
      <c r="AD11" s="339"/>
      <c r="AE11" s="339" t="s">
        <v>19</v>
      </c>
      <c r="AF11" s="342" t="s">
        <v>20</v>
      </c>
      <c r="AG11" s="351" t="s">
        <v>25</v>
      </c>
      <c r="AH11" s="318" t="s">
        <v>26</v>
      </c>
      <c r="AI11" s="321" t="s">
        <v>24</v>
      </c>
      <c r="AJ11" s="321"/>
      <c r="AK11" s="321"/>
      <c r="AL11" s="323" t="s">
        <v>27</v>
      </c>
      <c r="AM11" s="325" t="s">
        <v>25</v>
      </c>
      <c r="AN11" s="321" t="s">
        <v>24</v>
      </c>
      <c r="AO11" s="321"/>
      <c r="AP11" s="309"/>
      <c r="AQ11" s="327" t="s">
        <v>19</v>
      </c>
      <c r="AR11" s="309" t="s">
        <v>20</v>
      </c>
      <c r="AS11" s="312" t="s">
        <v>28</v>
      </c>
      <c r="AT11" s="315" t="s">
        <v>29</v>
      </c>
      <c r="AU11" s="315" t="s">
        <v>19</v>
      </c>
      <c r="AV11" s="315" t="s">
        <v>20</v>
      </c>
      <c r="AW11" s="348" t="s">
        <v>30</v>
      </c>
      <c r="AX11" s="284" t="s">
        <v>29</v>
      </c>
      <c r="AY11" s="284" t="s">
        <v>19</v>
      </c>
      <c r="AZ11" s="287" t="s">
        <v>20</v>
      </c>
      <c r="BA11" s="290" t="s">
        <v>31</v>
      </c>
    </row>
    <row r="12" spans="1:53" x14ac:dyDescent="0.2">
      <c r="A12" s="237"/>
      <c r="B12" s="240"/>
      <c r="C12" s="240"/>
      <c r="D12" s="244"/>
      <c r="E12" s="245"/>
      <c r="F12" s="247"/>
      <c r="G12" s="245"/>
      <c r="H12" s="294"/>
      <c r="I12" s="295"/>
      <c r="J12" s="297"/>
      <c r="K12" s="300"/>
      <c r="L12" s="294"/>
      <c r="M12" s="304"/>
      <c r="N12" s="249"/>
      <c r="O12" s="249"/>
      <c r="P12" s="249"/>
      <c r="Q12" s="274"/>
      <c r="R12" s="278"/>
      <c r="S12" s="278"/>
      <c r="T12" s="279"/>
      <c r="U12" s="282"/>
      <c r="V12" s="282"/>
      <c r="W12" s="283"/>
      <c r="X12" s="354"/>
      <c r="Y12" s="331"/>
      <c r="Z12" s="336"/>
      <c r="AA12" s="337"/>
      <c r="AB12" s="338"/>
      <c r="AC12" s="340"/>
      <c r="AD12" s="340"/>
      <c r="AE12" s="340"/>
      <c r="AF12" s="343"/>
      <c r="AG12" s="352"/>
      <c r="AH12" s="319"/>
      <c r="AI12" s="322"/>
      <c r="AJ12" s="322"/>
      <c r="AK12" s="322"/>
      <c r="AL12" s="324"/>
      <c r="AM12" s="326"/>
      <c r="AN12" s="322"/>
      <c r="AO12" s="322"/>
      <c r="AP12" s="310"/>
      <c r="AQ12" s="328"/>
      <c r="AR12" s="310"/>
      <c r="AS12" s="313"/>
      <c r="AT12" s="316"/>
      <c r="AU12" s="316"/>
      <c r="AV12" s="316"/>
      <c r="AW12" s="349"/>
      <c r="AX12" s="285"/>
      <c r="AY12" s="285"/>
      <c r="AZ12" s="288"/>
      <c r="BA12" s="290"/>
    </row>
    <row r="13" spans="1:53" ht="16" thickBot="1" x14ac:dyDescent="0.25">
      <c r="A13" s="238"/>
      <c r="B13" s="241"/>
      <c r="C13" s="241"/>
      <c r="D13" s="8" t="s">
        <v>32</v>
      </c>
      <c r="E13" s="9" t="s">
        <v>33</v>
      </c>
      <c r="F13" s="10" t="s">
        <v>32</v>
      </c>
      <c r="G13" s="9" t="s">
        <v>33</v>
      </c>
      <c r="H13" s="11" t="s">
        <v>32</v>
      </c>
      <c r="I13" s="12" t="s">
        <v>33</v>
      </c>
      <c r="J13" s="298"/>
      <c r="K13" s="301"/>
      <c r="L13" s="302"/>
      <c r="M13" s="305"/>
      <c r="N13" s="250"/>
      <c r="O13" s="250"/>
      <c r="P13" s="250"/>
      <c r="Q13" s="275"/>
      <c r="R13" s="13" t="s">
        <v>32</v>
      </c>
      <c r="S13" s="13" t="s">
        <v>34</v>
      </c>
      <c r="T13" s="14" t="s">
        <v>33</v>
      </c>
      <c r="U13" s="15" t="s">
        <v>32</v>
      </c>
      <c r="V13" s="15" t="s">
        <v>34</v>
      </c>
      <c r="W13" s="16" t="s">
        <v>33</v>
      </c>
      <c r="X13" s="355"/>
      <c r="Y13" s="332"/>
      <c r="Z13" s="17" t="s">
        <v>32</v>
      </c>
      <c r="AA13" s="18" t="s">
        <v>34</v>
      </c>
      <c r="AB13" s="19" t="s">
        <v>33</v>
      </c>
      <c r="AC13" s="20" t="s">
        <v>32</v>
      </c>
      <c r="AD13" s="20" t="s">
        <v>34</v>
      </c>
      <c r="AE13" s="341"/>
      <c r="AF13" s="344"/>
      <c r="AG13" s="21" t="s">
        <v>34</v>
      </c>
      <c r="AH13" s="320"/>
      <c r="AI13" s="22" t="s">
        <v>32</v>
      </c>
      <c r="AJ13" s="22" t="s">
        <v>34</v>
      </c>
      <c r="AK13" s="22" t="s">
        <v>33</v>
      </c>
      <c r="AL13" s="324"/>
      <c r="AM13" s="23" t="s">
        <v>33</v>
      </c>
      <c r="AN13" s="22" t="s">
        <v>32</v>
      </c>
      <c r="AO13" s="22" t="s">
        <v>34</v>
      </c>
      <c r="AP13" s="24" t="s">
        <v>33</v>
      </c>
      <c r="AQ13" s="329"/>
      <c r="AR13" s="311"/>
      <c r="AS13" s="314"/>
      <c r="AT13" s="317"/>
      <c r="AU13" s="317"/>
      <c r="AV13" s="317"/>
      <c r="AW13" s="350"/>
      <c r="AX13" s="286"/>
      <c r="AY13" s="286"/>
      <c r="AZ13" s="289"/>
      <c r="BA13" s="291"/>
    </row>
    <row r="14" spans="1:53" ht="16" thickBot="1" x14ac:dyDescent="0.25">
      <c r="A14" s="25">
        <v>0</v>
      </c>
      <c r="B14" s="26">
        <v>45299</v>
      </c>
      <c r="C14" s="27" t="s">
        <v>226</v>
      </c>
      <c r="D14" s="25"/>
      <c r="E14" s="28"/>
      <c r="F14" s="27"/>
      <c r="G14" s="28"/>
      <c r="H14" s="27"/>
      <c r="I14" s="28"/>
      <c r="J14" s="27">
        <v>4</v>
      </c>
      <c r="K14" s="29" t="s">
        <v>35</v>
      </c>
      <c r="L14" s="30" t="s">
        <v>36</v>
      </c>
      <c r="M14" s="153" t="s">
        <v>160</v>
      </c>
      <c r="N14" s="27"/>
      <c r="P14" s="32"/>
      <c r="Q14" s="25"/>
      <c r="R14" s="27"/>
      <c r="S14" s="27"/>
      <c r="T14" s="28"/>
      <c r="U14" s="27"/>
      <c r="V14" s="27"/>
      <c r="W14" s="28"/>
      <c r="X14" s="33"/>
      <c r="Y14" s="32"/>
      <c r="Z14" s="25"/>
      <c r="AA14" s="27"/>
      <c r="AB14" s="28"/>
      <c r="AC14" s="27"/>
      <c r="AD14" s="27"/>
      <c r="AE14" s="33"/>
      <c r="AG14" s="25"/>
      <c r="AH14" s="34"/>
      <c r="AI14" s="27"/>
      <c r="AJ14" s="27"/>
      <c r="AK14" s="27"/>
      <c r="AL14" s="25"/>
      <c r="AM14" s="35"/>
      <c r="AN14" s="27"/>
      <c r="AO14" s="27"/>
      <c r="AP14" s="36"/>
      <c r="AQ14" s="37"/>
      <c r="AR14" s="32"/>
      <c r="AS14" s="25"/>
      <c r="AT14" s="27"/>
      <c r="AU14" s="27"/>
      <c r="AW14" s="25"/>
      <c r="AX14" s="27"/>
      <c r="AY14" s="27"/>
      <c r="AZ14" s="32"/>
      <c r="BA14" s="38"/>
    </row>
    <row r="15" spans="1:53" ht="16" thickBot="1" x14ac:dyDescent="0.25">
      <c r="A15" s="25">
        <v>1</v>
      </c>
      <c r="B15" s="26">
        <v>45300</v>
      </c>
      <c r="C15" s="27" t="s">
        <v>227</v>
      </c>
      <c r="D15" s="25"/>
      <c r="E15" s="28"/>
      <c r="F15" s="27"/>
      <c r="G15" s="28"/>
      <c r="H15" s="27"/>
      <c r="I15" s="28"/>
      <c r="J15" s="27">
        <v>4</v>
      </c>
      <c r="K15" s="29" t="s">
        <v>35</v>
      </c>
      <c r="L15" s="39"/>
      <c r="M15" s="31" t="s">
        <v>228</v>
      </c>
      <c r="N15" s="27"/>
      <c r="P15" s="32"/>
      <c r="Q15" s="40"/>
      <c r="R15" s="27"/>
      <c r="S15" s="27"/>
      <c r="T15" s="28"/>
      <c r="U15" s="27"/>
      <c r="V15" s="27"/>
      <c r="W15" s="28"/>
      <c r="X15" s="33"/>
      <c r="Y15" s="32"/>
      <c r="Z15" s="25"/>
      <c r="AA15" s="27"/>
      <c r="AB15" s="28"/>
      <c r="AC15" s="27"/>
      <c r="AD15" s="27"/>
      <c r="AE15" s="33"/>
      <c r="AG15" s="25"/>
      <c r="AH15" s="34"/>
      <c r="AI15" s="27"/>
      <c r="AJ15" s="27"/>
      <c r="AK15" s="27"/>
      <c r="AL15" s="25"/>
      <c r="AM15" s="34"/>
      <c r="AN15" s="27"/>
      <c r="AO15" s="27"/>
      <c r="AP15" s="36"/>
      <c r="AQ15" s="37"/>
      <c r="AR15" s="32"/>
      <c r="AS15" s="25"/>
      <c r="AT15" s="27"/>
      <c r="AU15" s="27"/>
      <c r="AW15" s="25"/>
      <c r="AX15" s="27"/>
      <c r="AY15" s="27"/>
      <c r="AZ15" s="32"/>
      <c r="BA15" s="41"/>
    </row>
    <row r="16" spans="1:53" ht="16" thickBot="1" x14ac:dyDescent="0.25">
      <c r="A16" s="25">
        <v>2</v>
      </c>
      <c r="B16" s="26">
        <v>45301</v>
      </c>
      <c r="C16" s="27" t="s">
        <v>227</v>
      </c>
      <c r="D16" s="25"/>
      <c r="E16" s="28"/>
      <c r="F16" s="27"/>
      <c r="G16" s="28"/>
      <c r="H16" s="27"/>
      <c r="I16" s="28"/>
      <c r="J16" s="27">
        <v>4</v>
      </c>
      <c r="K16" s="29" t="s">
        <v>35</v>
      </c>
      <c r="L16" s="39"/>
      <c r="M16" s="31" t="s">
        <v>229</v>
      </c>
      <c r="N16" s="27"/>
      <c r="O16" s="42"/>
      <c r="Q16" s="43" t="s">
        <v>37</v>
      </c>
      <c r="R16" s="27"/>
      <c r="S16" s="27"/>
      <c r="T16" s="28"/>
      <c r="U16" s="27"/>
      <c r="V16" s="27"/>
      <c r="W16" s="28"/>
      <c r="X16" s="33"/>
      <c r="Y16" s="32"/>
      <c r="Z16" s="25"/>
      <c r="AA16" s="27"/>
      <c r="AB16" s="28"/>
      <c r="AC16" s="27"/>
      <c r="AD16" s="27"/>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3</v>
      </c>
      <c r="B17" s="26">
        <v>45302</v>
      </c>
      <c r="C17" s="27" t="s">
        <v>232</v>
      </c>
      <c r="D17" s="25"/>
      <c r="E17" s="28"/>
      <c r="F17" s="27"/>
      <c r="G17" s="28"/>
      <c r="H17" s="27"/>
      <c r="I17" s="28"/>
      <c r="J17" s="27" t="s">
        <v>208</v>
      </c>
      <c r="K17" s="29" t="s">
        <v>35</v>
      </c>
      <c r="L17" s="44" t="s">
        <v>38</v>
      </c>
      <c r="M17" s="153" t="s">
        <v>161</v>
      </c>
      <c r="N17" s="27" t="s">
        <v>40</v>
      </c>
      <c r="O17" s="45" t="s">
        <v>41</v>
      </c>
      <c r="P17" s="46"/>
      <c r="Q17" s="25"/>
      <c r="R17" s="27"/>
      <c r="S17" s="27"/>
      <c r="T17" s="28"/>
      <c r="U17" s="27" t="s">
        <v>158</v>
      </c>
      <c r="V17" s="27"/>
      <c r="W17" s="28" t="s">
        <v>158</v>
      </c>
      <c r="X17" s="47" t="s">
        <v>43</v>
      </c>
      <c r="Y17" s="32"/>
      <c r="Z17" s="25"/>
      <c r="AA17" s="27"/>
      <c r="AB17" s="28"/>
      <c r="AC17" s="27" t="s">
        <v>230</v>
      </c>
      <c r="AD17" s="27" t="s">
        <v>231</v>
      </c>
      <c r="AE17" s="48" t="s">
        <v>45</v>
      </c>
      <c r="AG17" s="25"/>
      <c r="AH17" s="34"/>
      <c r="AI17" s="27"/>
      <c r="AJ17" s="27"/>
      <c r="AK17" s="27"/>
      <c r="AL17" s="25"/>
      <c r="AM17" s="34"/>
      <c r="AN17" s="27"/>
      <c r="AO17" s="27"/>
      <c r="AP17" s="36"/>
      <c r="AQ17" s="37"/>
      <c r="AR17" s="32"/>
      <c r="AS17" s="25"/>
      <c r="AT17" s="27"/>
      <c r="AU17" s="27"/>
      <c r="AW17" s="25"/>
      <c r="AX17" s="27"/>
      <c r="AY17" s="27"/>
      <c r="AZ17" s="32"/>
      <c r="BA17" s="41"/>
    </row>
    <row r="18" spans="1:53" x14ac:dyDescent="0.2">
      <c r="A18" s="25">
        <v>4</v>
      </c>
      <c r="B18" s="26">
        <v>45303</v>
      </c>
      <c r="C18" s="27" t="s">
        <v>112</v>
      </c>
      <c r="D18" s="25"/>
      <c r="E18" s="28"/>
      <c r="F18" s="27"/>
      <c r="G18" s="28"/>
      <c r="H18" s="27"/>
      <c r="I18" s="28"/>
      <c r="J18" s="27" t="s">
        <v>208</v>
      </c>
      <c r="K18" s="29" t="s">
        <v>35</v>
      </c>
      <c r="L18" s="39"/>
      <c r="M18" s="31"/>
      <c r="N18" s="27" t="s">
        <v>40</v>
      </c>
      <c r="P18" s="32"/>
      <c r="Q18" s="25"/>
      <c r="R18" s="27"/>
      <c r="S18" s="27"/>
      <c r="T18" s="28"/>
      <c r="U18" s="27" t="s">
        <v>158</v>
      </c>
      <c r="V18" s="27"/>
      <c r="W18" s="28" t="s">
        <v>158</v>
      </c>
      <c r="X18" s="345" t="s">
        <v>47</v>
      </c>
      <c r="Y18" s="32"/>
      <c r="Z18" s="25"/>
      <c r="AA18" s="27"/>
      <c r="AB18" s="28"/>
      <c r="AC18" s="27" t="s">
        <v>230</v>
      </c>
      <c r="AD18" s="27" t="s">
        <v>231</v>
      </c>
      <c r="AE18" s="33"/>
      <c r="AG18" s="25"/>
      <c r="AH18" s="34"/>
      <c r="AI18" s="27"/>
      <c r="AJ18" s="27"/>
      <c r="AK18" s="27"/>
      <c r="AL18" s="25"/>
      <c r="AM18" s="34"/>
      <c r="AN18" s="27"/>
      <c r="AO18" s="27"/>
      <c r="AP18" s="36"/>
      <c r="AQ18" s="37"/>
      <c r="AR18" s="32"/>
      <c r="AS18" s="25"/>
      <c r="AT18" s="27"/>
      <c r="AU18" s="27"/>
      <c r="AW18" s="25"/>
      <c r="AX18" s="27"/>
      <c r="AY18" s="27"/>
      <c r="AZ18" s="32"/>
      <c r="BA18" s="41"/>
    </row>
    <row r="19" spans="1:53" x14ac:dyDescent="0.2">
      <c r="A19" s="25">
        <v>5</v>
      </c>
      <c r="B19" s="26">
        <v>45304</v>
      </c>
      <c r="C19" s="27"/>
      <c r="D19" s="25"/>
      <c r="E19" s="28"/>
      <c r="F19" s="27"/>
      <c r="G19" s="28"/>
      <c r="H19" s="27"/>
      <c r="I19" s="28"/>
      <c r="J19" s="27" t="s">
        <v>208</v>
      </c>
      <c r="K19" s="29" t="s">
        <v>35</v>
      </c>
      <c r="L19" s="39"/>
      <c r="M19" s="31"/>
      <c r="N19" s="27" t="s">
        <v>40</v>
      </c>
      <c r="P19" s="32"/>
      <c r="Q19" s="25"/>
      <c r="R19" s="27"/>
      <c r="S19" s="27"/>
      <c r="T19" s="28"/>
      <c r="U19" s="27" t="s">
        <v>158</v>
      </c>
      <c r="V19" s="27"/>
      <c r="W19" s="28" t="s">
        <v>158</v>
      </c>
      <c r="X19" s="346"/>
      <c r="Y19" s="32"/>
      <c r="Z19" s="25"/>
      <c r="AA19" s="27"/>
      <c r="AB19" s="28"/>
      <c r="AC19" s="27" t="s">
        <v>158</v>
      </c>
      <c r="AD19" s="27"/>
      <c r="AE19" s="33"/>
      <c r="AG19" s="25"/>
      <c r="AH19" s="34"/>
      <c r="AI19" s="27"/>
      <c r="AJ19" s="27"/>
      <c r="AK19" s="27"/>
      <c r="AL19" s="25"/>
      <c r="AM19" s="34"/>
      <c r="AN19" s="27"/>
      <c r="AO19" s="27"/>
      <c r="AP19" s="36"/>
      <c r="AQ19" s="37"/>
      <c r="AR19" s="32"/>
      <c r="AS19" s="25"/>
      <c r="AT19" s="27"/>
      <c r="AU19" s="27"/>
      <c r="AW19" s="25"/>
      <c r="AX19" s="27"/>
      <c r="AY19" s="27"/>
      <c r="AZ19" s="32"/>
      <c r="BA19" s="41"/>
    </row>
    <row r="20" spans="1:53" x14ac:dyDescent="0.2">
      <c r="A20" s="25">
        <v>6</v>
      </c>
      <c r="B20" s="26">
        <v>45305</v>
      </c>
      <c r="C20" s="27" t="s">
        <v>232</v>
      </c>
      <c r="D20" s="25"/>
      <c r="E20" s="28"/>
      <c r="F20" s="27"/>
      <c r="G20" s="28"/>
      <c r="H20" s="27"/>
      <c r="I20" s="28"/>
      <c r="J20" s="27" t="s">
        <v>208</v>
      </c>
      <c r="K20" s="29" t="s">
        <v>35</v>
      </c>
      <c r="L20" s="39"/>
      <c r="M20" s="31"/>
      <c r="N20" s="27" t="s">
        <v>40</v>
      </c>
      <c r="P20" s="32"/>
      <c r="Q20" s="25"/>
      <c r="R20" s="27"/>
      <c r="S20" s="27"/>
      <c r="T20" s="28"/>
      <c r="U20" s="27" t="s">
        <v>158</v>
      </c>
      <c r="V20" s="27"/>
      <c r="W20" s="28" t="s">
        <v>158</v>
      </c>
      <c r="X20" s="346"/>
      <c r="Y20" s="32"/>
      <c r="Z20" s="25"/>
      <c r="AA20" s="27"/>
      <c r="AB20" s="28"/>
      <c r="AC20" s="27" t="s">
        <v>230</v>
      </c>
      <c r="AD20" s="27" t="s">
        <v>231</v>
      </c>
      <c r="AE20" s="33"/>
      <c r="AG20" s="25"/>
      <c r="AH20" s="34"/>
      <c r="AI20" s="27"/>
      <c r="AJ20" s="27"/>
      <c r="AK20" s="27"/>
      <c r="AL20" s="25"/>
      <c r="AM20" s="34"/>
      <c r="AN20" s="27"/>
      <c r="AO20" s="27"/>
      <c r="AP20" s="36"/>
      <c r="AQ20" s="37"/>
      <c r="AR20" s="32"/>
      <c r="AS20" s="25"/>
      <c r="AT20" s="27"/>
      <c r="AU20" s="27"/>
      <c r="AW20" s="25"/>
      <c r="AX20" s="27"/>
      <c r="AY20" s="27"/>
      <c r="AZ20" s="32"/>
      <c r="BA20" s="41"/>
    </row>
    <row r="21" spans="1:53" x14ac:dyDescent="0.2">
      <c r="A21" s="25">
        <v>7</v>
      </c>
      <c r="B21" s="26">
        <v>45306</v>
      </c>
      <c r="C21" s="27" t="s">
        <v>232</v>
      </c>
      <c r="D21" s="25"/>
      <c r="E21" s="28"/>
      <c r="F21" s="27"/>
      <c r="G21" s="28"/>
      <c r="H21" s="27"/>
      <c r="I21" s="28"/>
      <c r="J21" s="27" t="s">
        <v>208</v>
      </c>
      <c r="K21" s="29" t="s">
        <v>35</v>
      </c>
      <c r="L21" s="39"/>
      <c r="M21" s="31"/>
      <c r="N21" s="27" t="s">
        <v>40</v>
      </c>
      <c r="P21" s="32"/>
      <c r="Q21" s="25"/>
      <c r="R21" s="27"/>
      <c r="S21" s="27"/>
      <c r="T21" s="28"/>
      <c r="U21" s="27" t="s">
        <v>158</v>
      </c>
      <c r="V21" s="27"/>
      <c r="W21" s="28" t="s">
        <v>158</v>
      </c>
      <c r="X21" s="346"/>
      <c r="Y21" s="32"/>
      <c r="Z21" s="25"/>
      <c r="AA21" s="27"/>
      <c r="AB21" s="28"/>
      <c r="AC21" s="27" t="s">
        <v>230</v>
      </c>
      <c r="AD21" s="27" t="s">
        <v>231</v>
      </c>
      <c r="AE21" s="33"/>
      <c r="AG21" s="25"/>
      <c r="AH21" s="34"/>
      <c r="AI21" s="27"/>
      <c r="AJ21" s="27"/>
      <c r="AK21" s="27"/>
      <c r="AL21" s="25"/>
      <c r="AM21" s="34"/>
      <c r="AN21" s="27"/>
      <c r="AO21" s="27"/>
      <c r="AP21" s="36"/>
      <c r="AQ21" s="37"/>
      <c r="AR21" s="32"/>
      <c r="AS21" s="25"/>
      <c r="AT21" s="27"/>
      <c r="AU21" s="27"/>
      <c r="AW21" s="25"/>
      <c r="AX21" s="27"/>
      <c r="AY21" s="27"/>
      <c r="AZ21" s="32"/>
      <c r="BA21" s="41"/>
    </row>
    <row r="22" spans="1:53" x14ac:dyDescent="0.2">
      <c r="A22" s="25">
        <v>8</v>
      </c>
      <c r="B22" s="26">
        <v>45307</v>
      </c>
      <c r="C22" s="27" t="s">
        <v>227</v>
      </c>
      <c r="D22" s="25"/>
      <c r="E22" s="28"/>
      <c r="F22" s="27"/>
      <c r="G22" s="28"/>
      <c r="H22" s="27"/>
      <c r="I22" s="28"/>
      <c r="J22" s="27" t="s">
        <v>208</v>
      </c>
      <c r="K22" s="29" t="s">
        <v>35</v>
      </c>
      <c r="L22" s="39"/>
      <c r="M22" s="31"/>
      <c r="N22" s="27" t="s">
        <v>40</v>
      </c>
      <c r="P22" s="32"/>
      <c r="Q22" s="25"/>
      <c r="R22" s="27"/>
      <c r="S22" s="27"/>
      <c r="T22" s="28"/>
      <c r="U22" s="27" t="s">
        <v>158</v>
      </c>
      <c r="V22" s="27"/>
      <c r="W22" s="28" t="s">
        <v>158</v>
      </c>
      <c r="X22" s="346"/>
      <c r="Y22" s="32"/>
      <c r="Z22" s="25"/>
      <c r="AA22" s="27"/>
      <c r="AB22" s="28"/>
      <c r="AC22" s="27" t="s">
        <v>231</v>
      </c>
      <c r="AD22" s="27" t="s">
        <v>230</v>
      </c>
      <c r="AE22" s="33"/>
      <c r="AG22" s="25"/>
      <c r="AH22" s="34"/>
      <c r="AI22" s="27"/>
      <c r="AJ22" s="27"/>
      <c r="AK22" s="27"/>
      <c r="AL22" s="25"/>
      <c r="AM22" s="34"/>
      <c r="AN22" s="27"/>
      <c r="AO22" s="27"/>
      <c r="AP22" s="36"/>
      <c r="AQ22" s="37"/>
      <c r="AR22" s="32"/>
      <c r="AS22" s="25"/>
      <c r="AT22" s="27"/>
      <c r="AU22" s="27"/>
      <c r="AW22" s="25"/>
      <c r="AX22" s="27"/>
      <c r="AY22" s="27"/>
      <c r="AZ22" s="32"/>
      <c r="BA22" s="41"/>
    </row>
    <row r="23" spans="1:53" ht="16" thickBot="1" x14ac:dyDescent="0.25">
      <c r="A23" s="25">
        <v>9</v>
      </c>
      <c r="B23" s="26">
        <v>45308</v>
      </c>
      <c r="C23" s="27" t="s">
        <v>232</v>
      </c>
      <c r="D23" s="25"/>
      <c r="E23" s="28"/>
      <c r="F23" s="27"/>
      <c r="G23" s="28"/>
      <c r="H23" s="27"/>
      <c r="I23" s="28"/>
      <c r="J23" s="27" t="s">
        <v>208</v>
      </c>
      <c r="K23" s="29" t="s">
        <v>35</v>
      </c>
      <c r="L23" s="39"/>
      <c r="M23" s="31"/>
      <c r="N23" s="27" t="s">
        <v>40</v>
      </c>
      <c r="P23" s="32"/>
      <c r="Q23" s="25"/>
      <c r="R23" s="27"/>
      <c r="S23" s="27"/>
      <c r="T23" s="28"/>
      <c r="U23" s="27" t="s">
        <v>158</v>
      </c>
      <c r="V23" s="27"/>
      <c r="W23" s="28" t="s">
        <v>158</v>
      </c>
      <c r="X23" s="346"/>
      <c r="Y23" s="32"/>
      <c r="Z23" s="25"/>
      <c r="AA23" s="27"/>
      <c r="AB23" s="28"/>
      <c r="AC23" s="27" t="s">
        <v>230</v>
      </c>
      <c r="AD23" s="27" t="s">
        <v>231</v>
      </c>
      <c r="AE23" s="33"/>
      <c r="AG23" s="25"/>
      <c r="AH23" s="34"/>
      <c r="AI23" s="27"/>
      <c r="AJ23" s="27"/>
      <c r="AK23" s="27"/>
      <c r="AL23" s="25"/>
      <c r="AM23" s="34"/>
      <c r="AN23" s="27"/>
      <c r="AO23" s="27"/>
      <c r="AP23" s="36"/>
      <c r="AQ23" s="37"/>
      <c r="AR23" s="32"/>
      <c r="AS23" s="25"/>
      <c r="AT23" s="27"/>
      <c r="AU23" s="27"/>
      <c r="AW23" s="25"/>
      <c r="AX23" s="27"/>
      <c r="AY23" s="27"/>
      <c r="AZ23" s="32"/>
      <c r="BA23" s="41"/>
    </row>
    <row r="24" spans="1:53" ht="16" thickBot="1" x14ac:dyDescent="0.25">
      <c r="A24" s="25">
        <v>10</v>
      </c>
      <c r="B24" s="26">
        <v>45309</v>
      </c>
      <c r="C24" s="27" t="s">
        <v>232</v>
      </c>
      <c r="D24" s="25"/>
      <c r="E24" s="28"/>
      <c r="F24" s="27"/>
      <c r="G24" s="28"/>
      <c r="H24" s="27"/>
      <c r="I24" s="28"/>
      <c r="J24" s="27" t="s">
        <v>208</v>
      </c>
      <c r="K24" s="29" t="s">
        <v>35</v>
      </c>
      <c r="L24" s="39" t="s">
        <v>235</v>
      </c>
      <c r="M24" s="153" t="s">
        <v>162</v>
      </c>
      <c r="N24" s="27" t="s">
        <v>40</v>
      </c>
      <c r="O24" s="49"/>
      <c r="P24" s="32"/>
      <c r="Q24" s="25"/>
      <c r="R24" s="27"/>
      <c r="S24" s="27"/>
      <c r="T24" s="28"/>
      <c r="U24" s="27" t="s">
        <v>158</v>
      </c>
      <c r="V24" s="27"/>
      <c r="W24" s="28" t="s">
        <v>158</v>
      </c>
      <c r="X24" s="346"/>
      <c r="Y24" s="32"/>
      <c r="Z24" s="25"/>
      <c r="AA24" s="27"/>
      <c r="AB24" s="28"/>
      <c r="AC24" s="27" t="s">
        <v>158</v>
      </c>
      <c r="AD24" s="27" t="s">
        <v>158</v>
      </c>
      <c r="AE24" s="50"/>
      <c r="AF24" s="51"/>
      <c r="AG24" s="25"/>
      <c r="AH24" s="34"/>
      <c r="AI24" s="27"/>
      <c r="AJ24" s="27"/>
      <c r="AK24" s="27"/>
      <c r="AL24" s="25"/>
      <c r="AM24" s="34"/>
      <c r="AN24" s="27"/>
      <c r="AO24" s="27"/>
      <c r="AP24" s="36"/>
      <c r="AQ24" s="37"/>
      <c r="AR24" s="32"/>
      <c r="AS24" s="25"/>
      <c r="AT24" s="27"/>
      <c r="AU24" s="27"/>
      <c r="AW24" s="25"/>
      <c r="AX24" s="27"/>
      <c r="AY24" s="27"/>
      <c r="AZ24" s="32"/>
      <c r="BA24" s="41"/>
    </row>
    <row r="25" spans="1:53" ht="16" thickBot="1" x14ac:dyDescent="0.25">
      <c r="A25" s="25">
        <v>11</v>
      </c>
      <c r="B25" s="26">
        <v>45310</v>
      </c>
      <c r="C25" s="27" t="s">
        <v>200</v>
      </c>
      <c r="D25" s="25"/>
      <c r="E25" s="28"/>
      <c r="F25" s="27"/>
      <c r="G25" s="28"/>
      <c r="H25" s="27"/>
      <c r="I25" s="28"/>
      <c r="J25" s="27" t="s">
        <v>208</v>
      </c>
      <c r="K25" s="29" t="s">
        <v>35</v>
      </c>
      <c r="L25" s="52"/>
      <c r="M25" s="31"/>
      <c r="N25" s="27" t="s">
        <v>40</v>
      </c>
      <c r="P25" s="32"/>
      <c r="Q25" s="25"/>
      <c r="R25" s="27"/>
      <c r="S25" s="27"/>
      <c r="T25" s="28"/>
      <c r="U25" s="27" t="s">
        <v>158</v>
      </c>
      <c r="V25" s="27"/>
      <c r="W25" s="28" t="s">
        <v>158</v>
      </c>
      <c r="X25" s="347"/>
      <c r="Y25" s="32"/>
      <c r="Z25" s="25"/>
      <c r="AA25" s="27"/>
      <c r="AB25" s="28"/>
      <c r="AC25" s="27" t="s">
        <v>158</v>
      </c>
      <c r="AD25" s="27" t="s">
        <v>158</v>
      </c>
      <c r="AE25" s="33"/>
      <c r="AF25" s="46"/>
      <c r="AG25" s="25"/>
      <c r="AH25" s="34"/>
      <c r="AI25" s="27"/>
      <c r="AJ25" s="27"/>
      <c r="AK25" s="27"/>
      <c r="AL25" s="25"/>
      <c r="AM25" s="34"/>
      <c r="AN25" s="27"/>
      <c r="AO25" s="27"/>
      <c r="AP25" s="36"/>
      <c r="AQ25" s="37"/>
      <c r="AR25" s="32"/>
      <c r="AS25" s="25"/>
      <c r="AT25" s="27"/>
      <c r="AU25" s="27"/>
      <c r="AW25" s="25"/>
      <c r="AX25" s="27"/>
      <c r="AY25" s="27"/>
      <c r="AZ25" s="32"/>
      <c r="BA25" s="41"/>
    </row>
    <row r="26" spans="1:53" ht="16" thickBot="1" x14ac:dyDescent="0.25">
      <c r="A26" s="25">
        <v>12</v>
      </c>
      <c r="B26" s="26">
        <v>45311</v>
      </c>
      <c r="C26" s="27"/>
      <c r="D26" s="25"/>
      <c r="E26" s="28"/>
      <c r="F26" s="27"/>
      <c r="G26" s="28"/>
      <c r="H26" s="27"/>
      <c r="I26" s="28"/>
      <c r="J26" s="27" t="s">
        <v>208</v>
      </c>
      <c r="K26" s="29" t="s">
        <v>35</v>
      </c>
      <c r="L26" s="53"/>
      <c r="M26" s="153" t="s">
        <v>164</v>
      </c>
      <c r="N26" s="27" t="s">
        <v>40</v>
      </c>
      <c r="P26" s="32"/>
      <c r="Q26" s="25"/>
      <c r="R26" s="27"/>
      <c r="S26" s="27"/>
      <c r="T26" s="28"/>
      <c r="U26" s="27">
        <v>1</v>
      </c>
      <c r="V26" s="27"/>
      <c r="W26" s="28">
        <v>1</v>
      </c>
      <c r="X26" s="54" t="s">
        <v>49</v>
      </c>
      <c r="Y26" s="32"/>
      <c r="Z26" s="25"/>
      <c r="AA26" s="27"/>
      <c r="AB26" s="28"/>
      <c r="AC26" s="27" t="s">
        <v>165</v>
      </c>
      <c r="AD26" s="27"/>
      <c r="AE26" s="33"/>
      <c r="AG26" s="25"/>
      <c r="AH26" s="34"/>
      <c r="AI26" s="27"/>
      <c r="AJ26" s="27"/>
      <c r="AK26" s="27"/>
      <c r="AL26" s="25"/>
      <c r="AM26" s="34"/>
      <c r="AN26" s="27"/>
      <c r="AO26" s="27"/>
      <c r="AP26" s="36"/>
      <c r="AQ26" s="37"/>
      <c r="AR26" s="32"/>
      <c r="AS26" s="25"/>
      <c r="AT26" s="27"/>
      <c r="AU26" s="27"/>
      <c r="AW26" s="25"/>
      <c r="AX26" s="27"/>
      <c r="AY26" s="27"/>
      <c r="AZ26" s="32"/>
      <c r="BA26" s="41"/>
    </row>
    <row r="27" spans="1:53" ht="16" thickBot="1" x14ac:dyDescent="0.25">
      <c r="A27" s="25">
        <v>13</v>
      </c>
      <c r="B27" s="26">
        <v>45312</v>
      </c>
      <c r="C27" s="27" t="s">
        <v>232</v>
      </c>
      <c r="D27" s="25"/>
      <c r="E27" s="28"/>
      <c r="F27" s="27"/>
      <c r="G27" s="28"/>
      <c r="H27" s="27"/>
      <c r="I27" s="28"/>
      <c r="J27" s="27" t="s">
        <v>208</v>
      </c>
      <c r="K27" s="29" t="s">
        <v>35</v>
      </c>
      <c r="L27" s="39"/>
      <c r="M27" s="31"/>
      <c r="N27" s="27" t="s">
        <v>40</v>
      </c>
      <c r="P27" s="32"/>
      <c r="Q27" s="25"/>
      <c r="R27" s="27"/>
      <c r="S27" s="27"/>
      <c r="T27" s="28"/>
      <c r="U27" s="27">
        <v>1</v>
      </c>
      <c r="V27" s="27"/>
      <c r="W27" s="28">
        <v>1</v>
      </c>
      <c r="X27" s="33"/>
      <c r="Y27" s="32"/>
      <c r="Z27" s="55"/>
      <c r="AA27" s="56"/>
      <c r="AB27" s="57"/>
      <c r="AC27" s="27">
        <v>10</v>
      </c>
      <c r="AD27" s="27">
        <v>5</v>
      </c>
      <c r="AE27" s="33"/>
      <c r="AG27" s="25"/>
      <c r="AH27" s="34"/>
      <c r="AI27" s="27"/>
      <c r="AJ27" s="27"/>
      <c r="AK27" s="27"/>
      <c r="AL27" s="25"/>
      <c r="AM27" s="34"/>
      <c r="AN27" s="27"/>
      <c r="AO27" s="27"/>
      <c r="AP27" s="36"/>
      <c r="AQ27" s="37"/>
      <c r="AR27" s="32"/>
      <c r="AS27" s="25"/>
      <c r="AT27" s="27"/>
      <c r="AU27" s="58"/>
      <c r="AW27" s="25"/>
      <c r="AX27" s="27"/>
      <c r="AY27" s="27"/>
      <c r="AZ27" s="32"/>
      <c r="BA27" s="41"/>
    </row>
    <row r="28" spans="1:53" ht="16" thickBot="1" x14ac:dyDescent="0.25">
      <c r="A28" s="25">
        <v>14</v>
      </c>
      <c r="B28" s="26">
        <v>45313</v>
      </c>
      <c r="C28" s="27" t="s">
        <v>232</v>
      </c>
      <c r="D28" s="25"/>
      <c r="E28" s="28"/>
      <c r="F28" s="27"/>
      <c r="G28" s="28"/>
      <c r="H28" s="27"/>
      <c r="I28" s="28"/>
      <c r="J28" s="27" t="s">
        <v>208</v>
      </c>
      <c r="K28" s="29" t="s">
        <v>35</v>
      </c>
      <c r="L28" s="39"/>
      <c r="M28" s="31"/>
      <c r="N28" s="27" t="s">
        <v>40</v>
      </c>
      <c r="P28" s="32"/>
      <c r="Q28" s="25"/>
      <c r="R28" s="27"/>
      <c r="S28" s="27"/>
      <c r="T28" s="28"/>
      <c r="U28" s="27">
        <v>1</v>
      </c>
      <c r="V28" s="27"/>
      <c r="W28" s="28">
        <v>1</v>
      </c>
      <c r="X28" s="33"/>
      <c r="Y28" s="32"/>
      <c r="Z28" s="59"/>
      <c r="AA28" s="60"/>
      <c r="AB28" s="61"/>
      <c r="AC28" s="27">
        <v>10</v>
      </c>
      <c r="AD28" s="27">
        <v>5</v>
      </c>
      <c r="AE28" s="33"/>
      <c r="AG28" s="25"/>
      <c r="AH28" s="34"/>
      <c r="AI28" s="27"/>
      <c r="AJ28" s="27"/>
      <c r="AK28" s="27"/>
      <c r="AL28" s="25"/>
      <c r="AM28" s="34"/>
      <c r="AN28" s="27"/>
      <c r="AO28" s="27"/>
      <c r="AP28" s="36"/>
      <c r="AQ28" s="37"/>
      <c r="AR28" s="32"/>
      <c r="AS28" s="25"/>
      <c r="AT28" s="27"/>
      <c r="AW28" s="25"/>
      <c r="AX28" s="27"/>
      <c r="AY28" s="27"/>
      <c r="AZ28" s="32"/>
      <c r="BA28" s="62"/>
    </row>
    <row r="29" spans="1:53" ht="16" thickBot="1" x14ac:dyDescent="0.25">
      <c r="A29" s="25">
        <v>15</v>
      </c>
      <c r="B29" s="26">
        <v>45314</v>
      </c>
      <c r="C29" s="27" t="s">
        <v>232</v>
      </c>
      <c r="D29" s="25"/>
      <c r="E29" s="28"/>
      <c r="F29" s="27"/>
      <c r="G29" s="28"/>
      <c r="H29" s="27"/>
      <c r="I29" s="28"/>
      <c r="J29" s="27" t="s">
        <v>208</v>
      </c>
      <c r="K29" s="29" t="s">
        <v>35</v>
      </c>
      <c r="L29" s="39"/>
      <c r="M29" s="31"/>
      <c r="N29" s="27" t="s">
        <v>40</v>
      </c>
      <c r="P29" s="32"/>
      <c r="Q29" s="25"/>
      <c r="R29" s="27"/>
      <c r="S29" s="27"/>
      <c r="T29" s="28"/>
      <c r="U29" s="27">
        <v>1</v>
      </c>
      <c r="V29" s="27"/>
      <c r="W29" s="28">
        <v>1</v>
      </c>
      <c r="X29" s="33"/>
      <c r="Y29" s="32"/>
      <c r="Z29" s="25"/>
      <c r="AA29" s="27"/>
      <c r="AB29" s="28"/>
      <c r="AC29" s="27">
        <v>10</v>
      </c>
      <c r="AD29" s="27">
        <v>5</v>
      </c>
      <c r="AE29" s="33"/>
      <c r="AG29" s="25"/>
      <c r="AH29" s="34"/>
      <c r="AI29" s="27"/>
      <c r="AJ29" s="27"/>
      <c r="AK29" s="27"/>
      <c r="AL29" s="25"/>
      <c r="AM29" s="34"/>
      <c r="AN29" s="27"/>
      <c r="AO29" s="27"/>
      <c r="AP29" s="36"/>
      <c r="AQ29" s="37"/>
      <c r="AR29" s="46"/>
      <c r="AS29" s="25"/>
      <c r="AT29" s="27"/>
      <c r="AU29" s="58"/>
      <c r="AW29" s="25"/>
      <c r="AX29" s="27"/>
      <c r="AY29" s="27"/>
      <c r="AZ29" s="32"/>
      <c r="BA29" s="41"/>
    </row>
    <row r="30" spans="1:53" ht="16" thickBot="1" x14ac:dyDescent="0.25">
      <c r="A30" s="25">
        <v>16</v>
      </c>
      <c r="B30" s="26">
        <v>45315</v>
      </c>
      <c r="C30" s="27" t="s">
        <v>232</v>
      </c>
      <c r="D30" s="25"/>
      <c r="E30" s="28"/>
      <c r="F30" s="27"/>
      <c r="G30" s="28"/>
      <c r="H30" s="27"/>
      <c r="I30" s="28"/>
      <c r="J30" s="27" t="s">
        <v>208</v>
      </c>
      <c r="K30" s="29" t="s">
        <v>35</v>
      </c>
      <c r="L30" s="44" t="s">
        <v>59</v>
      </c>
      <c r="M30" s="153" t="s">
        <v>166</v>
      </c>
      <c r="N30" s="27" t="s">
        <v>40</v>
      </c>
      <c r="P30" s="32"/>
      <c r="Q30" s="25"/>
      <c r="R30" s="27"/>
      <c r="S30" s="27"/>
      <c r="T30" s="28"/>
      <c r="U30" s="27">
        <v>1</v>
      </c>
      <c r="V30" s="27"/>
      <c r="W30" s="28">
        <v>1</v>
      </c>
      <c r="X30" s="63" t="s">
        <v>60</v>
      </c>
      <c r="Y30" s="46" t="s">
        <v>61</v>
      </c>
      <c r="AB30" s="28"/>
      <c r="AC30" s="27">
        <v>10</v>
      </c>
      <c r="AD30" s="27">
        <v>5</v>
      </c>
      <c r="AE30" s="33"/>
      <c r="AG30" s="25"/>
      <c r="AH30" s="34"/>
      <c r="AI30" s="27"/>
      <c r="AJ30" s="27"/>
      <c r="AK30" s="27"/>
      <c r="AL30" s="25"/>
      <c r="AM30" s="34"/>
      <c r="AN30" s="27"/>
      <c r="AO30" s="27"/>
      <c r="AP30" s="36"/>
      <c r="AQ30" s="64"/>
      <c r="AR30" s="65"/>
      <c r="AS30" s="25"/>
      <c r="AT30" s="27"/>
      <c r="AU30" s="27"/>
      <c r="AW30" s="25"/>
      <c r="AX30" s="27"/>
      <c r="AY30" s="27"/>
      <c r="AZ30" s="32"/>
      <c r="BA30" s="41"/>
    </row>
    <row r="31" spans="1:53" x14ac:dyDescent="0.2">
      <c r="A31" s="25">
        <v>17</v>
      </c>
      <c r="B31" s="26">
        <v>45316</v>
      </c>
      <c r="C31" s="27" t="s">
        <v>232</v>
      </c>
      <c r="D31" s="25"/>
      <c r="E31" s="28"/>
      <c r="F31" s="27"/>
      <c r="G31" s="28"/>
      <c r="H31" s="27"/>
      <c r="I31" s="28"/>
      <c r="J31" s="27" t="s">
        <v>208</v>
      </c>
      <c r="K31" s="29" t="s">
        <v>35</v>
      </c>
      <c r="L31" s="39"/>
      <c r="M31" s="31"/>
      <c r="N31" s="27" t="s">
        <v>40</v>
      </c>
      <c r="P31" s="32"/>
      <c r="Q31" s="25"/>
      <c r="R31" s="27"/>
      <c r="S31" s="27"/>
      <c r="T31" s="28"/>
      <c r="U31" s="27">
        <v>1</v>
      </c>
      <c r="V31" s="27"/>
      <c r="W31" s="28">
        <v>1</v>
      </c>
      <c r="X31" s="33"/>
      <c r="Y31" s="32"/>
      <c r="Z31" s="25"/>
      <c r="AA31" s="27"/>
      <c r="AB31" s="28"/>
      <c r="AC31" s="27">
        <v>10</v>
      </c>
      <c r="AD31" s="27">
        <v>5</v>
      </c>
      <c r="AE31" s="33"/>
      <c r="AG31" s="25"/>
      <c r="AH31" s="34"/>
      <c r="AI31" s="27"/>
      <c r="AJ31" s="27"/>
      <c r="AK31" s="27"/>
      <c r="AL31" s="25"/>
      <c r="AM31" s="34"/>
      <c r="AN31" s="27"/>
      <c r="AO31" s="27"/>
      <c r="AP31" s="36"/>
      <c r="AQ31" s="37"/>
      <c r="AR31" s="32"/>
      <c r="AS31" s="25"/>
      <c r="AT31" s="27"/>
      <c r="AU31" s="27"/>
      <c r="AW31" s="25"/>
      <c r="AX31" s="27"/>
      <c r="AY31" s="27"/>
      <c r="AZ31" s="32"/>
      <c r="BA31" s="41"/>
    </row>
    <row r="32" spans="1:53" ht="16" thickBot="1" x14ac:dyDescent="0.25">
      <c r="A32" s="25">
        <v>18</v>
      </c>
      <c r="B32" s="26">
        <v>45317</v>
      </c>
      <c r="C32" s="27"/>
      <c r="D32" s="25"/>
      <c r="E32" s="28"/>
      <c r="F32" s="27"/>
      <c r="G32" s="28"/>
      <c r="H32" s="27"/>
      <c r="I32" s="28"/>
      <c r="J32" s="27" t="s">
        <v>208</v>
      </c>
      <c r="K32" s="29" t="s">
        <v>35</v>
      </c>
      <c r="L32" s="39"/>
      <c r="M32" s="31"/>
      <c r="N32" s="27" t="s">
        <v>40</v>
      </c>
      <c r="P32" s="66"/>
      <c r="Q32" s="25"/>
      <c r="R32" s="27"/>
      <c r="S32" s="27"/>
      <c r="T32" s="28"/>
      <c r="U32" s="27">
        <v>1</v>
      </c>
      <c r="V32" s="27"/>
      <c r="W32" s="28">
        <v>1</v>
      </c>
      <c r="X32" s="33"/>
      <c r="Y32" s="32"/>
      <c r="Z32" s="25"/>
      <c r="AA32" s="27"/>
      <c r="AB32" s="28"/>
      <c r="AC32" s="27" t="s">
        <v>165</v>
      </c>
      <c r="AD32" s="27"/>
      <c r="AE32" s="33"/>
      <c r="AG32" s="25"/>
      <c r="AH32" s="34"/>
      <c r="AI32" s="27"/>
      <c r="AJ32" s="27"/>
      <c r="AK32" s="27"/>
      <c r="AL32" s="25"/>
      <c r="AM32" s="34"/>
      <c r="AN32" s="27"/>
      <c r="AO32" s="27"/>
      <c r="AP32" s="36"/>
      <c r="AQ32" s="67"/>
      <c r="AR32" s="46"/>
      <c r="AS32" s="25"/>
      <c r="AT32" s="27"/>
      <c r="AW32" s="25"/>
      <c r="AX32" s="27"/>
      <c r="AY32" s="27"/>
      <c r="AZ32" s="32"/>
      <c r="BA32" s="41"/>
    </row>
    <row r="33" spans="1:54" ht="16" thickBot="1" x14ac:dyDescent="0.25">
      <c r="A33" s="25">
        <v>19</v>
      </c>
      <c r="B33" s="26">
        <v>45318</v>
      </c>
      <c r="C33" s="27" t="s">
        <v>232</v>
      </c>
      <c r="D33" s="25"/>
      <c r="E33" s="28"/>
      <c r="F33" s="27"/>
      <c r="G33" s="28"/>
      <c r="H33" s="27"/>
      <c r="I33" s="28"/>
      <c r="J33" s="27" t="s">
        <v>208</v>
      </c>
      <c r="K33" s="29" t="s">
        <v>35</v>
      </c>
      <c r="L33" s="39"/>
      <c r="M33" s="31"/>
      <c r="N33" s="27" t="s">
        <v>40</v>
      </c>
      <c r="P33" s="32"/>
      <c r="Q33" s="25"/>
      <c r="R33" s="27"/>
      <c r="S33" s="27"/>
      <c r="T33" s="28"/>
      <c r="U33" s="27">
        <v>1</v>
      </c>
      <c r="V33" s="27"/>
      <c r="W33" s="28">
        <v>1</v>
      </c>
      <c r="X33" s="33"/>
      <c r="Y33" s="32"/>
      <c r="Z33" s="25"/>
      <c r="AA33" s="27"/>
      <c r="AB33" s="28"/>
      <c r="AC33" s="27">
        <v>10</v>
      </c>
      <c r="AD33" s="27">
        <v>5</v>
      </c>
      <c r="AE33" s="33"/>
      <c r="AG33" s="25"/>
      <c r="AH33" s="34"/>
      <c r="AI33" s="27"/>
      <c r="AJ33" s="27"/>
      <c r="AK33" s="27"/>
      <c r="AL33" s="25"/>
      <c r="AM33" s="34"/>
      <c r="AN33" s="27"/>
      <c r="AO33" s="27"/>
      <c r="AP33" s="36"/>
      <c r="AQ33" s="68" t="s">
        <v>211</v>
      </c>
      <c r="AR33" s="32" t="s">
        <v>258</v>
      </c>
      <c r="AS33" s="25"/>
      <c r="AT33" s="27"/>
      <c r="AU33" s="27"/>
      <c r="AW33" s="25"/>
      <c r="AX33" s="27"/>
      <c r="AY33" s="27"/>
      <c r="AZ33" s="32"/>
      <c r="BA33" s="62"/>
    </row>
    <row r="34" spans="1:54" x14ac:dyDescent="0.2">
      <c r="A34" s="25">
        <v>20</v>
      </c>
      <c r="B34" s="26">
        <v>45319</v>
      </c>
      <c r="C34" s="27" t="s">
        <v>232</v>
      </c>
      <c r="D34" s="25"/>
      <c r="E34" s="28"/>
      <c r="F34" s="27"/>
      <c r="G34" s="28"/>
      <c r="H34" s="27"/>
      <c r="I34" s="28"/>
      <c r="J34" s="174" t="s">
        <v>210</v>
      </c>
      <c r="K34" s="29" t="s">
        <v>35</v>
      </c>
      <c r="L34" s="39"/>
      <c r="M34" s="153" t="s">
        <v>167</v>
      </c>
      <c r="N34" s="27" t="s">
        <v>40</v>
      </c>
      <c r="O34" s="306" t="s">
        <v>66</v>
      </c>
      <c r="P34" s="32"/>
      <c r="Q34" s="25"/>
      <c r="R34" s="27"/>
      <c r="S34" s="27"/>
      <c r="T34" s="28"/>
      <c r="U34" s="27"/>
      <c r="V34" s="27"/>
      <c r="W34" s="28"/>
      <c r="X34" s="33" t="s">
        <v>224</v>
      </c>
      <c r="Y34" s="32"/>
      <c r="Z34" s="25"/>
      <c r="AA34" s="27"/>
      <c r="AB34" s="28"/>
      <c r="AC34" s="27">
        <v>10</v>
      </c>
      <c r="AD34" s="27">
        <v>5</v>
      </c>
      <c r="AE34" s="33"/>
      <c r="AG34" s="25"/>
      <c r="AH34" s="34"/>
      <c r="AI34" s="27">
        <v>2.5000000000000001E-2</v>
      </c>
      <c r="AJ34" s="27">
        <v>2.5000000000000001E-2</v>
      </c>
      <c r="AK34" s="27">
        <v>2.5000000000000001E-2</v>
      </c>
      <c r="AL34" s="25"/>
      <c r="AM34" s="34"/>
      <c r="AN34" s="27"/>
      <c r="AO34" s="27"/>
      <c r="AP34" s="36"/>
      <c r="AQ34" s="37"/>
      <c r="AR34" s="32"/>
      <c r="AS34" s="25"/>
      <c r="AT34" s="27"/>
      <c r="AU34" s="27"/>
      <c r="AW34" s="25"/>
      <c r="AX34" s="27"/>
      <c r="AY34" s="27"/>
      <c r="AZ34" s="32"/>
      <c r="BA34" s="41"/>
    </row>
    <row r="35" spans="1:54" ht="16" thickBot="1" x14ac:dyDescent="0.25">
      <c r="A35" s="70">
        <v>21</v>
      </c>
      <c r="B35" s="26">
        <v>45320</v>
      </c>
      <c r="C35" s="71" t="s">
        <v>232</v>
      </c>
      <c r="D35" s="70"/>
      <c r="E35" s="72"/>
      <c r="F35" s="71"/>
      <c r="G35" s="72"/>
      <c r="H35" s="71"/>
      <c r="I35" s="72"/>
      <c r="J35" s="174" t="s">
        <v>210</v>
      </c>
      <c r="K35" s="29" t="s">
        <v>35</v>
      </c>
      <c r="L35" s="39" t="s">
        <v>265</v>
      </c>
      <c r="M35" s="73"/>
      <c r="N35" s="27" t="s">
        <v>40</v>
      </c>
      <c r="O35" s="307"/>
      <c r="P35" s="74"/>
      <c r="Q35" s="70"/>
      <c r="R35" s="71"/>
      <c r="S35" s="71"/>
      <c r="T35" s="72"/>
      <c r="U35" s="71"/>
      <c r="V35" s="71"/>
      <c r="W35" s="72"/>
      <c r="X35" s="33"/>
      <c r="Y35" s="75"/>
      <c r="Z35" s="70"/>
      <c r="AA35" s="71"/>
      <c r="AB35" s="72"/>
      <c r="AC35" s="27">
        <v>10</v>
      </c>
      <c r="AD35" s="71">
        <v>5</v>
      </c>
      <c r="AE35" s="33"/>
      <c r="AF35" s="76"/>
      <c r="AG35" s="70"/>
      <c r="AH35" s="77"/>
      <c r="AI35" s="27">
        <v>2.5000000000000001E-2</v>
      </c>
      <c r="AJ35" s="27">
        <v>2.5000000000000001E-2</v>
      </c>
      <c r="AK35" s="27">
        <v>2.5000000000000001E-2</v>
      </c>
      <c r="AL35" s="70"/>
      <c r="AM35" s="77"/>
      <c r="AN35" s="27"/>
      <c r="AO35" s="71"/>
      <c r="AP35" s="78"/>
      <c r="AQ35" s="37"/>
      <c r="AR35" s="75"/>
      <c r="AS35" s="70"/>
      <c r="AT35" s="27"/>
      <c r="AU35" s="71"/>
      <c r="AV35" s="76"/>
      <c r="AW35" s="70"/>
      <c r="AX35" s="71"/>
      <c r="AY35" s="71"/>
      <c r="AZ35" s="75"/>
      <c r="BA35" s="79"/>
    </row>
    <row r="36" spans="1:54" ht="16" thickBot="1" x14ac:dyDescent="0.25">
      <c r="A36" s="25">
        <v>22</v>
      </c>
      <c r="B36" s="26">
        <v>45321</v>
      </c>
      <c r="C36" s="27" t="s">
        <v>232</v>
      </c>
      <c r="D36" s="25"/>
      <c r="E36" s="28"/>
      <c r="F36" s="27"/>
      <c r="G36" s="28"/>
      <c r="H36" s="27"/>
      <c r="I36" s="28"/>
      <c r="J36" s="174" t="s">
        <v>210</v>
      </c>
      <c r="K36" s="29" t="s">
        <v>35</v>
      </c>
      <c r="L36" s="39"/>
      <c r="M36" s="69"/>
      <c r="N36" s="27" t="s">
        <v>40</v>
      </c>
      <c r="O36" s="307"/>
      <c r="P36" s="46" t="s">
        <v>67</v>
      </c>
      <c r="Q36" s="43"/>
      <c r="R36" s="27"/>
      <c r="S36" s="27"/>
      <c r="T36" s="28"/>
      <c r="U36" s="27"/>
      <c r="V36" s="27"/>
      <c r="W36" s="28"/>
      <c r="X36" s="33"/>
      <c r="Y36" s="32"/>
      <c r="Z36" s="60"/>
      <c r="AA36" s="60"/>
      <c r="AB36" s="61"/>
      <c r="AC36" s="27">
        <v>10</v>
      </c>
      <c r="AD36" s="27">
        <v>5</v>
      </c>
      <c r="AE36" s="33"/>
      <c r="AG36" s="25"/>
      <c r="AH36" s="34"/>
      <c r="AI36" s="27">
        <v>2.5000000000000001E-2</v>
      </c>
      <c r="AJ36" s="27">
        <v>2.5000000000000001E-2</v>
      </c>
      <c r="AK36" s="27">
        <v>2.5000000000000001E-2</v>
      </c>
      <c r="AL36" s="25"/>
      <c r="AM36" s="34"/>
      <c r="AN36" s="27"/>
      <c r="AO36" s="27"/>
      <c r="AP36" s="36"/>
      <c r="AQ36" s="37"/>
      <c r="AR36" s="32"/>
      <c r="AS36" s="25"/>
      <c r="AT36" s="27"/>
      <c r="AU36" s="27"/>
      <c r="AW36" s="25"/>
      <c r="AX36" s="27"/>
      <c r="AY36" s="27"/>
      <c r="AZ36" s="32"/>
      <c r="BA36" s="80" t="s">
        <v>68</v>
      </c>
    </row>
    <row r="37" spans="1:54" ht="16" thickBot="1" x14ac:dyDescent="0.25">
      <c r="A37" s="25">
        <v>23</v>
      </c>
      <c r="B37" s="26">
        <v>45322</v>
      </c>
      <c r="C37" s="27" t="s">
        <v>200</v>
      </c>
      <c r="D37" s="25"/>
      <c r="E37" s="28"/>
      <c r="F37" s="27"/>
      <c r="G37" s="28"/>
      <c r="H37" s="27"/>
      <c r="I37" s="28"/>
      <c r="J37" s="174" t="s">
        <v>210</v>
      </c>
      <c r="K37" s="29" t="s">
        <v>35</v>
      </c>
      <c r="L37" s="39"/>
      <c r="M37" s="153" t="s">
        <v>168</v>
      </c>
      <c r="N37" s="27" t="s">
        <v>40</v>
      </c>
      <c r="O37" s="307"/>
      <c r="P37" s="32" t="s">
        <v>69</v>
      </c>
      <c r="Q37" s="25"/>
      <c r="R37" s="27"/>
      <c r="S37" s="27"/>
      <c r="T37" s="28"/>
      <c r="U37" s="27"/>
      <c r="V37" s="27"/>
      <c r="W37" s="28"/>
      <c r="X37" s="33"/>
      <c r="Y37" s="32"/>
      <c r="Z37" s="25"/>
      <c r="AA37" s="27"/>
      <c r="AB37" s="28"/>
      <c r="AC37" s="27">
        <v>10</v>
      </c>
      <c r="AD37" s="27">
        <v>5</v>
      </c>
      <c r="AE37" s="33"/>
      <c r="AG37" s="25"/>
      <c r="AH37" s="34"/>
      <c r="AI37" s="27">
        <v>2.5000000000000001E-2</v>
      </c>
      <c r="AJ37" s="27">
        <v>2.5000000000000001E-2</v>
      </c>
      <c r="AK37" s="27">
        <v>2.5000000000000001E-2</v>
      </c>
      <c r="AL37" s="25"/>
      <c r="AM37" s="34"/>
      <c r="AN37" s="27"/>
      <c r="AO37" s="27"/>
      <c r="AP37" s="36"/>
      <c r="AQ37" s="37"/>
      <c r="AR37" s="32"/>
      <c r="AS37" s="25"/>
      <c r="AT37" s="27"/>
      <c r="AU37" s="58"/>
      <c r="AW37" s="25"/>
      <c r="AX37" s="27"/>
      <c r="AY37" s="27"/>
      <c r="AZ37" s="32"/>
      <c r="BA37" s="41"/>
    </row>
    <row r="38" spans="1:54" ht="16" thickBot="1" x14ac:dyDescent="0.25">
      <c r="A38" s="25">
        <v>24</v>
      </c>
      <c r="B38" s="26">
        <v>45323</v>
      </c>
      <c r="C38" s="27" t="s">
        <v>227</v>
      </c>
      <c r="D38" s="25"/>
      <c r="E38" s="28"/>
      <c r="F38" s="27"/>
      <c r="G38" s="28"/>
      <c r="H38" s="27"/>
      <c r="I38" s="28"/>
      <c r="J38" s="174" t="s">
        <v>210</v>
      </c>
      <c r="K38" s="29" t="s">
        <v>35</v>
      </c>
      <c r="L38" s="44" t="s">
        <v>71</v>
      </c>
      <c r="M38" s="153" t="s">
        <v>169</v>
      </c>
      <c r="N38" s="27" t="s">
        <v>40</v>
      </c>
      <c r="O38" s="307"/>
      <c r="P38" s="32"/>
      <c r="Q38" s="25"/>
      <c r="R38" s="27"/>
      <c r="S38" s="27"/>
      <c r="T38" s="28"/>
      <c r="U38" s="27"/>
      <c r="V38" s="27"/>
      <c r="W38" s="28"/>
      <c r="X38" s="33"/>
      <c r="Y38" s="32"/>
      <c r="Z38" s="25"/>
      <c r="AA38" s="27"/>
      <c r="AB38" s="28"/>
      <c r="AC38" s="27">
        <v>10</v>
      </c>
      <c r="AD38" s="27">
        <v>5</v>
      </c>
      <c r="AE38" s="50"/>
      <c r="AF38" s="46"/>
      <c r="AG38" s="25"/>
      <c r="AH38" s="34"/>
      <c r="AI38" s="27">
        <v>2.5000000000000001E-2</v>
      </c>
      <c r="AJ38" s="27">
        <v>2.5000000000000001E-2</v>
      </c>
      <c r="AK38" s="27">
        <v>2.5000000000000001E-2</v>
      </c>
      <c r="AL38" s="25"/>
      <c r="AM38" s="34"/>
      <c r="AN38" s="27"/>
      <c r="AO38" s="27"/>
      <c r="AP38" s="36"/>
      <c r="AQ38" s="37"/>
      <c r="AR38" s="46"/>
      <c r="AS38" s="25"/>
      <c r="AT38" s="27"/>
      <c r="AU38" s="58"/>
      <c r="AW38" s="25"/>
      <c r="AX38" s="27"/>
      <c r="AY38" s="27"/>
      <c r="AZ38" s="32"/>
      <c r="BA38" s="41"/>
      <c r="BB38" t="s">
        <v>269</v>
      </c>
    </row>
    <row r="39" spans="1:54" ht="16" thickBot="1" x14ac:dyDescent="0.25">
      <c r="A39" s="25">
        <v>25</v>
      </c>
      <c r="B39" s="26">
        <v>45324</v>
      </c>
      <c r="C39" s="27" t="s">
        <v>200</v>
      </c>
      <c r="D39" s="25"/>
      <c r="E39" s="28"/>
      <c r="F39" s="27"/>
      <c r="G39" s="28"/>
      <c r="H39" s="27"/>
      <c r="I39" s="28"/>
      <c r="J39" s="174" t="s">
        <v>210</v>
      </c>
      <c r="K39" s="29" t="s">
        <v>35</v>
      </c>
      <c r="L39" s="39"/>
      <c r="M39" s="153" t="s">
        <v>170</v>
      </c>
      <c r="N39" s="27" t="s">
        <v>217</v>
      </c>
      <c r="O39" s="307"/>
      <c r="P39" s="81" t="s">
        <v>74</v>
      </c>
      <c r="Q39" s="43"/>
      <c r="R39" s="27"/>
      <c r="S39" s="27"/>
      <c r="T39" s="28"/>
      <c r="U39" s="27"/>
      <c r="V39" s="27"/>
      <c r="W39" s="28"/>
      <c r="X39" s="33"/>
      <c r="Y39" s="32"/>
      <c r="Z39" s="27"/>
      <c r="AA39" s="27"/>
      <c r="AB39" s="28"/>
      <c r="AC39" s="27">
        <v>10</v>
      </c>
      <c r="AD39" s="27">
        <v>5</v>
      </c>
      <c r="AE39" s="33"/>
      <c r="AG39" s="25"/>
      <c r="AH39" s="34"/>
      <c r="AI39" s="27">
        <v>2.5000000000000001E-2</v>
      </c>
      <c r="AJ39" s="27">
        <v>2.5000000000000001E-2</v>
      </c>
      <c r="AK39" s="27">
        <v>2.5000000000000001E-2</v>
      </c>
      <c r="AL39" s="25"/>
      <c r="AM39" s="34"/>
      <c r="AN39" s="27"/>
      <c r="AO39" s="27"/>
      <c r="AP39" s="36"/>
      <c r="AQ39" s="37"/>
      <c r="AR39" s="32"/>
      <c r="AS39" s="25" t="s">
        <v>72</v>
      </c>
      <c r="AT39" s="27" t="s">
        <v>52</v>
      </c>
      <c r="AU39" s="153" t="s">
        <v>170</v>
      </c>
      <c r="AW39" s="25"/>
      <c r="AX39" s="27"/>
      <c r="AY39" s="27"/>
      <c r="AZ39" s="32"/>
      <c r="BA39" s="41">
        <v>0</v>
      </c>
    </row>
    <row r="40" spans="1:54" ht="16" thickBot="1" x14ac:dyDescent="0.25">
      <c r="A40" s="25">
        <v>26</v>
      </c>
      <c r="B40" s="26">
        <v>45325</v>
      </c>
      <c r="C40" s="27" t="s">
        <v>200</v>
      </c>
      <c r="D40" s="25"/>
      <c r="E40" s="28"/>
      <c r="F40" s="27"/>
      <c r="G40" s="28"/>
      <c r="H40" s="27"/>
      <c r="I40" s="28"/>
      <c r="J40" s="174" t="s">
        <v>210</v>
      </c>
      <c r="K40" s="29" t="s">
        <v>35</v>
      </c>
      <c r="L40" s="39"/>
      <c r="M40" s="31"/>
      <c r="N40" s="27" t="s">
        <v>217</v>
      </c>
      <c r="O40" s="307"/>
      <c r="P40" s="175" t="s">
        <v>223</v>
      </c>
      <c r="Q40" s="25"/>
      <c r="R40" s="27"/>
      <c r="S40" s="27"/>
      <c r="T40" s="28"/>
      <c r="U40" s="27"/>
      <c r="V40" s="27"/>
      <c r="W40" s="28"/>
      <c r="X40" s="33"/>
      <c r="Y40" s="32"/>
      <c r="Z40" s="25"/>
      <c r="AA40" s="27"/>
      <c r="AB40" s="28"/>
      <c r="AC40" s="27"/>
      <c r="AD40" s="27"/>
      <c r="AE40" s="33"/>
      <c r="AG40" s="25"/>
      <c r="AH40" s="34"/>
      <c r="AI40" s="27">
        <v>2.5000000000000001E-2</v>
      </c>
      <c r="AJ40" s="27">
        <v>2.5000000000000001E-2</v>
      </c>
      <c r="AK40" s="27">
        <v>2.5000000000000001E-2</v>
      </c>
      <c r="AL40" s="25"/>
      <c r="AM40" s="34"/>
      <c r="AN40" s="27"/>
      <c r="AO40" s="27"/>
      <c r="AP40" s="36"/>
      <c r="AQ40" s="37"/>
      <c r="AR40" s="32"/>
      <c r="AS40" s="25" t="s">
        <v>72</v>
      </c>
      <c r="AT40" s="27" t="s">
        <v>52</v>
      </c>
      <c r="AU40">
        <v>0</v>
      </c>
      <c r="AW40" s="25"/>
      <c r="AX40" s="27"/>
      <c r="AY40" s="27"/>
      <c r="AZ40" s="32"/>
      <c r="BA40" s="41"/>
    </row>
    <row r="41" spans="1:54" ht="16" thickBot="1" x14ac:dyDescent="0.25">
      <c r="A41" s="25">
        <v>27</v>
      </c>
      <c r="B41" s="26">
        <v>45326</v>
      </c>
      <c r="C41" s="27" t="s">
        <v>232</v>
      </c>
      <c r="D41" s="25"/>
      <c r="E41" s="28"/>
      <c r="F41" s="27"/>
      <c r="G41" s="28"/>
      <c r="H41" s="27"/>
      <c r="I41" s="28"/>
      <c r="J41" s="174" t="s">
        <v>210</v>
      </c>
      <c r="K41" s="29" t="s">
        <v>35</v>
      </c>
      <c r="L41" s="39"/>
      <c r="M41" s="153" t="s">
        <v>171</v>
      </c>
      <c r="N41" s="27" t="s">
        <v>217</v>
      </c>
      <c r="O41" s="307"/>
      <c r="P41" s="32"/>
      <c r="Q41" s="25"/>
      <c r="R41" s="27"/>
      <c r="S41" s="27"/>
      <c r="T41" s="28"/>
      <c r="U41" s="27" t="s">
        <v>273</v>
      </c>
      <c r="V41" s="27"/>
      <c r="W41" s="28" t="s">
        <v>273</v>
      </c>
      <c r="X41" s="33"/>
      <c r="Y41" s="32"/>
      <c r="Z41" s="25"/>
      <c r="AA41" s="27"/>
      <c r="AB41" s="28"/>
      <c r="AC41" s="27"/>
      <c r="AD41" s="27"/>
      <c r="AE41" s="33"/>
      <c r="AG41" s="25"/>
      <c r="AH41" s="34"/>
      <c r="AI41" s="27">
        <v>2.5000000000000001E-2</v>
      </c>
      <c r="AJ41" s="27">
        <v>2.5000000000000001E-2</v>
      </c>
      <c r="AK41" s="27">
        <v>2.5000000000000001E-2</v>
      </c>
      <c r="AL41" s="25"/>
      <c r="AM41" s="34"/>
      <c r="AN41" s="27">
        <v>2.5000000000000001E-2</v>
      </c>
      <c r="AO41" s="27">
        <v>2.5000000000000001E-2</v>
      </c>
      <c r="AP41" s="36">
        <v>2.5000000000000001E-2</v>
      </c>
      <c r="AQ41" s="68" t="s">
        <v>242</v>
      </c>
      <c r="AR41" s="32"/>
      <c r="AS41" s="25" t="s">
        <v>72</v>
      </c>
      <c r="AT41" s="27" t="s">
        <v>52</v>
      </c>
      <c r="AU41" s="27"/>
      <c r="AW41" s="25"/>
      <c r="AX41" s="27"/>
      <c r="AY41" s="27"/>
      <c r="AZ41" s="32"/>
      <c r="BA41" s="41">
        <v>0</v>
      </c>
    </row>
    <row r="42" spans="1:54" x14ac:dyDescent="0.2">
      <c r="A42" s="25">
        <v>28</v>
      </c>
      <c r="B42" s="26">
        <v>45327</v>
      </c>
      <c r="C42" s="27" t="s">
        <v>232</v>
      </c>
      <c r="D42" s="25"/>
      <c r="E42" s="28"/>
      <c r="F42" s="27"/>
      <c r="G42" s="28"/>
      <c r="H42" s="27"/>
      <c r="I42" s="28"/>
      <c r="J42" s="174" t="s">
        <v>210</v>
      </c>
      <c r="K42" s="29" t="s">
        <v>35</v>
      </c>
      <c r="L42" s="39"/>
      <c r="M42" s="31"/>
      <c r="N42" s="27" t="s">
        <v>274</v>
      </c>
      <c r="O42" s="307"/>
      <c r="P42" s="32" t="s">
        <v>275</v>
      </c>
      <c r="Q42" s="25"/>
      <c r="R42" s="27"/>
      <c r="S42" s="27"/>
      <c r="T42" s="28"/>
      <c r="U42" s="27" t="s">
        <v>273</v>
      </c>
      <c r="V42" s="27"/>
      <c r="W42" s="28" t="s">
        <v>273</v>
      </c>
      <c r="Y42" s="32"/>
      <c r="Z42" s="25"/>
      <c r="AA42" s="27"/>
      <c r="AB42" s="28"/>
      <c r="AC42" s="27"/>
      <c r="AD42" s="27"/>
      <c r="AE42" s="33"/>
      <c r="AG42" s="25"/>
      <c r="AH42" s="34"/>
      <c r="AI42" s="27">
        <v>2.5000000000000001E-2</v>
      </c>
      <c r="AJ42" s="27">
        <v>2.5000000000000001E-2</v>
      </c>
      <c r="AK42" s="27">
        <v>2.5000000000000001E-2</v>
      </c>
      <c r="AL42" s="25"/>
      <c r="AM42" s="34"/>
      <c r="AN42" s="27">
        <v>2.5000000000000001E-2</v>
      </c>
      <c r="AO42" s="27">
        <v>2.5000000000000001E-2</v>
      </c>
      <c r="AP42" s="27">
        <v>2.5000000000000001E-2</v>
      </c>
      <c r="AR42" s="32"/>
      <c r="AS42" s="25" t="s">
        <v>72</v>
      </c>
      <c r="AT42" s="27" t="s">
        <v>52</v>
      </c>
      <c r="AU42" s="27"/>
      <c r="AW42" s="25"/>
      <c r="AX42" s="27"/>
      <c r="AY42" s="27"/>
      <c r="AZ42" s="32"/>
      <c r="BA42" s="41">
        <v>0</v>
      </c>
    </row>
    <row r="43" spans="1:54" ht="17.25" customHeight="1" thickBot="1" x14ac:dyDescent="0.25">
      <c r="A43" s="25">
        <v>29</v>
      </c>
      <c r="B43" s="26">
        <v>45328</v>
      </c>
      <c r="C43" s="27" t="s">
        <v>227</v>
      </c>
      <c r="D43" s="25"/>
      <c r="E43" s="28"/>
      <c r="F43" s="27"/>
      <c r="G43" s="28"/>
      <c r="H43" s="27"/>
      <c r="I43" s="28"/>
      <c r="J43" s="174" t="s">
        <v>210</v>
      </c>
      <c r="K43" s="29" t="s">
        <v>35</v>
      </c>
      <c r="L43" s="39"/>
      <c r="M43" s="31"/>
      <c r="N43" s="27" t="s">
        <v>217</v>
      </c>
      <c r="O43" s="307"/>
      <c r="P43" s="32"/>
      <c r="Q43" s="25"/>
      <c r="R43" s="27"/>
      <c r="S43" s="27"/>
      <c r="T43" s="28"/>
      <c r="U43" s="27" t="s">
        <v>273</v>
      </c>
      <c r="V43" s="27"/>
      <c r="W43" s="28" t="s">
        <v>273</v>
      </c>
      <c r="X43" s="33"/>
      <c r="Y43" s="32"/>
      <c r="Z43" s="25"/>
      <c r="AA43" s="27"/>
      <c r="AB43" s="28"/>
      <c r="AC43" s="27"/>
      <c r="AD43" s="27"/>
      <c r="AE43" s="33"/>
      <c r="AG43" s="25"/>
      <c r="AH43" s="34"/>
      <c r="AI43" s="27">
        <v>2.5000000000000001E-2</v>
      </c>
      <c r="AJ43" s="27">
        <v>2.5000000000000001E-2</v>
      </c>
      <c r="AK43" s="27">
        <v>2.5000000000000001E-2</v>
      </c>
      <c r="AL43" s="25"/>
      <c r="AM43" s="34"/>
      <c r="AN43" s="27">
        <v>2.5000000000000001E-2</v>
      </c>
      <c r="AO43" s="27">
        <v>2.5000000000000001E-2</v>
      </c>
      <c r="AP43" s="27">
        <v>2.5000000000000001E-2</v>
      </c>
      <c r="AQ43" s="37" t="s">
        <v>243</v>
      </c>
      <c r="AR43" s="32"/>
      <c r="AS43" s="25" t="s">
        <v>72</v>
      </c>
      <c r="AT43" s="27" t="s">
        <v>52</v>
      </c>
      <c r="AU43" s="27"/>
      <c r="AW43" s="25"/>
      <c r="AX43" s="27"/>
      <c r="AY43" s="27"/>
      <c r="AZ43" s="32"/>
      <c r="BA43" s="41">
        <v>0</v>
      </c>
    </row>
    <row r="44" spans="1:54" s="87" customFormat="1" ht="16" thickBot="1" x14ac:dyDescent="0.25">
      <c r="A44" s="83">
        <v>30</v>
      </c>
      <c r="B44" s="26">
        <v>45329</v>
      </c>
      <c r="C44" s="83" t="s">
        <v>232</v>
      </c>
      <c r="D44" s="83"/>
      <c r="E44" s="83"/>
      <c r="F44" s="83"/>
      <c r="G44" s="83"/>
      <c r="H44" s="83"/>
      <c r="I44" s="83"/>
      <c r="J44" s="174" t="s">
        <v>210</v>
      </c>
      <c r="K44" s="85" t="s">
        <v>35</v>
      </c>
      <c r="L44" s="86"/>
      <c r="M44" s="86"/>
      <c r="N44" s="27" t="s">
        <v>217</v>
      </c>
      <c r="O44" s="307"/>
      <c r="Q44" s="83"/>
      <c r="R44" s="83"/>
      <c r="S44" s="83"/>
      <c r="T44" s="83"/>
      <c r="U44" s="83" t="s">
        <v>273</v>
      </c>
      <c r="V44" s="83"/>
      <c r="W44" s="83" t="s">
        <v>273</v>
      </c>
      <c r="X44" s="83"/>
      <c r="Z44" s="83"/>
      <c r="AA44" s="83"/>
      <c r="AB44" s="83"/>
      <c r="AC44" s="83"/>
      <c r="AD44" s="83"/>
      <c r="AE44" s="83"/>
      <c r="AG44" s="83"/>
      <c r="AH44" s="83"/>
      <c r="AI44" s="83">
        <v>2.5000000000000001E-2</v>
      </c>
      <c r="AJ44" s="83">
        <v>2.5000000000000001E-2</v>
      </c>
      <c r="AK44" s="83">
        <v>2.5000000000000001E-2</v>
      </c>
      <c r="AL44" s="83"/>
      <c r="AM44" s="83"/>
      <c r="AN44" s="83">
        <v>0.1</v>
      </c>
      <c r="AO44" s="83">
        <v>0.1</v>
      </c>
      <c r="AP44" s="83">
        <v>0.1</v>
      </c>
      <c r="AQ44" s="87" t="s">
        <v>213</v>
      </c>
      <c r="AS44" s="83" t="s">
        <v>72</v>
      </c>
      <c r="AT44" s="83" t="s">
        <v>52</v>
      </c>
      <c r="AU44" s="83"/>
      <c r="AW44" s="83"/>
      <c r="AX44" s="83"/>
      <c r="AY44" s="83"/>
      <c r="BA44" s="83">
        <v>0</v>
      </c>
    </row>
    <row r="45" spans="1:54" x14ac:dyDescent="0.2">
      <c r="A45" s="25">
        <v>31</v>
      </c>
      <c r="B45" s="26">
        <v>45330</v>
      </c>
      <c r="C45" s="27" t="s">
        <v>227</v>
      </c>
      <c r="D45" s="25"/>
      <c r="E45" s="28"/>
      <c r="F45" s="27"/>
      <c r="G45" s="28"/>
      <c r="H45" s="27"/>
      <c r="I45" s="28"/>
      <c r="J45" s="174" t="s">
        <v>210</v>
      </c>
      <c r="K45" s="29" t="s">
        <v>35</v>
      </c>
      <c r="L45" s="39"/>
      <c r="M45" s="31"/>
      <c r="N45" s="27" t="s">
        <v>217</v>
      </c>
      <c r="O45" s="307"/>
      <c r="P45" s="32"/>
      <c r="Q45" s="25"/>
      <c r="R45" s="27"/>
      <c r="S45" s="27"/>
      <c r="T45" s="28"/>
      <c r="U45" s="27" t="s">
        <v>273</v>
      </c>
      <c r="V45" s="27"/>
      <c r="W45" s="28" t="s">
        <v>273</v>
      </c>
      <c r="X45" s="33"/>
      <c r="Y45" s="32"/>
      <c r="Z45" s="25"/>
      <c r="AA45" s="27"/>
      <c r="AB45" s="28"/>
      <c r="AC45" s="27"/>
      <c r="AD45" s="27"/>
      <c r="AE45" s="33"/>
      <c r="AG45" s="25"/>
      <c r="AH45" s="34"/>
      <c r="AI45" s="27"/>
      <c r="AJ45" s="27"/>
      <c r="AK45" s="27"/>
      <c r="AL45" s="25"/>
      <c r="AM45" s="34"/>
      <c r="AN45" s="27">
        <v>0.1</v>
      </c>
      <c r="AO45" s="27">
        <v>0.1</v>
      </c>
      <c r="AP45" s="36">
        <v>0.1</v>
      </c>
      <c r="AQ45" s="37" t="s">
        <v>277</v>
      </c>
      <c r="AR45" s="46"/>
      <c r="AS45" s="25" t="s">
        <v>72</v>
      </c>
      <c r="AT45" s="27" t="s">
        <v>52</v>
      </c>
      <c r="AU45" s="27"/>
      <c r="AW45" s="25"/>
      <c r="AX45" s="27"/>
      <c r="AY45" s="27"/>
      <c r="AZ45" s="32"/>
      <c r="BA45" s="41">
        <v>2</v>
      </c>
    </row>
    <row r="46" spans="1:54" x14ac:dyDescent="0.2">
      <c r="A46" s="25">
        <v>32</v>
      </c>
      <c r="B46" s="26">
        <v>45331</v>
      </c>
      <c r="C46" s="27" t="s">
        <v>200</v>
      </c>
      <c r="D46" s="25"/>
      <c r="E46" s="28"/>
      <c r="F46" s="27"/>
      <c r="G46" s="28"/>
      <c r="H46" s="27"/>
      <c r="I46" s="28"/>
      <c r="J46" s="174" t="s">
        <v>210</v>
      </c>
      <c r="K46" s="29" t="s">
        <v>35</v>
      </c>
      <c r="L46" s="39"/>
      <c r="M46" s="31"/>
      <c r="N46" s="27" t="s">
        <v>217</v>
      </c>
      <c r="O46" s="307"/>
      <c r="P46" s="32"/>
      <c r="Q46" s="25"/>
      <c r="R46" s="27"/>
      <c r="S46" s="27"/>
      <c r="T46" s="28"/>
      <c r="U46" s="27" t="s">
        <v>273</v>
      </c>
      <c r="V46" s="27"/>
      <c r="W46" s="28" t="s">
        <v>273</v>
      </c>
      <c r="X46" s="33"/>
      <c r="Y46" s="32"/>
      <c r="Z46" s="25"/>
      <c r="AA46" s="27"/>
      <c r="AB46" s="28"/>
      <c r="AC46" s="27"/>
      <c r="AD46" s="27"/>
      <c r="AE46" s="33"/>
      <c r="AG46" s="25"/>
      <c r="AH46" s="34"/>
      <c r="AI46" s="27"/>
      <c r="AJ46" s="27"/>
      <c r="AK46" s="27"/>
      <c r="AL46" s="25"/>
      <c r="AM46" s="34"/>
      <c r="AN46" s="27">
        <v>0.1</v>
      </c>
      <c r="AO46" s="27">
        <v>0.1</v>
      </c>
      <c r="AP46" s="36">
        <v>0.1</v>
      </c>
      <c r="AQ46" s="37"/>
      <c r="AR46" s="32"/>
      <c r="AS46" s="25" t="s">
        <v>72</v>
      </c>
      <c r="AT46" s="27" t="s">
        <v>52</v>
      </c>
      <c r="AU46" s="27"/>
      <c r="AW46" s="25"/>
      <c r="AX46" s="27"/>
      <c r="AY46" s="27"/>
      <c r="AZ46" s="32"/>
      <c r="BA46" s="41">
        <v>1</v>
      </c>
    </row>
    <row r="47" spans="1:54" x14ac:dyDescent="0.2">
      <c r="A47" s="25">
        <v>33</v>
      </c>
      <c r="B47" s="26">
        <v>45332</v>
      </c>
      <c r="C47" s="27" t="s">
        <v>200</v>
      </c>
      <c r="D47" s="25"/>
      <c r="E47" s="28"/>
      <c r="F47" s="27"/>
      <c r="G47" s="28"/>
      <c r="H47" s="27"/>
      <c r="I47" s="28"/>
      <c r="J47" s="174" t="s">
        <v>210</v>
      </c>
      <c r="K47" s="29" t="s">
        <v>35</v>
      </c>
      <c r="L47" s="39"/>
      <c r="M47" s="31"/>
      <c r="N47" s="27" t="s">
        <v>217</v>
      </c>
      <c r="O47" s="307"/>
      <c r="P47" s="32"/>
      <c r="Q47" s="25"/>
      <c r="R47" s="27"/>
      <c r="S47" s="27"/>
      <c r="T47" s="28"/>
      <c r="U47" s="27">
        <v>50</v>
      </c>
      <c r="V47" s="27"/>
      <c r="W47" s="28" t="s">
        <v>273</v>
      </c>
      <c r="X47" s="33"/>
      <c r="Y47" s="32"/>
      <c r="Z47" s="25"/>
      <c r="AA47" s="27"/>
      <c r="AB47" s="28"/>
      <c r="AC47" s="27"/>
      <c r="AD47" s="27"/>
      <c r="AE47" s="33"/>
      <c r="AG47" s="25"/>
      <c r="AH47" s="34"/>
      <c r="AI47" s="27"/>
      <c r="AJ47" s="27"/>
      <c r="AK47" s="27"/>
      <c r="AL47" s="25"/>
      <c r="AM47" s="34"/>
      <c r="AN47" s="27">
        <v>0.1</v>
      </c>
      <c r="AO47" s="27">
        <v>0.1</v>
      </c>
      <c r="AP47" s="36">
        <v>0.1</v>
      </c>
      <c r="AQ47" s="37"/>
      <c r="AR47" s="32"/>
      <c r="AS47" s="25" t="s">
        <v>72</v>
      </c>
      <c r="AT47" s="27" t="s">
        <v>52</v>
      </c>
      <c r="AW47" s="25"/>
      <c r="AX47" s="27"/>
      <c r="AY47" s="27"/>
      <c r="AZ47" s="32"/>
      <c r="BA47" s="41">
        <v>0</v>
      </c>
    </row>
    <row r="48" spans="1:54" ht="16" thickBot="1" x14ac:dyDescent="0.25">
      <c r="A48" s="25">
        <v>34</v>
      </c>
      <c r="B48" s="26">
        <v>45333</v>
      </c>
      <c r="C48" s="27" t="s">
        <v>232</v>
      </c>
      <c r="D48" s="25"/>
      <c r="E48" s="28"/>
      <c r="F48" s="27"/>
      <c r="G48" s="28"/>
      <c r="H48" s="27"/>
      <c r="I48" s="28"/>
      <c r="J48" s="174" t="s">
        <v>210</v>
      </c>
      <c r="K48" s="29" t="s">
        <v>35</v>
      </c>
      <c r="L48" s="39"/>
      <c r="M48" s="31"/>
      <c r="N48" s="27" t="s">
        <v>272</v>
      </c>
      <c r="O48" s="307"/>
      <c r="P48" s="32" t="s">
        <v>278</v>
      </c>
      <c r="Q48" s="25"/>
      <c r="R48" s="27"/>
      <c r="S48" s="27"/>
      <c r="T48" s="28"/>
      <c r="U48" s="27" t="s">
        <v>273</v>
      </c>
      <c r="V48" s="27"/>
      <c r="W48" s="28" t="s">
        <v>273</v>
      </c>
      <c r="X48" s="33"/>
      <c r="Y48" s="32"/>
      <c r="Z48" s="25"/>
      <c r="AA48" s="27"/>
      <c r="AB48" s="28"/>
      <c r="AC48" s="27"/>
      <c r="AD48" s="27"/>
      <c r="AE48" s="33"/>
      <c r="AG48" s="25"/>
      <c r="AH48" s="34"/>
      <c r="AI48" s="27"/>
      <c r="AJ48" s="27"/>
      <c r="AK48" s="27"/>
      <c r="AL48" s="25"/>
      <c r="AM48" s="34"/>
      <c r="AN48" s="27">
        <v>0.1</v>
      </c>
      <c r="AO48" s="27">
        <v>0.1</v>
      </c>
      <c r="AP48" s="36">
        <v>0.1</v>
      </c>
      <c r="AQ48" s="37"/>
      <c r="AR48" s="32"/>
      <c r="AS48" s="25" t="s">
        <v>72</v>
      </c>
      <c r="AT48" s="27" t="s">
        <v>52</v>
      </c>
      <c r="AU48" s="27"/>
      <c r="AW48" s="25"/>
      <c r="AX48" s="27"/>
      <c r="AY48" s="27"/>
      <c r="AZ48" s="32"/>
      <c r="BA48" s="41">
        <v>4</v>
      </c>
    </row>
    <row r="49" spans="1:53" ht="16" thickBot="1" x14ac:dyDescent="0.25">
      <c r="A49" s="25">
        <v>35</v>
      </c>
      <c r="B49" s="26">
        <v>45334</v>
      </c>
      <c r="C49" s="27" t="s">
        <v>232</v>
      </c>
      <c r="D49" s="25"/>
      <c r="E49" s="28"/>
      <c r="F49" s="27"/>
      <c r="G49" s="28"/>
      <c r="H49" s="27"/>
      <c r="I49" s="28"/>
      <c r="J49" s="174" t="s">
        <v>210</v>
      </c>
      <c r="K49" s="29" t="s">
        <v>35</v>
      </c>
      <c r="L49" s="39"/>
      <c r="M49" s="153" t="s">
        <v>172</v>
      </c>
      <c r="N49" s="27" t="s">
        <v>272</v>
      </c>
      <c r="O49" s="307"/>
      <c r="P49" s="32"/>
      <c r="Q49" s="25"/>
      <c r="R49" s="27"/>
      <c r="S49" s="27"/>
      <c r="T49" s="28"/>
      <c r="U49" s="27" t="s">
        <v>273</v>
      </c>
      <c r="V49" s="27"/>
      <c r="W49" s="28" t="s">
        <v>273</v>
      </c>
      <c r="X49" s="33"/>
      <c r="Y49" s="32"/>
      <c r="Z49" s="25"/>
      <c r="AA49" s="27"/>
      <c r="AB49" s="28"/>
      <c r="AC49" s="27"/>
      <c r="AD49" s="27"/>
      <c r="AE49" s="33"/>
      <c r="AG49" s="25"/>
      <c r="AH49" s="34"/>
      <c r="AI49" s="27"/>
      <c r="AJ49" s="27"/>
      <c r="AK49" s="27"/>
      <c r="AL49" s="25"/>
      <c r="AM49" s="34"/>
      <c r="AN49" s="27">
        <v>0.1</v>
      </c>
      <c r="AO49" s="27">
        <v>0.1</v>
      </c>
      <c r="AP49" s="36">
        <v>0.1</v>
      </c>
      <c r="AQ49" s="37"/>
      <c r="AR49" s="32"/>
      <c r="AS49" s="25" t="s">
        <v>72</v>
      </c>
      <c r="AT49" s="27" t="s">
        <v>52</v>
      </c>
      <c r="AU49" s="58" t="s">
        <v>77</v>
      </c>
      <c r="AW49" s="25"/>
      <c r="AX49" s="27"/>
      <c r="AY49" s="27"/>
      <c r="AZ49" s="32"/>
      <c r="BA49" s="41">
        <v>0</v>
      </c>
    </row>
    <row r="50" spans="1:53" ht="16" thickBot="1" x14ac:dyDescent="0.25">
      <c r="A50" s="25">
        <v>36</v>
      </c>
      <c r="B50" s="26">
        <v>45335</v>
      </c>
      <c r="C50" s="27" t="s">
        <v>232</v>
      </c>
      <c r="D50" s="25"/>
      <c r="E50" s="28"/>
      <c r="F50" s="27"/>
      <c r="G50" s="28"/>
      <c r="H50" s="27"/>
      <c r="I50" s="28"/>
      <c r="J50" s="174" t="s">
        <v>210</v>
      </c>
      <c r="K50" s="29" t="s">
        <v>35</v>
      </c>
      <c r="L50" s="53"/>
      <c r="M50" s="31"/>
      <c r="N50" s="27" t="s">
        <v>272</v>
      </c>
      <c r="O50" s="307"/>
      <c r="P50" s="32"/>
      <c r="Q50" s="25"/>
      <c r="R50" s="27"/>
      <c r="S50" s="27"/>
      <c r="T50" s="28"/>
      <c r="U50" s="27" t="s">
        <v>273</v>
      </c>
      <c r="V50" s="27"/>
      <c r="W50" s="28" t="s">
        <v>273</v>
      </c>
      <c r="X50" s="33"/>
      <c r="Y50" s="32"/>
      <c r="Z50" s="25"/>
      <c r="AA50" s="27"/>
      <c r="AB50" s="28"/>
      <c r="AC50" s="27"/>
      <c r="AD50" s="27"/>
      <c r="AE50" s="33"/>
      <c r="AG50" s="25"/>
      <c r="AH50" s="34"/>
      <c r="AI50" s="27"/>
      <c r="AJ50" s="27"/>
      <c r="AK50" s="27"/>
      <c r="AL50" s="25"/>
      <c r="AM50" s="34"/>
      <c r="AN50" s="27">
        <v>0.1</v>
      </c>
      <c r="AO50" s="27">
        <v>0.1</v>
      </c>
      <c r="AP50" s="36">
        <v>0.1</v>
      </c>
      <c r="AQ50" s="37"/>
      <c r="AR50" s="32"/>
      <c r="AS50" s="25" t="s">
        <v>72</v>
      </c>
      <c r="AT50" s="27" t="s">
        <v>52</v>
      </c>
      <c r="AV50" t="s">
        <v>281</v>
      </c>
      <c r="AW50" s="25"/>
      <c r="AX50" s="27"/>
      <c r="AY50" s="27"/>
      <c r="AZ50" s="32"/>
      <c r="BA50" s="41">
        <v>1</v>
      </c>
    </row>
    <row r="51" spans="1:53" ht="16" thickBot="1" x14ac:dyDescent="0.25">
      <c r="A51" s="25">
        <v>37</v>
      </c>
      <c r="B51" s="26">
        <v>45336</v>
      </c>
      <c r="C51" s="27" t="s">
        <v>227</v>
      </c>
      <c r="D51" s="25"/>
      <c r="E51" s="28"/>
      <c r="F51" s="27"/>
      <c r="G51" s="28"/>
      <c r="H51" s="27"/>
      <c r="I51" s="28"/>
      <c r="J51" s="174" t="s">
        <v>210</v>
      </c>
      <c r="K51" s="29" t="s">
        <v>35</v>
      </c>
      <c r="L51" s="53"/>
      <c r="M51" s="31"/>
      <c r="N51" s="27" t="s">
        <v>272</v>
      </c>
      <c r="O51" s="307"/>
      <c r="P51" s="32"/>
      <c r="Q51" s="25"/>
      <c r="R51" s="27"/>
      <c r="S51" s="27"/>
      <c r="T51" s="28"/>
      <c r="U51" s="27" t="s">
        <v>273</v>
      </c>
      <c r="V51" s="27"/>
      <c r="W51" s="28" t="s">
        <v>273</v>
      </c>
      <c r="X51" s="33"/>
      <c r="Y51" s="32"/>
      <c r="Z51" s="59"/>
      <c r="AA51" s="60"/>
      <c r="AB51" s="61"/>
      <c r="AC51" s="27"/>
      <c r="AD51" s="27"/>
      <c r="AE51" s="33"/>
      <c r="AG51" s="25"/>
      <c r="AH51" s="34"/>
      <c r="AI51" s="27"/>
      <c r="AJ51" s="27"/>
      <c r="AK51" s="27"/>
      <c r="AL51" s="25"/>
      <c r="AM51" s="34"/>
      <c r="AN51" s="27">
        <v>0.1</v>
      </c>
      <c r="AO51" s="27">
        <v>0.1</v>
      </c>
      <c r="AP51" s="36">
        <v>0.1</v>
      </c>
      <c r="AQ51" s="37"/>
      <c r="AR51" s="32"/>
      <c r="AS51" s="25" t="s">
        <v>78</v>
      </c>
      <c r="AT51" s="27" t="s">
        <v>52</v>
      </c>
      <c r="AU51" s="27"/>
      <c r="AW51" s="25"/>
      <c r="AX51" s="27"/>
      <c r="AY51" s="27"/>
      <c r="AZ51" s="32"/>
      <c r="BA51" s="41">
        <v>0</v>
      </c>
    </row>
    <row r="52" spans="1:53" x14ac:dyDescent="0.2">
      <c r="A52" s="25">
        <v>38</v>
      </c>
      <c r="B52" s="26">
        <v>45337</v>
      </c>
      <c r="C52" s="27" t="s">
        <v>227</v>
      </c>
      <c r="D52" s="25"/>
      <c r="E52" s="28"/>
      <c r="F52" s="27"/>
      <c r="G52" s="28"/>
      <c r="H52" s="27"/>
      <c r="I52" s="28"/>
      <c r="J52" s="174" t="s">
        <v>210</v>
      </c>
      <c r="K52" s="29" t="s">
        <v>35</v>
      </c>
      <c r="L52" s="39"/>
      <c r="M52" s="31"/>
      <c r="N52" s="27" t="s">
        <v>272</v>
      </c>
      <c r="O52" s="307"/>
      <c r="P52" s="32"/>
      <c r="Q52" s="25"/>
      <c r="R52" s="27"/>
      <c r="S52" s="27"/>
      <c r="T52" s="28"/>
      <c r="U52" s="27" t="s">
        <v>273</v>
      </c>
      <c r="V52" s="27"/>
      <c r="W52" s="28" t="s">
        <v>273</v>
      </c>
      <c r="X52" s="33"/>
      <c r="Y52" s="32"/>
      <c r="Z52" s="25"/>
      <c r="AA52" s="27"/>
      <c r="AB52" s="28"/>
      <c r="AC52" s="27"/>
      <c r="AD52" s="27"/>
      <c r="AE52" s="33"/>
      <c r="AG52" s="25"/>
      <c r="AH52" s="34"/>
      <c r="AI52" s="27"/>
      <c r="AJ52" s="27"/>
      <c r="AK52" s="27"/>
      <c r="AL52" s="25"/>
      <c r="AM52" s="34"/>
      <c r="AN52" s="27">
        <v>0.1</v>
      </c>
      <c r="AO52" s="27">
        <v>0.1</v>
      </c>
      <c r="AP52" s="36">
        <v>0.1</v>
      </c>
      <c r="AQ52" s="37"/>
      <c r="AR52" s="32"/>
      <c r="AS52" s="25" t="s">
        <v>78</v>
      </c>
      <c r="AT52" s="27" t="s">
        <v>52</v>
      </c>
      <c r="AU52" s="27"/>
      <c r="AW52" s="25"/>
      <c r="AX52" s="27"/>
      <c r="AY52" s="27"/>
      <c r="AZ52" s="32"/>
      <c r="BA52" s="41"/>
    </row>
    <row r="53" spans="1:53" ht="16" thickBot="1" x14ac:dyDescent="0.25">
      <c r="A53" s="25">
        <v>39</v>
      </c>
      <c r="B53" s="26">
        <v>45338</v>
      </c>
      <c r="C53" s="27" t="s">
        <v>200</v>
      </c>
      <c r="D53" s="25"/>
      <c r="E53" s="28"/>
      <c r="F53" s="27"/>
      <c r="G53" s="28"/>
      <c r="H53" s="27"/>
      <c r="I53" s="28"/>
      <c r="J53" s="174" t="s">
        <v>210</v>
      </c>
      <c r="K53" s="29" t="s">
        <v>35</v>
      </c>
      <c r="M53" s="31"/>
      <c r="N53" s="27" t="s">
        <v>272</v>
      </c>
      <c r="O53" s="307"/>
      <c r="P53" s="32"/>
      <c r="Q53" s="25"/>
      <c r="R53" s="27"/>
      <c r="S53" s="27"/>
      <c r="T53" s="28"/>
      <c r="U53" s="27" t="s">
        <v>273</v>
      </c>
      <c r="V53" s="27"/>
      <c r="W53" s="28" t="s">
        <v>273</v>
      </c>
      <c r="X53" s="33"/>
      <c r="Y53" s="32"/>
      <c r="Z53" s="25"/>
      <c r="AA53" s="27"/>
      <c r="AB53" s="28"/>
      <c r="AC53" s="27"/>
      <c r="AD53" s="27"/>
      <c r="AE53" s="33"/>
      <c r="AG53" s="25"/>
      <c r="AH53" s="34"/>
      <c r="AI53" s="27"/>
      <c r="AJ53" s="27"/>
      <c r="AK53" s="27"/>
      <c r="AL53" s="25"/>
      <c r="AM53" s="34"/>
      <c r="AN53" s="27">
        <v>0.1</v>
      </c>
      <c r="AO53" s="27">
        <v>0.1</v>
      </c>
      <c r="AP53" s="36">
        <v>0.1</v>
      </c>
      <c r="AQ53" s="37"/>
      <c r="AR53" s="32"/>
      <c r="AS53" s="25" t="s">
        <v>78</v>
      </c>
      <c r="AT53" s="27" t="s">
        <v>52</v>
      </c>
      <c r="AU53" s="27"/>
      <c r="AW53" s="25"/>
      <c r="AX53" s="27"/>
      <c r="AY53" s="27"/>
      <c r="AZ53" s="32"/>
      <c r="BA53" s="41">
        <v>1</v>
      </c>
    </row>
    <row r="54" spans="1:53" ht="16" thickBot="1" x14ac:dyDescent="0.25">
      <c r="A54" s="25">
        <v>40</v>
      </c>
      <c r="B54" s="26">
        <v>45339</v>
      </c>
      <c r="C54" s="27" t="s">
        <v>200</v>
      </c>
      <c r="D54" s="25"/>
      <c r="E54" s="28"/>
      <c r="F54" s="27"/>
      <c r="G54" s="28"/>
      <c r="H54" s="27"/>
      <c r="I54" s="28"/>
      <c r="J54" s="174" t="s">
        <v>210</v>
      </c>
      <c r="K54" s="29" t="s">
        <v>35</v>
      </c>
      <c r="L54" s="53"/>
      <c r="M54" s="153" t="s">
        <v>173</v>
      </c>
      <c r="N54" s="27" t="s">
        <v>272</v>
      </c>
      <c r="O54" s="308"/>
      <c r="Q54" s="25"/>
      <c r="R54" s="27"/>
      <c r="S54" s="27"/>
      <c r="T54" s="28"/>
      <c r="U54" s="27" t="s">
        <v>273</v>
      </c>
      <c r="V54" s="27"/>
      <c r="W54" s="28" t="s">
        <v>273</v>
      </c>
      <c r="X54" s="33"/>
      <c r="Y54" s="32"/>
      <c r="Z54" s="59"/>
      <c r="AA54" s="60"/>
      <c r="AB54" s="61"/>
      <c r="AC54" s="27"/>
      <c r="AD54" s="27"/>
      <c r="AE54" s="33"/>
      <c r="AG54" s="25"/>
      <c r="AH54" s="34"/>
      <c r="AI54" s="27"/>
      <c r="AJ54" s="27"/>
      <c r="AK54" s="27"/>
      <c r="AL54" s="25"/>
      <c r="AM54" s="34"/>
      <c r="AN54" s="27">
        <v>0.1</v>
      </c>
      <c r="AO54" s="27">
        <v>0.1</v>
      </c>
      <c r="AP54" s="36">
        <v>0.1</v>
      </c>
      <c r="AQ54" s="37" t="s">
        <v>285</v>
      </c>
      <c r="AR54" s="32"/>
      <c r="AS54" s="25" t="s">
        <v>79</v>
      </c>
      <c r="AT54" s="27" t="s">
        <v>52</v>
      </c>
      <c r="AU54" s="58" t="s">
        <v>80</v>
      </c>
      <c r="AW54" s="25"/>
      <c r="AX54" s="27"/>
      <c r="AY54" s="27"/>
      <c r="AZ54" s="32"/>
      <c r="BA54" s="41">
        <v>0</v>
      </c>
    </row>
    <row r="55" spans="1:53" x14ac:dyDescent="0.2">
      <c r="A55" s="25">
        <v>41</v>
      </c>
      <c r="B55" s="26">
        <v>45340</v>
      </c>
      <c r="C55" s="27" t="s">
        <v>232</v>
      </c>
      <c r="D55" s="25"/>
      <c r="E55" s="28"/>
      <c r="F55" s="27"/>
      <c r="G55" s="28"/>
      <c r="H55" s="27"/>
      <c r="I55" s="28"/>
      <c r="J55" s="174" t="s">
        <v>210</v>
      </c>
      <c r="K55" s="29" t="s">
        <v>35</v>
      </c>
      <c r="M55" s="31"/>
      <c r="N55" s="27" t="s">
        <v>272</v>
      </c>
      <c r="P55" s="32"/>
      <c r="Q55" s="25"/>
      <c r="R55" s="27"/>
      <c r="S55" s="27"/>
      <c r="T55" s="28"/>
      <c r="U55" s="27" t="s">
        <v>273</v>
      </c>
      <c r="V55" s="27"/>
      <c r="W55" s="28" t="s">
        <v>273</v>
      </c>
      <c r="X55" s="33"/>
      <c r="Y55" s="32"/>
      <c r="Z55" s="25"/>
      <c r="AA55" s="27"/>
      <c r="AB55" s="28"/>
      <c r="AC55" s="27"/>
      <c r="AD55" s="27"/>
      <c r="AE55" s="33"/>
      <c r="AG55" s="25"/>
      <c r="AH55" s="34"/>
      <c r="AI55" s="27"/>
      <c r="AJ55" s="27"/>
      <c r="AK55" s="27"/>
      <c r="AL55" s="25"/>
      <c r="AM55" s="34"/>
      <c r="AN55" s="27">
        <v>0.1</v>
      </c>
      <c r="AO55" s="27">
        <v>0.1</v>
      </c>
      <c r="AP55" s="36">
        <v>0.1</v>
      </c>
      <c r="AQ55" s="37"/>
      <c r="AR55" s="32"/>
      <c r="AS55" s="25" t="s">
        <v>79</v>
      </c>
      <c r="AT55" s="27" t="s">
        <v>52</v>
      </c>
      <c r="AU55" s="27"/>
      <c r="AW55" s="25"/>
      <c r="AX55" s="27"/>
      <c r="AY55" s="27"/>
      <c r="AZ55" s="32"/>
      <c r="BA55" s="41">
        <v>0</v>
      </c>
    </row>
    <row r="56" spans="1:53" x14ac:dyDescent="0.2">
      <c r="A56" s="25">
        <v>42</v>
      </c>
      <c r="B56" s="26">
        <v>45341</v>
      </c>
      <c r="C56" s="27" t="s">
        <v>232</v>
      </c>
      <c r="D56" s="25"/>
      <c r="E56" s="28"/>
      <c r="F56" s="27"/>
      <c r="G56" s="28"/>
      <c r="H56" s="27"/>
      <c r="I56" s="28"/>
      <c r="J56" s="174" t="s">
        <v>210</v>
      </c>
      <c r="K56" s="29" t="s">
        <v>35</v>
      </c>
      <c r="L56" s="39"/>
      <c r="M56" s="31"/>
      <c r="N56" s="27" t="s">
        <v>272</v>
      </c>
      <c r="P56" s="32"/>
      <c r="Q56" s="25"/>
      <c r="R56" s="27"/>
      <c r="S56" s="27"/>
      <c r="T56" s="28"/>
      <c r="U56" s="27" t="s">
        <v>273</v>
      </c>
      <c r="V56" s="27"/>
      <c r="W56" s="28" t="s">
        <v>273</v>
      </c>
      <c r="X56" s="33"/>
      <c r="Y56" s="32"/>
      <c r="Z56" s="25"/>
      <c r="AA56" s="27"/>
      <c r="AB56" s="28"/>
      <c r="AC56" s="27"/>
      <c r="AD56" s="27"/>
      <c r="AE56" s="33"/>
      <c r="AG56" s="25"/>
      <c r="AH56" s="34"/>
      <c r="AI56" s="27"/>
      <c r="AJ56" s="27"/>
      <c r="AK56" s="27"/>
      <c r="AL56" s="25"/>
      <c r="AM56" s="34"/>
      <c r="AN56" s="27">
        <v>0.1</v>
      </c>
      <c r="AO56" s="27">
        <v>0.1</v>
      </c>
      <c r="AP56" s="36">
        <v>0.1</v>
      </c>
      <c r="AQ56" s="37"/>
      <c r="AR56" s="32"/>
      <c r="AS56" s="25" t="s">
        <v>79</v>
      </c>
      <c r="AT56" s="27" t="s">
        <v>52</v>
      </c>
      <c r="AU56" s="27"/>
      <c r="AW56" s="25"/>
      <c r="AX56" s="27"/>
      <c r="AY56" s="27"/>
      <c r="AZ56" s="32"/>
      <c r="BA56" s="41">
        <v>1</v>
      </c>
    </row>
    <row r="57" spans="1:53" ht="16" thickBot="1" x14ac:dyDescent="0.25">
      <c r="A57" s="25">
        <v>43</v>
      </c>
      <c r="B57" s="26">
        <v>45342</v>
      </c>
      <c r="C57" s="27" t="s">
        <v>232</v>
      </c>
      <c r="D57" s="25"/>
      <c r="E57" s="28"/>
      <c r="F57" s="27"/>
      <c r="G57" s="28"/>
      <c r="H57" s="27"/>
      <c r="I57" s="28"/>
      <c r="J57" s="174" t="s">
        <v>210</v>
      </c>
      <c r="K57" s="29" t="s">
        <v>35</v>
      </c>
      <c r="L57" s="39"/>
      <c r="M57" s="31"/>
      <c r="N57" s="27" t="s">
        <v>272</v>
      </c>
      <c r="P57" s="32"/>
      <c r="Q57" s="25"/>
      <c r="R57" s="27"/>
      <c r="S57" s="27"/>
      <c r="T57" s="28"/>
      <c r="U57" s="27" t="s">
        <v>273</v>
      </c>
      <c r="V57" s="27"/>
      <c r="W57" s="28" t="s">
        <v>273</v>
      </c>
      <c r="X57" s="33"/>
      <c r="Y57" s="32"/>
      <c r="Z57" s="25"/>
      <c r="AA57" s="27"/>
      <c r="AB57" s="28"/>
      <c r="AC57" s="27"/>
      <c r="AD57" s="27"/>
      <c r="AE57" s="33"/>
      <c r="AG57" s="25"/>
      <c r="AH57" s="34"/>
      <c r="AI57" s="27"/>
      <c r="AJ57" s="27"/>
      <c r="AK57" s="27"/>
      <c r="AL57" s="25"/>
      <c r="AM57" s="34"/>
      <c r="AN57" s="27">
        <v>0.1</v>
      </c>
      <c r="AO57" s="27">
        <v>0.1</v>
      </c>
      <c r="AP57" s="36">
        <v>0.1</v>
      </c>
      <c r="AQ57" s="37"/>
      <c r="AR57" s="32"/>
      <c r="AS57" s="25" t="s">
        <v>79</v>
      </c>
      <c r="AT57" s="27" t="s">
        <v>52</v>
      </c>
      <c r="AU57" s="27"/>
      <c r="AW57" s="25"/>
      <c r="AX57" s="27"/>
      <c r="AY57" s="27"/>
      <c r="AZ57" s="32"/>
      <c r="BA57" s="41">
        <v>5</v>
      </c>
    </row>
    <row r="58" spans="1:53" ht="16" thickBot="1" x14ac:dyDescent="0.25">
      <c r="A58" s="25">
        <v>44</v>
      </c>
      <c r="B58" s="26">
        <v>45343</v>
      </c>
      <c r="C58" s="27" t="s">
        <v>227</v>
      </c>
      <c r="D58" s="25"/>
      <c r="E58" s="28"/>
      <c r="F58" s="27"/>
      <c r="G58" s="28"/>
      <c r="H58" s="27"/>
      <c r="I58" s="28"/>
      <c r="J58" s="174" t="s">
        <v>210</v>
      </c>
      <c r="K58" s="29" t="s">
        <v>35</v>
      </c>
      <c r="L58" s="39" t="s">
        <v>308</v>
      </c>
      <c r="M58" s="153" t="s">
        <v>81</v>
      </c>
      <c r="N58" s="27" t="s">
        <v>272</v>
      </c>
      <c r="P58" s="32"/>
      <c r="Q58" s="27"/>
      <c r="R58" s="27"/>
      <c r="S58" s="27"/>
      <c r="T58" s="28"/>
      <c r="U58" s="27"/>
      <c r="V58" s="27"/>
      <c r="W58" s="28"/>
      <c r="X58" s="33"/>
      <c r="Y58" s="32"/>
      <c r="Z58" s="59"/>
      <c r="AA58" s="60"/>
      <c r="AB58" s="61"/>
      <c r="AC58" s="27"/>
      <c r="AD58" s="27"/>
      <c r="AE58" s="33"/>
      <c r="AG58" s="25"/>
      <c r="AH58" s="34"/>
      <c r="AI58" s="27"/>
      <c r="AJ58" s="27"/>
      <c r="AK58" s="27"/>
      <c r="AL58" s="25"/>
      <c r="AM58" s="34"/>
      <c r="AN58" s="27">
        <v>0.2</v>
      </c>
      <c r="AO58" s="27">
        <v>0.2</v>
      </c>
      <c r="AP58" s="36">
        <v>0.2</v>
      </c>
      <c r="AQ58" s="37"/>
      <c r="AR58" s="32"/>
      <c r="AS58" s="25" t="s">
        <v>79</v>
      </c>
      <c r="AT58" s="27" t="s">
        <v>52</v>
      </c>
      <c r="AU58" s="58" t="s">
        <v>81</v>
      </c>
      <c r="AW58" s="25"/>
      <c r="AX58" s="27"/>
      <c r="AY58" s="27"/>
      <c r="AZ58" s="32"/>
      <c r="BA58" s="41"/>
    </row>
    <row r="59" spans="1:53" x14ac:dyDescent="0.2">
      <c r="A59" s="25">
        <v>45</v>
      </c>
      <c r="B59" s="26">
        <v>45344</v>
      </c>
      <c r="C59" s="27"/>
      <c r="D59" s="25"/>
      <c r="E59" s="28"/>
      <c r="F59" s="27"/>
      <c r="G59" s="28"/>
      <c r="H59" s="27"/>
      <c r="I59" s="28"/>
      <c r="J59" s="174" t="s">
        <v>210</v>
      </c>
      <c r="K59" s="29" t="s">
        <v>35</v>
      </c>
      <c r="L59" s="39"/>
      <c r="M59" s="31"/>
      <c r="N59" s="27" t="s">
        <v>272</v>
      </c>
      <c r="P59" s="32"/>
      <c r="Q59" s="25"/>
      <c r="R59" s="27"/>
      <c r="S59" s="27"/>
      <c r="T59" s="28"/>
      <c r="U59" s="27"/>
      <c r="V59" s="27"/>
      <c r="W59" s="28"/>
      <c r="X59" s="33"/>
      <c r="Y59" s="32"/>
      <c r="Z59" s="25"/>
      <c r="AA59" s="27"/>
      <c r="AB59" s="28"/>
      <c r="AC59" s="27"/>
      <c r="AD59" s="27"/>
      <c r="AE59" s="33"/>
      <c r="AG59" s="25"/>
      <c r="AH59" s="34"/>
      <c r="AI59" s="27"/>
      <c r="AJ59" s="27"/>
      <c r="AK59" s="27"/>
      <c r="AL59" s="25"/>
      <c r="AM59" s="34"/>
      <c r="AN59" s="27">
        <v>0.2</v>
      </c>
      <c r="AO59" s="27">
        <v>0.2</v>
      </c>
      <c r="AP59" s="36">
        <v>0.2</v>
      </c>
      <c r="AQ59" s="37"/>
      <c r="AR59" s="32"/>
      <c r="AS59" s="25" t="s">
        <v>82</v>
      </c>
      <c r="AT59" s="27" t="s">
        <v>52</v>
      </c>
      <c r="AW59" s="25"/>
      <c r="AX59" s="27"/>
      <c r="AY59" s="27"/>
      <c r="AZ59" s="32"/>
      <c r="BA59" s="41"/>
    </row>
    <row r="60" spans="1:53" x14ac:dyDescent="0.2">
      <c r="A60" s="25">
        <v>46</v>
      </c>
      <c r="B60" s="26">
        <v>45345</v>
      </c>
      <c r="C60" s="27"/>
      <c r="D60" s="25"/>
      <c r="E60" s="28"/>
      <c r="F60" s="27"/>
      <c r="G60" s="28"/>
      <c r="H60" s="27"/>
      <c r="I60" s="28"/>
      <c r="J60" s="174" t="s">
        <v>210</v>
      </c>
      <c r="K60" s="29" t="s">
        <v>35</v>
      </c>
      <c r="L60" s="39"/>
      <c r="M60" s="31"/>
      <c r="N60" s="27" t="s">
        <v>272</v>
      </c>
      <c r="P60" s="32"/>
      <c r="Q60" s="25"/>
      <c r="R60" s="27"/>
      <c r="S60" s="27"/>
      <c r="T60" s="28"/>
      <c r="U60" s="27"/>
      <c r="V60" s="27"/>
      <c r="W60" s="28"/>
      <c r="X60" s="33"/>
      <c r="Y60" s="32"/>
      <c r="Z60" s="25"/>
      <c r="AA60" s="27"/>
      <c r="AB60" s="28"/>
      <c r="AC60" s="27"/>
      <c r="AD60" s="27"/>
      <c r="AE60" s="33"/>
      <c r="AG60" s="25"/>
      <c r="AH60" s="34"/>
      <c r="AI60" s="27"/>
      <c r="AJ60" s="27"/>
      <c r="AK60" s="27"/>
      <c r="AL60" s="25"/>
      <c r="AM60" s="34"/>
      <c r="AN60" s="27">
        <v>0.2</v>
      </c>
      <c r="AO60" s="27">
        <v>0.2</v>
      </c>
      <c r="AP60" s="36">
        <v>0.2</v>
      </c>
      <c r="AQ60" s="37"/>
      <c r="AR60" s="32"/>
      <c r="AS60" s="25" t="s">
        <v>82</v>
      </c>
      <c r="AT60" s="27" t="s">
        <v>52</v>
      </c>
      <c r="AU60" s="27"/>
      <c r="AW60" s="25"/>
      <c r="AX60" s="27"/>
      <c r="AY60" s="27"/>
      <c r="AZ60" s="32"/>
      <c r="BA60" s="41"/>
    </row>
    <row r="61" spans="1:53" x14ac:dyDescent="0.2">
      <c r="A61" s="25">
        <v>47</v>
      </c>
      <c r="B61" s="26">
        <v>45346</v>
      </c>
      <c r="C61" s="27"/>
      <c r="D61" s="25"/>
      <c r="E61" s="28"/>
      <c r="F61" s="27"/>
      <c r="G61" s="28"/>
      <c r="H61" s="27"/>
      <c r="I61" s="28"/>
      <c r="J61" s="174" t="s">
        <v>210</v>
      </c>
      <c r="K61" s="29" t="s">
        <v>35</v>
      </c>
      <c r="L61" s="39"/>
      <c r="M61" s="31"/>
      <c r="N61" s="27" t="s">
        <v>272</v>
      </c>
      <c r="P61" s="32"/>
      <c r="Q61" s="25"/>
      <c r="R61" s="27"/>
      <c r="S61" s="27"/>
      <c r="T61" s="28"/>
      <c r="U61" s="27"/>
      <c r="V61" s="27"/>
      <c r="W61" s="28"/>
      <c r="X61" s="33"/>
      <c r="Y61" s="32"/>
      <c r="Z61" s="25"/>
      <c r="AA61" s="27"/>
      <c r="AB61" s="28"/>
      <c r="AC61" s="27"/>
      <c r="AD61" s="27"/>
      <c r="AE61" s="33"/>
      <c r="AG61" s="25"/>
      <c r="AH61" s="34"/>
      <c r="AI61" s="27"/>
      <c r="AJ61" s="27"/>
      <c r="AK61" s="27"/>
      <c r="AL61" s="25"/>
      <c r="AM61" s="34"/>
      <c r="AN61" s="27">
        <v>0.2</v>
      </c>
      <c r="AO61" s="27">
        <v>0.2</v>
      </c>
      <c r="AP61" s="36">
        <v>0.2</v>
      </c>
      <c r="AQ61" s="37"/>
      <c r="AR61" s="32"/>
      <c r="AS61" s="25" t="s">
        <v>82</v>
      </c>
      <c r="AT61" s="27" t="s">
        <v>52</v>
      </c>
      <c r="AU61" s="27"/>
      <c r="AW61" s="25"/>
      <c r="AX61" s="27"/>
      <c r="AY61" s="27"/>
      <c r="AZ61" s="32"/>
      <c r="BA61" s="41"/>
    </row>
    <row r="62" spans="1:53" x14ac:dyDescent="0.2">
      <c r="A62" s="25">
        <v>48</v>
      </c>
      <c r="B62" s="26">
        <v>45347</v>
      </c>
      <c r="C62" s="27"/>
      <c r="D62" s="25"/>
      <c r="E62" s="28"/>
      <c r="F62" s="27"/>
      <c r="G62" s="28"/>
      <c r="H62" s="27"/>
      <c r="I62" s="28"/>
      <c r="J62" s="174" t="s">
        <v>210</v>
      </c>
      <c r="K62" s="29" t="s">
        <v>35</v>
      </c>
      <c r="M62" s="31"/>
      <c r="N62" s="27" t="s">
        <v>272</v>
      </c>
      <c r="P62" s="32"/>
      <c r="Q62" s="25"/>
      <c r="R62" s="27"/>
      <c r="S62" s="27"/>
      <c r="T62" s="28"/>
      <c r="U62" s="27"/>
      <c r="V62" s="27"/>
      <c r="W62" s="28"/>
      <c r="X62" s="33"/>
      <c r="Y62" s="32"/>
      <c r="Z62" s="25"/>
      <c r="AA62" s="27"/>
      <c r="AB62" s="28"/>
      <c r="AC62" s="27"/>
      <c r="AD62" s="27"/>
      <c r="AE62" s="33"/>
      <c r="AG62" s="25"/>
      <c r="AH62" s="34"/>
      <c r="AI62" s="27"/>
      <c r="AJ62" s="27"/>
      <c r="AK62" s="27"/>
      <c r="AL62" s="25"/>
      <c r="AM62" s="34"/>
      <c r="AN62" s="27">
        <v>0.2</v>
      </c>
      <c r="AO62" s="27">
        <v>0.2</v>
      </c>
      <c r="AP62" s="36">
        <v>0.2</v>
      </c>
      <c r="AQ62" s="37"/>
      <c r="AR62" s="32"/>
      <c r="AS62" s="25" t="s">
        <v>82</v>
      </c>
      <c r="AT62" s="27" t="s">
        <v>52</v>
      </c>
      <c r="AU62" s="27"/>
      <c r="AW62" s="25"/>
      <c r="AX62" s="27"/>
      <c r="AY62" s="27"/>
      <c r="AZ62" s="32"/>
      <c r="BA62" s="41"/>
    </row>
    <row r="63" spans="1:53" ht="16" thickBot="1" x14ac:dyDescent="0.25">
      <c r="A63" s="25">
        <v>49</v>
      </c>
      <c r="B63" s="26">
        <v>45348</v>
      </c>
      <c r="C63" s="27"/>
      <c r="D63" s="25"/>
      <c r="E63" s="28"/>
      <c r="F63" s="27"/>
      <c r="G63" s="28"/>
      <c r="H63" s="27"/>
      <c r="I63" s="28"/>
      <c r="J63" s="174" t="s">
        <v>210</v>
      </c>
      <c r="K63" s="29" t="s">
        <v>35</v>
      </c>
      <c r="L63" s="39"/>
      <c r="M63" s="31"/>
      <c r="N63" s="27" t="s">
        <v>272</v>
      </c>
      <c r="P63" s="32"/>
      <c r="Q63" s="25"/>
      <c r="R63" s="27"/>
      <c r="S63" s="27"/>
      <c r="T63" s="28"/>
      <c r="U63" s="27"/>
      <c r="V63" s="27"/>
      <c r="W63" s="28"/>
      <c r="X63" s="33"/>
      <c r="Y63" s="32"/>
      <c r="Z63" s="25"/>
      <c r="AA63" s="27"/>
      <c r="AB63" s="28"/>
      <c r="AC63" s="27"/>
      <c r="AD63" s="27"/>
      <c r="AE63" s="33"/>
      <c r="AG63" s="25"/>
      <c r="AH63" s="34"/>
      <c r="AI63" s="27"/>
      <c r="AJ63" s="27"/>
      <c r="AK63" s="27"/>
      <c r="AL63" s="25"/>
      <c r="AM63" s="34"/>
      <c r="AN63" s="27">
        <v>0.2</v>
      </c>
      <c r="AO63" s="27">
        <v>0.2</v>
      </c>
      <c r="AP63" s="36">
        <v>0.2</v>
      </c>
      <c r="AQ63" s="37"/>
      <c r="AR63" s="32"/>
      <c r="AS63" s="25" t="s">
        <v>82</v>
      </c>
      <c r="AT63" s="27" t="s">
        <v>52</v>
      </c>
      <c r="AU63" s="27"/>
      <c r="AW63" s="25"/>
      <c r="AX63" s="27"/>
      <c r="AY63" s="27"/>
      <c r="AZ63" s="32"/>
      <c r="BA63" s="41"/>
    </row>
    <row r="64" spans="1:53" ht="16" thickBot="1" x14ac:dyDescent="0.25">
      <c r="A64" s="25">
        <v>50</v>
      </c>
      <c r="B64" s="26">
        <v>45349</v>
      </c>
      <c r="C64" s="27"/>
      <c r="D64" s="25"/>
      <c r="E64" s="28"/>
      <c r="F64" s="27"/>
      <c r="G64" s="28"/>
      <c r="H64" s="27"/>
      <c r="I64" s="28"/>
      <c r="J64" s="174" t="s">
        <v>210</v>
      </c>
      <c r="K64" s="29" t="s">
        <v>35</v>
      </c>
      <c r="L64" s="44" t="s">
        <v>83</v>
      </c>
      <c r="M64" s="153" t="s">
        <v>174</v>
      </c>
      <c r="N64" s="27" t="s">
        <v>272</v>
      </c>
      <c r="O64" s="45" t="s">
        <v>84</v>
      </c>
      <c r="P64" s="46" t="s">
        <v>222</v>
      </c>
      <c r="Q64" s="25"/>
      <c r="R64" s="27"/>
      <c r="S64" s="27"/>
      <c r="T64" s="28"/>
      <c r="U64" s="27"/>
      <c r="V64" s="27"/>
      <c r="W64" s="28"/>
      <c r="X64" s="33"/>
      <c r="Y64" s="32"/>
      <c r="Z64" s="25"/>
      <c r="AA64" s="27"/>
      <c r="AB64" s="28"/>
      <c r="AC64" s="27"/>
      <c r="AD64" s="27"/>
      <c r="AE64" s="33"/>
      <c r="AG64" s="25"/>
      <c r="AH64" s="34"/>
      <c r="AI64" s="27"/>
      <c r="AJ64" s="27"/>
      <c r="AK64" s="27"/>
      <c r="AL64" s="25"/>
      <c r="AM64" s="34"/>
      <c r="AN64" s="27">
        <v>0.2</v>
      </c>
      <c r="AO64" s="27">
        <v>0.2</v>
      </c>
      <c r="AP64" s="36">
        <v>0.2</v>
      </c>
      <c r="AQ64" s="37"/>
      <c r="AR64" s="32"/>
      <c r="AS64" s="25" t="s">
        <v>86</v>
      </c>
      <c r="AT64" s="27" t="s">
        <v>87</v>
      </c>
      <c r="AU64" s="58" t="s">
        <v>88</v>
      </c>
      <c r="AW64" s="25"/>
      <c r="AX64" s="27"/>
      <c r="AY64" s="27"/>
      <c r="AZ64" s="32"/>
      <c r="BA64" s="41"/>
    </row>
    <row r="65" spans="1:53" ht="16" thickBot="1" x14ac:dyDescent="0.25">
      <c r="A65" s="25">
        <v>51</v>
      </c>
      <c r="B65" s="26">
        <v>45350</v>
      </c>
      <c r="C65" s="27"/>
      <c r="D65" s="25"/>
      <c r="E65" s="28"/>
      <c r="F65" s="27"/>
      <c r="G65" s="28"/>
      <c r="H65" s="27"/>
      <c r="I65" s="28"/>
      <c r="J65" s="27">
        <v>8</v>
      </c>
      <c r="K65" s="29" t="s">
        <v>35</v>
      </c>
      <c r="L65" s="88" t="s">
        <v>89</v>
      </c>
      <c r="M65" s="31"/>
      <c r="N65" s="27"/>
      <c r="P65" s="46"/>
      <c r="Q65" s="27"/>
      <c r="R65" s="27"/>
      <c r="S65" s="27"/>
      <c r="T65" s="28"/>
      <c r="U65" s="27"/>
      <c r="V65" s="27"/>
      <c r="W65" s="28"/>
      <c r="X65" s="33"/>
      <c r="Y65" s="32"/>
      <c r="Z65" s="25"/>
      <c r="AA65" s="27"/>
      <c r="AB65" s="28"/>
      <c r="AC65" s="27"/>
      <c r="AD65" s="27"/>
      <c r="AE65" s="33"/>
      <c r="AG65" s="25"/>
      <c r="AH65" s="34"/>
      <c r="AI65" s="27"/>
      <c r="AJ65" s="27"/>
      <c r="AK65" s="27"/>
      <c r="AL65" s="25"/>
      <c r="AM65" s="34"/>
      <c r="AN65" s="27">
        <v>0.2</v>
      </c>
      <c r="AO65" s="27">
        <v>0.2</v>
      </c>
      <c r="AP65" s="36">
        <v>0.2</v>
      </c>
      <c r="AQ65" s="37"/>
      <c r="AR65" s="32"/>
      <c r="AS65" s="25" t="s">
        <v>86</v>
      </c>
      <c r="AT65" s="27" t="s">
        <v>87</v>
      </c>
      <c r="AU65" s="27"/>
      <c r="AW65" s="25"/>
      <c r="AX65" s="27"/>
      <c r="AY65" s="27"/>
      <c r="AZ65" s="32"/>
      <c r="BA65" s="41"/>
    </row>
    <row r="66" spans="1:53" ht="16" thickBot="1" x14ac:dyDescent="0.25">
      <c r="A66" s="25">
        <v>52</v>
      </c>
      <c r="B66" s="26">
        <v>45351</v>
      </c>
      <c r="C66" s="27"/>
      <c r="D66" s="25"/>
      <c r="E66" s="28"/>
      <c r="F66" s="27"/>
      <c r="G66" s="28"/>
      <c r="H66" s="27"/>
      <c r="I66" s="28"/>
      <c r="J66" s="27">
        <v>8</v>
      </c>
      <c r="K66" s="29" t="s">
        <v>35</v>
      </c>
      <c r="L66" s="39"/>
      <c r="M66" s="31"/>
      <c r="N66" s="27"/>
      <c r="P66" s="32"/>
      <c r="Q66" s="25"/>
      <c r="R66" s="27"/>
      <c r="S66" s="27"/>
      <c r="T66" s="28"/>
      <c r="U66" s="27"/>
      <c r="V66" s="27"/>
      <c r="W66" s="28"/>
      <c r="X66" s="33"/>
      <c r="Y66" s="32"/>
      <c r="Z66" s="25"/>
      <c r="AA66" s="27"/>
      <c r="AB66" s="28"/>
      <c r="AC66" s="27"/>
      <c r="AD66" s="27"/>
      <c r="AE66" s="33"/>
      <c r="AG66" s="25"/>
      <c r="AH66" s="34"/>
      <c r="AI66" s="27"/>
      <c r="AJ66" s="27"/>
      <c r="AK66" s="27"/>
      <c r="AL66" s="25"/>
      <c r="AM66" s="34"/>
      <c r="AN66" s="27">
        <v>0.2</v>
      </c>
      <c r="AO66" s="27">
        <v>0.2</v>
      </c>
      <c r="AP66" s="36">
        <v>0.2</v>
      </c>
      <c r="AQ66" s="37"/>
      <c r="AR66" s="32"/>
      <c r="AS66" s="25" t="s">
        <v>86</v>
      </c>
      <c r="AT66" s="27" t="s">
        <v>87</v>
      </c>
      <c r="AW66" s="25"/>
      <c r="AX66" s="27"/>
      <c r="AY66" s="27"/>
      <c r="AZ66" s="32"/>
      <c r="BA66" s="41"/>
    </row>
    <row r="67" spans="1:53" ht="16" thickBot="1" x14ac:dyDescent="0.25">
      <c r="A67" s="25">
        <v>53</v>
      </c>
      <c r="B67" s="26">
        <v>45352</v>
      </c>
      <c r="C67" s="27"/>
      <c r="D67" s="25"/>
      <c r="E67" s="28"/>
      <c r="F67" s="27"/>
      <c r="G67" s="28"/>
      <c r="H67" s="27"/>
      <c r="I67" s="28"/>
      <c r="J67" s="27">
        <v>8</v>
      </c>
      <c r="K67" s="29" t="s">
        <v>35</v>
      </c>
      <c r="L67" s="39"/>
      <c r="M67" s="153" t="s">
        <v>175</v>
      </c>
      <c r="N67" s="27"/>
      <c r="P67" s="32"/>
      <c r="Q67" s="25"/>
      <c r="R67" s="27"/>
      <c r="S67" s="27"/>
      <c r="T67" s="28"/>
      <c r="U67" s="27"/>
      <c r="V67" s="27"/>
      <c r="W67" s="28"/>
      <c r="X67" s="33"/>
      <c r="Y67" s="32"/>
      <c r="Z67" s="25"/>
      <c r="AA67" s="27"/>
      <c r="AB67" s="28"/>
      <c r="AC67" s="27"/>
      <c r="AD67" s="27"/>
      <c r="AE67" s="33"/>
      <c r="AG67" s="25"/>
      <c r="AH67" s="34"/>
      <c r="AI67" s="27"/>
      <c r="AJ67" s="27"/>
      <c r="AK67" s="27"/>
      <c r="AL67" s="25"/>
      <c r="AM67" s="34"/>
      <c r="AN67" s="27">
        <v>0.2</v>
      </c>
      <c r="AO67" s="27">
        <v>0.2</v>
      </c>
      <c r="AP67" s="36">
        <v>0.2</v>
      </c>
      <c r="AQ67" s="37"/>
      <c r="AR67" s="32"/>
      <c r="AS67" s="25" t="s">
        <v>86</v>
      </c>
      <c r="AT67" s="27" t="s">
        <v>87</v>
      </c>
      <c r="AU67" s="27"/>
      <c r="AW67" s="25" t="s">
        <v>90</v>
      </c>
      <c r="AX67" s="27" t="s">
        <v>91</v>
      </c>
      <c r="AY67" s="89" t="s">
        <v>92</v>
      </c>
      <c r="AZ67" s="32"/>
      <c r="BA67" s="41"/>
    </row>
    <row r="68" spans="1:53" ht="16" thickBot="1" x14ac:dyDescent="0.25">
      <c r="A68" s="25">
        <v>54</v>
      </c>
      <c r="B68" s="26">
        <v>45353</v>
      </c>
      <c r="C68" s="27"/>
      <c r="D68" s="25"/>
      <c r="E68" s="28"/>
      <c r="F68" s="27"/>
      <c r="G68" s="28"/>
      <c r="H68" s="27"/>
      <c r="I68" s="28"/>
      <c r="J68" s="27">
        <v>8</v>
      </c>
      <c r="K68" s="29" t="s">
        <v>35</v>
      </c>
      <c r="L68" s="39"/>
      <c r="M68" s="31"/>
      <c r="N68" s="27"/>
      <c r="P68" s="32"/>
      <c r="Q68" s="25"/>
      <c r="R68" s="27"/>
      <c r="S68" s="27"/>
      <c r="T68" s="28"/>
      <c r="U68" s="27"/>
      <c r="V68" s="27"/>
      <c r="W68" s="28"/>
      <c r="X68" s="33"/>
      <c r="Y68" s="32"/>
      <c r="Z68" s="25"/>
      <c r="AA68" s="27"/>
      <c r="AB68" s="28"/>
      <c r="AC68" s="27"/>
      <c r="AD68" s="27"/>
      <c r="AE68" s="33"/>
      <c r="AG68" s="25"/>
      <c r="AH68" s="34"/>
      <c r="AI68" s="27"/>
      <c r="AJ68" s="27"/>
      <c r="AK68" s="27"/>
      <c r="AL68" s="25"/>
      <c r="AM68" s="34"/>
      <c r="AN68" s="27">
        <v>0.2</v>
      </c>
      <c r="AO68" s="27">
        <v>0.2</v>
      </c>
      <c r="AP68" s="36">
        <v>0.2</v>
      </c>
      <c r="AQ68" s="37"/>
      <c r="AR68" s="32"/>
      <c r="AS68" s="25" t="s">
        <v>86</v>
      </c>
      <c r="AT68" s="27" t="s">
        <v>87</v>
      </c>
      <c r="AU68" s="27"/>
      <c r="AW68" s="25" t="s">
        <v>90</v>
      </c>
      <c r="AX68" s="27" t="s">
        <v>91</v>
      </c>
      <c r="AY68" s="27"/>
      <c r="AZ68" s="32"/>
      <c r="BA68" s="41"/>
    </row>
    <row r="69" spans="1:53" ht="16" thickBot="1" x14ac:dyDescent="0.25">
      <c r="A69" s="25">
        <v>55</v>
      </c>
      <c r="B69" s="26">
        <v>45354</v>
      </c>
      <c r="C69" s="27"/>
      <c r="D69" s="25"/>
      <c r="E69" s="28"/>
      <c r="F69" s="27"/>
      <c r="G69" s="28"/>
      <c r="H69" s="27"/>
      <c r="I69" s="28"/>
      <c r="J69" s="27">
        <v>8</v>
      </c>
      <c r="K69" s="29" t="s">
        <v>35</v>
      </c>
      <c r="L69" s="39"/>
      <c r="M69" s="31"/>
      <c r="N69" s="27"/>
      <c r="P69" s="32"/>
      <c r="Q69" s="25"/>
      <c r="R69" s="27"/>
      <c r="S69" s="27"/>
      <c r="T69" s="28"/>
      <c r="U69" s="27"/>
      <c r="V69" s="27"/>
      <c r="W69" s="28"/>
      <c r="X69" s="33"/>
      <c r="Y69" s="32"/>
      <c r="Z69" s="25"/>
      <c r="AA69" s="27"/>
      <c r="AB69" s="28"/>
      <c r="AC69" s="27"/>
      <c r="AD69" s="27"/>
      <c r="AE69" s="33"/>
      <c r="AG69" s="25"/>
      <c r="AH69" s="34"/>
      <c r="AI69" s="27"/>
      <c r="AJ69" s="27"/>
      <c r="AK69" s="27"/>
      <c r="AL69" s="25"/>
      <c r="AM69" s="34"/>
      <c r="AN69" s="27">
        <v>0.2</v>
      </c>
      <c r="AO69" s="27">
        <v>0.2</v>
      </c>
      <c r="AP69" s="36">
        <v>0.2</v>
      </c>
      <c r="AQ69" s="82" t="s">
        <v>93</v>
      </c>
      <c r="AR69" s="32"/>
      <c r="AS69" s="25" t="s">
        <v>86</v>
      </c>
      <c r="AT69" s="27" t="s">
        <v>87</v>
      </c>
      <c r="AW69" s="25" t="s">
        <v>90</v>
      </c>
      <c r="AX69" s="27" t="s">
        <v>91</v>
      </c>
      <c r="AY69" s="27"/>
      <c r="AZ69" s="32"/>
      <c r="BA69" s="41"/>
    </row>
    <row r="70" spans="1:53" x14ac:dyDescent="0.2">
      <c r="A70" s="25">
        <v>56</v>
      </c>
      <c r="B70" s="26">
        <v>45355</v>
      </c>
      <c r="C70" s="27"/>
      <c r="D70" s="25"/>
      <c r="E70" s="28"/>
      <c r="F70" s="27"/>
      <c r="G70" s="28"/>
      <c r="H70" s="27"/>
      <c r="I70" s="28"/>
      <c r="J70" s="27">
        <v>8</v>
      </c>
      <c r="K70" s="29" t="s">
        <v>35</v>
      </c>
      <c r="L70" s="39"/>
      <c r="M70" s="31"/>
      <c r="N70" s="27"/>
      <c r="P70" s="32"/>
      <c r="Q70" s="25"/>
      <c r="R70" s="27"/>
      <c r="S70" s="27"/>
      <c r="T70" s="28"/>
      <c r="U70" s="27"/>
      <c r="V70" s="27"/>
      <c r="W70" s="28"/>
      <c r="X70" s="33"/>
      <c r="Y70" s="32"/>
      <c r="Z70" s="25"/>
      <c r="AA70" s="27"/>
      <c r="AB70" s="28"/>
      <c r="AC70" s="27"/>
      <c r="AD70" s="27"/>
      <c r="AE70" s="33"/>
      <c r="AG70" s="25"/>
      <c r="AH70" s="34"/>
      <c r="AI70" s="27"/>
      <c r="AJ70" s="27"/>
      <c r="AK70" s="27"/>
      <c r="AL70" s="25"/>
      <c r="AM70" s="34"/>
      <c r="AN70" s="27"/>
      <c r="AO70" s="27"/>
      <c r="AP70" s="36"/>
      <c r="AQ70" s="37"/>
      <c r="AR70" s="32"/>
      <c r="AS70" s="25" t="s">
        <v>86</v>
      </c>
      <c r="AT70" s="27" t="s">
        <v>87</v>
      </c>
      <c r="AU70" s="27"/>
      <c r="AW70" s="25" t="s">
        <v>90</v>
      </c>
      <c r="AX70" s="27" t="s">
        <v>91</v>
      </c>
      <c r="AY70" s="27"/>
      <c r="AZ70" s="32"/>
      <c r="BA70" s="41"/>
    </row>
    <row r="71" spans="1:53" ht="16" thickBot="1" x14ac:dyDescent="0.25">
      <c r="A71" s="25">
        <v>57</v>
      </c>
      <c r="B71" s="26">
        <v>45356</v>
      </c>
      <c r="C71" s="27"/>
      <c r="D71" s="25"/>
      <c r="E71" s="28"/>
      <c r="F71" s="27"/>
      <c r="G71" s="28"/>
      <c r="H71" s="27"/>
      <c r="I71" s="28"/>
      <c r="J71" s="27">
        <v>8</v>
      </c>
      <c r="K71" s="29" t="s">
        <v>35</v>
      </c>
      <c r="L71" s="39"/>
      <c r="M71" s="31"/>
      <c r="N71" s="27"/>
      <c r="P71" s="32"/>
      <c r="Q71" s="25"/>
      <c r="R71" s="27"/>
      <c r="S71" s="27"/>
      <c r="T71" s="28"/>
      <c r="U71" s="27"/>
      <c r="V71" s="27"/>
      <c r="W71" s="28"/>
      <c r="X71" s="33"/>
      <c r="Y71" s="32"/>
      <c r="Z71" s="25"/>
      <c r="AA71" s="27"/>
      <c r="AB71" s="28"/>
      <c r="AC71" s="27"/>
      <c r="AD71" s="27"/>
      <c r="AE71" s="33"/>
      <c r="AG71" s="25"/>
      <c r="AH71" s="34"/>
      <c r="AI71" s="27"/>
      <c r="AJ71" s="27"/>
      <c r="AK71" s="27"/>
      <c r="AL71" s="25"/>
      <c r="AM71" s="34"/>
      <c r="AN71" s="27"/>
      <c r="AO71" s="27"/>
      <c r="AP71" s="36"/>
      <c r="AQ71" s="37"/>
      <c r="AR71" s="32"/>
      <c r="AS71" s="25" t="s">
        <v>86</v>
      </c>
      <c r="AT71" s="27" t="s">
        <v>87</v>
      </c>
      <c r="AU71" s="27"/>
      <c r="AW71" s="25" t="s">
        <v>90</v>
      </c>
      <c r="AX71" s="27" t="s">
        <v>91</v>
      </c>
      <c r="AY71" s="27"/>
      <c r="AZ71" s="32"/>
      <c r="BA71" s="41"/>
    </row>
    <row r="72" spans="1:53" ht="16" thickBot="1" x14ac:dyDescent="0.25">
      <c r="A72" s="25">
        <v>58</v>
      </c>
      <c r="B72" s="26">
        <v>45357</v>
      </c>
      <c r="C72" s="27"/>
      <c r="D72" s="25"/>
      <c r="E72" s="28"/>
      <c r="F72" s="27"/>
      <c r="G72" s="28"/>
      <c r="H72" s="27"/>
      <c r="I72" s="28"/>
      <c r="J72" s="27">
        <v>8</v>
      </c>
      <c r="K72" s="29" t="s">
        <v>35</v>
      </c>
      <c r="L72" s="39"/>
      <c r="M72" s="31"/>
      <c r="N72" s="27"/>
      <c r="P72" s="32"/>
      <c r="Q72" s="25"/>
      <c r="R72" s="27"/>
      <c r="S72" s="27"/>
      <c r="T72" s="28"/>
      <c r="U72" s="27"/>
      <c r="V72" s="27"/>
      <c r="W72" s="28"/>
      <c r="X72" s="33"/>
      <c r="Y72" s="32"/>
      <c r="Z72" s="25"/>
      <c r="AA72" s="27"/>
      <c r="AB72" s="28"/>
      <c r="AC72" s="27"/>
      <c r="AD72" s="27"/>
      <c r="AE72" s="33"/>
      <c r="AG72" s="25"/>
      <c r="AH72" s="34"/>
      <c r="AI72" s="27"/>
      <c r="AJ72" s="27"/>
      <c r="AK72" s="27"/>
      <c r="AL72" s="25"/>
      <c r="AM72" s="34"/>
      <c r="AN72" s="27"/>
      <c r="AO72" s="27"/>
      <c r="AP72" s="36"/>
      <c r="AQ72" s="37"/>
      <c r="AR72" s="32"/>
      <c r="AS72" s="25" t="s">
        <v>86</v>
      </c>
      <c r="AT72" s="27" t="s">
        <v>87</v>
      </c>
      <c r="AU72" s="27"/>
      <c r="AW72" s="25" t="s">
        <v>90</v>
      </c>
      <c r="AX72" s="27" t="s">
        <v>91</v>
      </c>
      <c r="AY72" s="89" t="s">
        <v>94</v>
      </c>
      <c r="AZ72" s="32"/>
      <c r="BA72" s="41"/>
    </row>
    <row r="73" spans="1:53" ht="16" thickBot="1" x14ac:dyDescent="0.25">
      <c r="A73" s="25">
        <v>59</v>
      </c>
      <c r="B73" s="26">
        <v>45358</v>
      </c>
      <c r="C73" s="27"/>
      <c r="D73" s="25"/>
      <c r="E73" s="28"/>
      <c r="F73" s="27"/>
      <c r="G73" s="28"/>
      <c r="H73" s="27"/>
      <c r="I73" s="28"/>
      <c r="J73" s="27">
        <v>8</v>
      </c>
      <c r="K73" s="29" t="s">
        <v>35</v>
      </c>
      <c r="L73" s="39"/>
      <c r="M73" s="31"/>
      <c r="N73" s="27"/>
      <c r="P73" s="32"/>
      <c r="Q73" s="25"/>
      <c r="R73" s="27"/>
      <c r="S73" s="27"/>
      <c r="T73" s="28"/>
      <c r="U73" s="27"/>
      <c r="V73" s="27"/>
      <c r="W73" s="28"/>
      <c r="X73" s="33"/>
      <c r="Y73" s="32"/>
      <c r="Z73" s="25"/>
      <c r="AA73" s="27"/>
      <c r="AB73" s="28"/>
      <c r="AC73" s="27"/>
      <c r="AD73" s="27"/>
      <c r="AE73" s="33"/>
      <c r="AG73" s="25"/>
      <c r="AH73" s="34"/>
      <c r="AI73" s="27"/>
      <c r="AJ73" s="27"/>
      <c r="AK73" s="27"/>
      <c r="AL73" s="25"/>
      <c r="AM73" s="34"/>
      <c r="AN73" s="27"/>
      <c r="AO73" s="27"/>
      <c r="AP73" s="36"/>
      <c r="AQ73" s="37"/>
      <c r="AR73" s="32"/>
      <c r="AS73" s="25" t="s">
        <v>86</v>
      </c>
      <c r="AT73" s="27" t="s">
        <v>87</v>
      </c>
      <c r="AU73" s="27"/>
      <c r="AW73" s="25" t="s">
        <v>90</v>
      </c>
      <c r="AX73" s="27" t="s">
        <v>95</v>
      </c>
      <c r="AY73" s="27"/>
      <c r="AZ73" s="32"/>
      <c r="BA73" s="41"/>
    </row>
    <row r="74" spans="1:53" ht="16" thickBot="1" x14ac:dyDescent="0.25">
      <c r="A74" s="25">
        <v>60</v>
      </c>
      <c r="B74" s="26">
        <v>45359</v>
      </c>
      <c r="C74" s="27"/>
      <c r="D74" s="25"/>
      <c r="E74" s="28"/>
      <c r="F74" s="27"/>
      <c r="G74" s="28"/>
      <c r="H74" s="27"/>
      <c r="I74" s="28"/>
      <c r="J74" s="27">
        <v>8</v>
      </c>
      <c r="K74" s="29" t="s">
        <v>35</v>
      </c>
      <c r="L74" s="39"/>
      <c r="M74" s="31"/>
      <c r="N74" s="27"/>
      <c r="P74" s="32"/>
      <c r="Q74" s="25"/>
      <c r="R74" s="27"/>
      <c r="S74" s="27"/>
      <c r="T74" s="28"/>
      <c r="U74" s="27"/>
      <c r="V74" s="27"/>
      <c r="W74" s="28"/>
      <c r="X74" s="33"/>
      <c r="Y74" s="32"/>
      <c r="Z74" s="25"/>
      <c r="AA74" s="27"/>
      <c r="AB74" s="28"/>
      <c r="AC74" s="27"/>
      <c r="AD74" s="27"/>
      <c r="AE74" s="33"/>
      <c r="AG74" s="25"/>
      <c r="AH74" s="34"/>
      <c r="AI74" s="27"/>
      <c r="AJ74" s="27"/>
      <c r="AK74" s="27"/>
      <c r="AL74" s="25"/>
      <c r="AM74" s="34"/>
      <c r="AN74" s="27"/>
      <c r="AO74" s="27"/>
      <c r="AP74" s="36"/>
      <c r="AQ74" s="37"/>
      <c r="AR74" s="32"/>
      <c r="AS74" s="25" t="s">
        <v>96</v>
      </c>
      <c r="AT74" s="27" t="s">
        <v>87</v>
      </c>
      <c r="AU74" s="58" t="s">
        <v>97</v>
      </c>
      <c r="AW74" s="25" t="s">
        <v>90</v>
      </c>
      <c r="AX74" s="27" t="s">
        <v>95</v>
      </c>
      <c r="AY74" s="27"/>
      <c r="AZ74" s="32"/>
      <c r="BA74" s="41"/>
    </row>
    <row r="75" spans="1:53" x14ac:dyDescent="0.2">
      <c r="A75" s="25">
        <v>61</v>
      </c>
      <c r="B75" s="26">
        <v>45360</v>
      </c>
      <c r="C75" s="27"/>
      <c r="D75" s="25"/>
      <c r="E75" s="28"/>
      <c r="F75" s="27"/>
      <c r="G75" s="28"/>
      <c r="H75" s="27"/>
      <c r="I75" s="28"/>
      <c r="J75" s="27">
        <v>8</v>
      </c>
      <c r="K75" s="29" t="s">
        <v>35</v>
      </c>
      <c r="L75" s="39"/>
      <c r="M75" s="31"/>
      <c r="N75" s="27"/>
      <c r="P75" s="32"/>
      <c r="Q75" s="25"/>
      <c r="R75" s="27"/>
      <c r="S75" s="27"/>
      <c r="T75" s="28"/>
      <c r="U75" s="27"/>
      <c r="V75" s="27"/>
      <c r="W75" s="28"/>
      <c r="X75" s="33"/>
      <c r="Y75" s="32"/>
      <c r="Z75" s="25"/>
      <c r="AA75" s="27"/>
      <c r="AB75" s="28"/>
      <c r="AC75" s="27"/>
      <c r="AD75" s="27"/>
      <c r="AE75" s="33"/>
      <c r="AG75" s="25"/>
      <c r="AH75" s="34"/>
      <c r="AI75" s="27"/>
      <c r="AJ75" s="27"/>
      <c r="AK75" s="27"/>
      <c r="AL75" s="25"/>
      <c r="AM75" s="34"/>
      <c r="AN75" s="27"/>
      <c r="AO75" s="27"/>
      <c r="AP75" s="36"/>
      <c r="AQ75" s="37"/>
      <c r="AR75" s="32"/>
      <c r="AS75" s="25" t="s">
        <v>96</v>
      </c>
      <c r="AT75" s="27" t="s">
        <v>87</v>
      </c>
      <c r="AU75" s="27"/>
      <c r="AW75" s="25" t="s">
        <v>90</v>
      </c>
      <c r="AX75" s="27" t="s">
        <v>95</v>
      </c>
      <c r="AY75" s="27"/>
      <c r="AZ75" s="32"/>
      <c r="BA75" s="41"/>
    </row>
    <row r="76" spans="1:53" x14ac:dyDescent="0.2">
      <c r="A76" s="25">
        <v>62</v>
      </c>
      <c r="B76" s="26">
        <v>45361</v>
      </c>
      <c r="C76" s="27"/>
      <c r="D76" s="25"/>
      <c r="E76" s="28"/>
      <c r="F76" s="27"/>
      <c r="G76" s="28"/>
      <c r="H76" s="27"/>
      <c r="I76" s="28"/>
      <c r="J76" s="27">
        <v>8</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27"/>
      <c r="AW76" s="25" t="s">
        <v>90</v>
      </c>
      <c r="AX76" s="27" t="s">
        <v>95</v>
      </c>
      <c r="AY76" s="27"/>
      <c r="AZ76" s="32"/>
      <c r="BA76" s="41"/>
    </row>
    <row r="77" spans="1:53" x14ac:dyDescent="0.2">
      <c r="A77" s="25">
        <v>63</v>
      </c>
      <c r="B77" s="26">
        <v>45362</v>
      </c>
      <c r="C77" s="27"/>
      <c r="D77" s="25"/>
      <c r="E77" s="28"/>
      <c r="F77" s="27"/>
      <c r="G77" s="28"/>
      <c r="H77" s="27"/>
      <c r="I77" s="28"/>
      <c r="J77" s="27">
        <v>8</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64</v>
      </c>
      <c r="B78" s="26">
        <v>45363</v>
      </c>
      <c r="C78" s="27"/>
      <c r="D78" s="25"/>
      <c r="E78" s="28"/>
      <c r="F78" s="27"/>
      <c r="G78" s="28"/>
      <c r="H78" s="27"/>
      <c r="I78" s="28"/>
      <c r="J78" s="27">
        <v>8</v>
      </c>
      <c r="K78" s="29" t="s">
        <v>35</v>
      </c>
      <c r="L78" s="39"/>
      <c r="M78" s="31"/>
      <c r="N78" s="27"/>
      <c r="P78" s="32"/>
      <c r="Q78" s="25"/>
      <c r="R78" s="27"/>
      <c r="S78" s="27"/>
      <c r="T78" s="28"/>
      <c r="U78" s="27"/>
      <c r="V78" s="27"/>
      <c r="W78" s="28"/>
      <c r="X78" s="33"/>
      <c r="Y78" s="32"/>
      <c r="Z78" s="25"/>
      <c r="AA78" s="27"/>
      <c r="AB78" s="28"/>
      <c r="AC78" s="27"/>
      <c r="AD78" s="27"/>
      <c r="AE78" s="33"/>
      <c r="AG78" s="25"/>
      <c r="AH78" s="34"/>
      <c r="AI78" s="27"/>
      <c r="AJ78" s="27"/>
      <c r="AK78" s="27"/>
      <c r="AL78" s="25"/>
      <c r="AM78" s="34"/>
      <c r="AN78" s="27"/>
      <c r="AO78" s="27"/>
      <c r="AP78" s="36"/>
      <c r="AQ78" s="37"/>
      <c r="AR78" s="32"/>
      <c r="AS78" s="25" t="s">
        <v>96</v>
      </c>
      <c r="AT78" s="27" t="s">
        <v>87</v>
      </c>
      <c r="AU78" s="27"/>
      <c r="AW78" s="25" t="s">
        <v>90</v>
      </c>
      <c r="AX78" s="27" t="s">
        <v>95</v>
      </c>
      <c r="AY78" s="27"/>
      <c r="AZ78" s="32"/>
      <c r="BA78" s="41"/>
    </row>
    <row r="79" spans="1:53" x14ac:dyDescent="0.2">
      <c r="A79" s="25">
        <v>65</v>
      </c>
      <c r="B79" s="26">
        <v>45364</v>
      </c>
      <c r="C79" s="27"/>
      <c r="D79" s="25"/>
      <c r="E79" s="28"/>
      <c r="F79" s="27"/>
      <c r="G79" s="28"/>
      <c r="H79" s="27"/>
      <c r="I79" s="28"/>
      <c r="J79" s="27">
        <v>8</v>
      </c>
      <c r="K79" s="29" t="s">
        <v>35</v>
      </c>
      <c r="L79" s="39"/>
      <c r="M79" s="31"/>
      <c r="N79" s="27"/>
      <c r="P79" s="32"/>
      <c r="Q79" s="25"/>
      <c r="R79" s="27"/>
      <c r="S79" s="27"/>
      <c r="T79" s="28"/>
      <c r="U79" s="27"/>
      <c r="V79" s="27"/>
      <c r="W79" s="28"/>
      <c r="X79" s="33"/>
      <c r="Y79" s="32"/>
      <c r="Z79" s="25"/>
      <c r="AA79" s="27"/>
      <c r="AB79" s="28"/>
      <c r="AC79" s="27"/>
      <c r="AD79" s="27"/>
      <c r="AE79" s="33"/>
      <c r="AG79" s="25"/>
      <c r="AH79" s="34"/>
      <c r="AI79" s="27"/>
      <c r="AJ79" s="27"/>
      <c r="AK79" s="27"/>
      <c r="AL79" s="25"/>
      <c r="AM79" s="34"/>
      <c r="AN79" s="27"/>
      <c r="AO79" s="27"/>
      <c r="AP79" s="36"/>
      <c r="AQ79" s="37"/>
      <c r="AR79" s="32"/>
      <c r="AS79" s="25" t="s">
        <v>96</v>
      </c>
      <c r="AT79" s="27" t="s">
        <v>87</v>
      </c>
      <c r="AU79" s="27"/>
      <c r="AW79" s="25" t="s">
        <v>90</v>
      </c>
      <c r="AX79" s="27" t="s">
        <v>95</v>
      </c>
      <c r="AY79" s="27"/>
      <c r="AZ79" s="32"/>
      <c r="BA79" s="41"/>
    </row>
    <row r="80" spans="1:53" x14ac:dyDescent="0.2">
      <c r="A80" s="25">
        <v>66</v>
      </c>
      <c r="B80" s="26">
        <v>45365</v>
      </c>
      <c r="C80" s="27"/>
      <c r="D80" s="25"/>
      <c r="E80" s="28"/>
      <c r="F80" s="27"/>
      <c r="G80" s="28"/>
      <c r="H80" s="27"/>
      <c r="I80" s="28"/>
      <c r="J80" s="27">
        <v>8</v>
      </c>
      <c r="K80" s="29" t="s">
        <v>35</v>
      </c>
      <c r="L80" s="39"/>
      <c r="M80" s="31"/>
      <c r="N80" s="27"/>
      <c r="P80" s="32"/>
      <c r="Q80" s="25"/>
      <c r="R80" s="27"/>
      <c r="S80" s="27"/>
      <c r="T80" s="28"/>
      <c r="U80" s="27"/>
      <c r="V80" s="27"/>
      <c r="W80" s="28"/>
      <c r="X80" s="33"/>
      <c r="Y80" s="32"/>
      <c r="Z80" s="25"/>
      <c r="AA80" s="27"/>
      <c r="AB80" s="28"/>
      <c r="AC80" s="27"/>
      <c r="AD80" s="27"/>
      <c r="AE80" s="33"/>
      <c r="AG80" s="25"/>
      <c r="AH80" s="34"/>
      <c r="AI80" s="27"/>
      <c r="AJ80" s="27"/>
      <c r="AK80" s="27"/>
      <c r="AL80" s="25"/>
      <c r="AM80" s="34"/>
      <c r="AN80" s="27"/>
      <c r="AO80" s="27"/>
      <c r="AP80" s="36"/>
      <c r="AQ80" s="37"/>
      <c r="AR80" s="32"/>
      <c r="AS80" s="25" t="s">
        <v>96</v>
      </c>
      <c r="AT80" s="27" t="s">
        <v>87</v>
      </c>
      <c r="AU80" s="27"/>
      <c r="AW80" s="25" t="s">
        <v>90</v>
      </c>
      <c r="AX80" s="27" t="s">
        <v>95</v>
      </c>
      <c r="AY80" s="27"/>
      <c r="AZ80" s="32"/>
      <c r="BA80" s="41"/>
    </row>
    <row r="81" spans="1:53" x14ac:dyDescent="0.2">
      <c r="A81" s="25">
        <v>67</v>
      </c>
      <c r="B81" s="26">
        <v>45366</v>
      </c>
      <c r="C81" s="27"/>
      <c r="D81" s="25"/>
      <c r="E81" s="28"/>
      <c r="F81" s="27"/>
      <c r="G81" s="28"/>
      <c r="H81" s="27"/>
      <c r="I81" s="28"/>
      <c r="J81" s="27">
        <v>8</v>
      </c>
      <c r="K81" s="29" t="s">
        <v>35</v>
      </c>
      <c r="L81" s="39"/>
      <c r="M81" s="31"/>
      <c r="N81" s="27"/>
      <c r="P81" s="32"/>
      <c r="Q81" s="25"/>
      <c r="R81" s="27"/>
      <c r="S81" s="27"/>
      <c r="T81" s="28"/>
      <c r="U81" s="27"/>
      <c r="V81" s="27"/>
      <c r="W81" s="28"/>
      <c r="X81" s="33"/>
      <c r="Y81" s="32"/>
      <c r="Z81" s="25"/>
      <c r="AA81" s="27"/>
      <c r="AB81" s="28"/>
      <c r="AC81" s="27"/>
      <c r="AD81" s="27"/>
      <c r="AE81" s="33"/>
      <c r="AG81" s="25"/>
      <c r="AH81" s="34"/>
      <c r="AI81" s="27"/>
      <c r="AJ81" s="27"/>
      <c r="AK81" s="27"/>
      <c r="AL81" s="25"/>
      <c r="AM81" s="34"/>
      <c r="AN81" s="27"/>
      <c r="AO81" s="27"/>
      <c r="AP81" s="36"/>
      <c r="AQ81" s="37"/>
      <c r="AR81" s="32"/>
      <c r="AS81" s="25" t="s">
        <v>96</v>
      </c>
      <c r="AT81" s="27" t="s">
        <v>87</v>
      </c>
      <c r="AU81" s="27"/>
      <c r="AW81" s="25" t="s">
        <v>90</v>
      </c>
      <c r="AX81" s="27" t="s">
        <v>95</v>
      </c>
      <c r="AY81" s="27"/>
      <c r="AZ81" s="32"/>
      <c r="BA81" s="41"/>
    </row>
    <row r="82" spans="1:53" x14ac:dyDescent="0.2">
      <c r="A82" s="25">
        <v>68</v>
      </c>
      <c r="B82" s="26">
        <v>45367</v>
      </c>
      <c r="C82" s="27"/>
      <c r="D82" s="25"/>
      <c r="E82" s="28"/>
      <c r="F82" s="27"/>
      <c r="G82" s="28"/>
      <c r="H82" s="27"/>
      <c r="I82" s="28"/>
      <c r="J82" s="27">
        <v>8</v>
      </c>
      <c r="K82" s="29" t="s">
        <v>35</v>
      </c>
      <c r="L82" s="39"/>
      <c r="M82" s="31"/>
      <c r="N82" s="27"/>
      <c r="P82" s="32"/>
      <c r="Q82" s="25"/>
      <c r="R82" s="27"/>
      <c r="S82" s="27"/>
      <c r="T82" s="28"/>
      <c r="U82" s="27"/>
      <c r="V82" s="27"/>
      <c r="W82" s="28"/>
      <c r="X82" s="33"/>
      <c r="Y82" s="32"/>
      <c r="Z82" s="25"/>
      <c r="AA82" s="27"/>
      <c r="AB82" s="28"/>
      <c r="AC82" s="27"/>
      <c r="AD82" s="27"/>
      <c r="AE82" s="33"/>
      <c r="AG82" s="25"/>
      <c r="AH82" s="34"/>
      <c r="AI82" s="27"/>
      <c r="AJ82" s="27"/>
      <c r="AK82" s="27"/>
      <c r="AL82" s="25"/>
      <c r="AM82" s="34"/>
      <c r="AN82" s="27"/>
      <c r="AO82" s="27"/>
      <c r="AP82" s="36"/>
      <c r="AQ82" s="37"/>
      <c r="AR82" s="32"/>
      <c r="AS82" s="25" t="s">
        <v>96</v>
      </c>
      <c r="AT82" s="27" t="s">
        <v>87</v>
      </c>
      <c r="AU82" s="27"/>
      <c r="AW82" s="25" t="s">
        <v>90</v>
      </c>
      <c r="AX82" s="27" t="s">
        <v>95</v>
      </c>
      <c r="AY82" s="27"/>
      <c r="AZ82" s="32"/>
      <c r="BA82" s="41"/>
    </row>
    <row r="83" spans="1:53" x14ac:dyDescent="0.2">
      <c r="A83" s="25">
        <v>69</v>
      </c>
      <c r="B83" s="26">
        <v>45368</v>
      </c>
      <c r="C83" s="27"/>
      <c r="D83" s="25"/>
      <c r="E83" s="28"/>
      <c r="F83" s="27"/>
      <c r="G83" s="28"/>
      <c r="H83" s="27"/>
      <c r="I83" s="28"/>
      <c r="J83" s="27">
        <v>8</v>
      </c>
      <c r="K83" s="29" t="s">
        <v>35</v>
      </c>
      <c r="L83" s="39"/>
      <c r="M83" s="31"/>
      <c r="N83" s="27"/>
      <c r="P83" s="32"/>
      <c r="Q83" s="25"/>
      <c r="R83" s="27"/>
      <c r="S83" s="27"/>
      <c r="T83" s="28"/>
      <c r="U83" s="27"/>
      <c r="V83" s="27"/>
      <c r="W83" s="28"/>
      <c r="X83" s="33"/>
      <c r="Y83" s="32"/>
      <c r="Z83" s="25"/>
      <c r="AA83" s="27"/>
      <c r="AB83" s="28"/>
      <c r="AC83" s="27"/>
      <c r="AD83" s="27"/>
      <c r="AE83" s="33"/>
      <c r="AG83" s="25"/>
      <c r="AH83" s="34"/>
      <c r="AI83" s="27"/>
      <c r="AJ83" s="27"/>
      <c r="AK83" s="27"/>
      <c r="AL83" s="25"/>
      <c r="AM83" s="34"/>
      <c r="AN83" s="27"/>
      <c r="AO83" s="27"/>
      <c r="AP83" s="36"/>
      <c r="AQ83" s="37"/>
      <c r="AR83" s="32"/>
      <c r="AS83" s="25" t="s">
        <v>96</v>
      </c>
      <c r="AT83" s="27" t="s">
        <v>87</v>
      </c>
      <c r="AU83" s="27"/>
      <c r="AW83" s="25" t="s">
        <v>90</v>
      </c>
      <c r="AX83" s="27" t="s">
        <v>95</v>
      </c>
      <c r="AY83" s="27"/>
      <c r="AZ83" s="32"/>
      <c r="BA83" s="41"/>
    </row>
    <row r="84" spans="1:53" x14ac:dyDescent="0.2">
      <c r="A84" s="25">
        <v>70</v>
      </c>
      <c r="B84" s="26">
        <v>45369</v>
      </c>
      <c r="C84" s="27"/>
      <c r="D84" s="25"/>
      <c r="E84" s="28"/>
      <c r="F84" s="27"/>
      <c r="G84" s="28"/>
      <c r="H84" s="27"/>
      <c r="I84" s="28"/>
      <c r="J84" s="27">
        <v>8</v>
      </c>
      <c r="K84" s="29" t="s">
        <v>35</v>
      </c>
      <c r="L84" s="39"/>
      <c r="M84" s="31"/>
      <c r="N84" s="27"/>
      <c r="P84" s="32"/>
      <c r="Q84" s="25"/>
      <c r="R84" s="27"/>
      <c r="S84" s="27"/>
      <c r="T84" s="28"/>
      <c r="U84" s="27"/>
      <c r="V84" s="27"/>
      <c r="W84" s="28"/>
      <c r="X84" s="33"/>
      <c r="Y84" s="32"/>
      <c r="Z84" s="25"/>
      <c r="AA84" s="27"/>
      <c r="AB84" s="28"/>
      <c r="AC84" s="27"/>
      <c r="AD84" s="27"/>
      <c r="AE84" s="33"/>
      <c r="AG84" s="25"/>
      <c r="AH84" s="34"/>
      <c r="AI84" s="27"/>
      <c r="AJ84" s="27"/>
      <c r="AK84" s="27"/>
      <c r="AL84" s="25"/>
      <c r="AM84" s="34"/>
      <c r="AN84" s="27"/>
      <c r="AO84" s="27"/>
      <c r="AP84" s="36"/>
      <c r="AQ84" s="37"/>
      <c r="AR84" s="32"/>
      <c r="AS84" s="25" t="s">
        <v>96</v>
      </c>
      <c r="AT84" s="27" t="s">
        <v>87</v>
      </c>
      <c r="AU84" s="27"/>
      <c r="AW84" s="25" t="s">
        <v>90</v>
      </c>
      <c r="AX84" s="27" t="s">
        <v>95</v>
      </c>
      <c r="AY84" s="27"/>
      <c r="AZ84" s="32"/>
      <c r="BA84" s="41"/>
    </row>
    <row r="85" spans="1:53" x14ac:dyDescent="0.2">
      <c r="A85" s="25">
        <v>71</v>
      </c>
      <c r="B85" s="26">
        <v>45370</v>
      </c>
      <c r="C85" s="27"/>
      <c r="D85" s="25"/>
      <c r="E85" s="28"/>
      <c r="F85" s="27"/>
      <c r="G85" s="28"/>
      <c r="H85" s="27"/>
      <c r="I85" s="28"/>
      <c r="J85" s="27">
        <v>8</v>
      </c>
      <c r="K85" s="29" t="s">
        <v>35</v>
      </c>
      <c r="L85" s="39"/>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c r="AO85" s="27"/>
      <c r="AP85" s="36"/>
      <c r="AQ85" s="37"/>
      <c r="AS85" s="25"/>
      <c r="AT85" s="27"/>
      <c r="AU85" s="27"/>
      <c r="AW85" s="25" t="s">
        <v>90</v>
      </c>
      <c r="AX85" s="27" t="s">
        <v>95</v>
      </c>
      <c r="AY85" s="27"/>
      <c r="AZ85" s="32"/>
      <c r="BA85" s="41"/>
    </row>
    <row r="86" spans="1:53" x14ac:dyDescent="0.2">
      <c r="A86" s="25">
        <v>72</v>
      </c>
      <c r="B86" s="26">
        <v>45371</v>
      </c>
      <c r="C86" s="27"/>
      <c r="D86" s="25"/>
      <c r="E86" s="28"/>
      <c r="F86" s="27"/>
      <c r="G86" s="28"/>
      <c r="H86" s="27"/>
      <c r="I86" s="28"/>
      <c r="J86" s="27">
        <v>8</v>
      </c>
      <c r="K86" s="29" t="s">
        <v>35</v>
      </c>
      <c r="L86" s="39"/>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c r="AO86" s="27"/>
      <c r="AP86" s="36"/>
      <c r="AQ86" s="37"/>
      <c r="AS86" s="25"/>
      <c r="AT86" s="27"/>
      <c r="AU86" s="27"/>
      <c r="AW86" s="25"/>
      <c r="AX86" s="27"/>
      <c r="AY86" s="27"/>
      <c r="AZ86" s="32"/>
      <c r="BA86" s="41"/>
    </row>
    <row r="87" spans="1:53" x14ac:dyDescent="0.2">
      <c r="A87" s="25">
        <v>73</v>
      </c>
      <c r="B87" s="26">
        <v>45372</v>
      </c>
      <c r="C87" s="27"/>
      <c r="D87" s="25"/>
      <c r="E87" s="28"/>
      <c r="F87" s="27"/>
      <c r="G87" s="28"/>
      <c r="H87" s="27"/>
      <c r="I87" s="28"/>
      <c r="J87" s="27">
        <v>8</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S87" s="25"/>
      <c r="AT87" s="27"/>
      <c r="AU87" s="27"/>
      <c r="AW87" s="25"/>
      <c r="AX87" s="27"/>
      <c r="AY87" s="27"/>
      <c r="AZ87" s="32"/>
      <c r="BA87" s="41"/>
    </row>
    <row r="88" spans="1:53" x14ac:dyDescent="0.2">
      <c r="A88" s="25">
        <v>74</v>
      </c>
      <c r="B88" s="26">
        <v>45373</v>
      </c>
      <c r="C88" s="27"/>
      <c r="D88" s="25"/>
      <c r="E88" s="28"/>
      <c r="F88" s="27"/>
      <c r="G88" s="28"/>
      <c r="H88" s="27"/>
      <c r="I88" s="28"/>
      <c r="J88" s="27">
        <v>8</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S88" s="25"/>
      <c r="AT88" s="27"/>
      <c r="AU88" s="27"/>
      <c r="AW88" s="25"/>
      <c r="AX88" s="27"/>
      <c r="AY88" s="27"/>
      <c r="AZ88" s="32"/>
      <c r="BA88" s="41"/>
    </row>
    <row r="89" spans="1:53" x14ac:dyDescent="0.2">
      <c r="A89" s="25">
        <v>75</v>
      </c>
      <c r="B89" s="26">
        <v>45374</v>
      </c>
      <c r="C89" s="27"/>
      <c r="D89" s="25"/>
      <c r="E89" s="28"/>
      <c r="F89" s="27"/>
      <c r="G89" s="28"/>
      <c r="H89" s="27"/>
      <c r="I89" s="28"/>
      <c r="J89" s="27">
        <v>8</v>
      </c>
      <c r="K89" s="29" t="s">
        <v>35</v>
      </c>
      <c r="L89" s="39"/>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R89" s="32"/>
      <c r="AS89" s="25"/>
      <c r="AT89" s="27"/>
      <c r="AU89" s="27"/>
      <c r="AW89" s="25"/>
      <c r="AX89" s="27"/>
      <c r="AY89" s="27"/>
      <c r="AZ89" s="32"/>
      <c r="BA89" s="41"/>
    </row>
    <row r="90" spans="1:53" x14ac:dyDescent="0.2">
      <c r="A90" s="25">
        <v>76</v>
      </c>
      <c r="B90" s="26">
        <v>45375</v>
      </c>
      <c r="C90" s="27"/>
      <c r="D90" s="25"/>
      <c r="E90" s="28"/>
      <c r="F90" s="27"/>
      <c r="G90" s="28"/>
      <c r="H90" s="27"/>
      <c r="I90" s="28"/>
      <c r="J90" s="27">
        <v>8</v>
      </c>
      <c r="K90" s="29" t="s">
        <v>35</v>
      </c>
      <c r="L90" s="39"/>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R90" s="32"/>
      <c r="AS90" s="25"/>
      <c r="AT90" s="27"/>
      <c r="AU90" s="27"/>
      <c r="AW90" s="25"/>
      <c r="AX90" s="27"/>
      <c r="AY90" s="27"/>
      <c r="AZ90" s="32"/>
      <c r="BA90" s="41"/>
    </row>
    <row r="91" spans="1:53" x14ac:dyDescent="0.2">
      <c r="A91" s="25">
        <v>77</v>
      </c>
      <c r="B91" s="26">
        <v>45376</v>
      </c>
      <c r="C91" s="27"/>
      <c r="D91" s="25"/>
      <c r="E91" s="28"/>
      <c r="F91" s="27"/>
      <c r="G91" s="28"/>
      <c r="H91" s="27"/>
      <c r="I91" s="28"/>
      <c r="J91" s="27">
        <v>8</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c r="AT91" s="27"/>
      <c r="AU91" s="27"/>
      <c r="AW91" s="25"/>
      <c r="AX91" s="27"/>
      <c r="AY91" s="27"/>
      <c r="AZ91" s="32"/>
      <c r="BA91" s="41"/>
    </row>
    <row r="92" spans="1:53" x14ac:dyDescent="0.2">
      <c r="A92" s="25">
        <v>78</v>
      </c>
      <c r="B92" s="26">
        <v>45377</v>
      </c>
      <c r="C92" s="27"/>
      <c r="D92" s="25"/>
      <c r="E92" s="28"/>
      <c r="F92" s="27"/>
      <c r="G92" s="28"/>
      <c r="H92" s="27"/>
      <c r="I92" s="28"/>
      <c r="J92" s="27">
        <v>8</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c r="AT92" s="27"/>
      <c r="AU92" s="27"/>
      <c r="AW92" s="25"/>
      <c r="AX92" s="27"/>
      <c r="AY92" s="27"/>
      <c r="AZ92" s="32"/>
      <c r="BA92" s="41"/>
    </row>
    <row r="93" spans="1:53" x14ac:dyDescent="0.2">
      <c r="A93" s="25">
        <v>79</v>
      </c>
      <c r="B93" s="26">
        <v>45378</v>
      </c>
      <c r="C93" s="27"/>
      <c r="D93" s="25"/>
      <c r="E93" s="28"/>
      <c r="F93" s="27"/>
      <c r="G93" s="28"/>
      <c r="H93" s="27"/>
      <c r="I93" s="28"/>
      <c r="J93" s="27">
        <v>8</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c r="AT93" s="27"/>
      <c r="AU93" s="27"/>
      <c r="AW93" s="25"/>
      <c r="AX93" s="27"/>
      <c r="AY93" s="27"/>
      <c r="AZ93" s="32"/>
      <c r="BA93" s="41"/>
    </row>
    <row r="94" spans="1:53" x14ac:dyDescent="0.2">
      <c r="A94" s="25">
        <v>80</v>
      </c>
      <c r="B94" s="26">
        <v>45379</v>
      </c>
      <c r="C94" s="27"/>
      <c r="D94" s="25"/>
      <c r="E94" s="28"/>
      <c r="F94" s="27"/>
      <c r="G94" s="28"/>
      <c r="H94" s="27"/>
      <c r="I94" s="28"/>
      <c r="J94" s="27">
        <v>8</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c r="AT94" s="27"/>
      <c r="AU94" s="27"/>
      <c r="AW94" s="25"/>
      <c r="AX94" s="27"/>
      <c r="AY94" s="27"/>
      <c r="AZ94" s="32"/>
      <c r="BA94" s="41"/>
    </row>
    <row r="95" spans="1:53" x14ac:dyDescent="0.2">
      <c r="A95" s="25">
        <v>81</v>
      </c>
      <c r="B95" s="26">
        <v>45380</v>
      </c>
      <c r="C95" s="27"/>
      <c r="D95" s="25"/>
      <c r="E95" s="28"/>
      <c r="F95" s="27"/>
      <c r="G95" s="28"/>
      <c r="H95" s="27"/>
      <c r="I95" s="28"/>
      <c r="J95" s="27">
        <v>8</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c r="AT95" s="27"/>
      <c r="AU95" s="27"/>
      <c r="AW95" s="25"/>
      <c r="AX95" s="27"/>
      <c r="AY95" s="27"/>
      <c r="AZ95" s="32"/>
      <c r="BA95" s="41"/>
    </row>
    <row r="96" spans="1:53" x14ac:dyDescent="0.2">
      <c r="A96" s="25">
        <v>82</v>
      </c>
      <c r="B96" s="26">
        <v>45381</v>
      </c>
      <c r="C96" s="27"/>
      <c r="D96" s="25"/>
      <c r="E96" s="28"/>
      <c r="F96" s="27"/>
      <c r="G96" s="28"/>
      <c r="H96" s="27"/>
      <c r="I96" s="28"/>
      <c r="J96" s="27">
        <v>8</v>
      </c>
      <c r="K96" s="29" t="s">
        <v>35</v>
      </c>
      <c r="L96" s="39"/>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c r="AT96" s="27"/>
      <c r="AU96" s="27"/>
      <c r="AW96" s="25"/>
      <c r="AX96" s="27"/>
      <c r="AY96" s="27"/>
      <c r="AZ96" s="32"/>
      <c r="BA96" s="41"/>
    </row>
    <row r="97" spans="1:53" x14ac:dyDescent="0.2">
      <c r="A97" s="25">
        <v>83</v>
      </c>
      <c r="B97" s="26">
        <v>45382</v>
      </c>
      <c r="C97" s="27"/>
      <c r="D97" s="25"/>
      <c r="E97" s="28"/>
      <c r="F97" s="27"/>
      <c r="G97" s="28"/>
      <c r="H97" s="27"/>
      <c r="I97" s="28"/>
      <c r="J97" s="27">
        <v>8</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c r="AT97" s="27"/>
      <c r="AU97" s="27"/>
      <c r="AW97" s="25"/>
      <c r="AX97" s="27"/>
      <c r="AY97" s="27"/>
      <c r="AZ97" s="32"/>
      <c r="BA97" s="41"/>
    </row>
    <row r="98" spans="1:53" x14ac:dyDescent="0.2">
      <c r="A98" s="25">
        <v>84</v>
      </c>
      <c r="B98" s="26">
        <v>45383</v>
      </c>
      <c r="C98" s="27"/>
      <c r="D98" s="25"/>
      <c r="E98" s="28"/>
      <c r="F98" s="27"/>
      <c r="G98" s="28"/>
      <c r="H98" s="27"/>
      <c r="I98" s="28"/>
      <c r="J98" s="27">
        <v>8</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c r="AO98" s="27"/>
      <c r="AP98" s="36"/>
      <c r="AQ98" s="37"/>
      <c r="AR98" s="32"/>
      <c r="AS98" s="25"/>
      <c r="AT98" s="27"/>
      <c r="AU98" s="27"/>
      <c r="AW98" s="25"/>
      <c r="AX98" s="27"/>
      <c r="AY98" s="27"/>
      <c r="AZ98" s="32"/>
      <c r="BA98" s="41"/>
    </row>
    <row r="99" spans="1:53" x14ac:dyDescent="0.2">
      <c r="A99" s="25">
        <v>85</v>
      </c>
      <c r="B99" s="26">
        <v>45384</v>
      </c>
      <c r="C99" s="27"/>
      <c r="D99" s="25"/>
      <c r="E99" s="28"/>
      <c r="F99" s="27"/>
      <c r="G99" s="28"/>
      <c r="H99" s="27"/>
      <c r="I99" s="28"/>
      <c r="J99" s="27">
        <v>8</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c r="AO99" s="27"/>
      <c r="AP99" s="36"/>
      <c r="AQ99" s="37"/>
      <c r="AR99" s="32"/>
      <c r="AS99" s="25"/>
      <c r="AT99" s="27"/>
      <c r="AU99" s="27"/>
      <c r="AW99" s="25"/>
      <c r="AX99" s="27"/>
      <c r="AY99" s="27"/>
      <c r="AZ99" s="32"/>
      <c r="BA99" s="41"/>
    </row>
    <row r="100" spans="1:53" x14ac:dyDescent="0.2">
      <c r="A100" s="25">
        <v>86</v>
      </c>
      <c r="B100" s="26">
        <v>45385</v>
      </c>
      <c r="C100" s="27"/>
      <c r="D100" s="25"/>
      <c r="E100" s="28"/>
      <c r="F100" s="27"/>
      <c r="G100" s="28"/>
      <c r="H100" s="27"/>
      <c r="I100" s="28"/>
      <c r="J100" s="27">
        <v>8</v>
      </c>
      <c r="K100" s="29" t="s">
        <v>35</v>
      </c>
      <c r="L100" s="39"/>
      <c r="M100" s="31"/>
      <c r="N100" s="27"/>
      <c r="P100" s="32"/>
      <c r="Q100" s="25"/>
      <c r="R100" s="27"/>
      <c r="S100" s="27"/>
      <c r="T100" s="28"/>
      <c r="U100" s="27"/>
      <c r="V100" s="27"/>
      <c r="W100" s="28"/>
      <c r="X100" s="33"/>
      <c r="Y100" s="32"/>
      <c r="Z100" s="25"/>
      <c r="AA100" s="27"/>
      <c r="AB100" s="28"/>
      <c r="AC100" s="27"/>
      <c r="AD100" s="27"/>
      <c r="AE100" s="33"/>
      <c r="AF100" s="32"/>
      <c r="AG100" s="90"/>
      <c r="AH100" s="91"/>
      <c r="AI100" s="27"/>
      <c r="AJ100" s="27"/>
      <c r="AK100" s="28"/>
      <c r="AL100" s="27"/>
      <c r="AM100" s="27"/>
      <c r="AN100" s="27"/>
      <c r="AO100" s="27"/>
      <c r="AP100" s="36"/>
      <c r="AQ100" s="37"/>
      <c r="AR100" s="32"/>
      <c r="AS100" s="25"/>
      <c r="AT100" s="27"/>
      <c r="AU100" s="27"/>
      <c r="AW100" s="25"/>
      <c r="AX100" s="27"/>
      <c r="AY100" s="27"/>
      <c r="AZ100" s="32"/>
      <c r="BA100" s="41"/>
    </row>
    <row r="101" spans="1:53" x14ac:dyDescent="0.2">
      <c r="A101" s="25">
        <v>87</v>
      </c>
      <c r="B101" s="26">
        <v>45386</v>
      </c>
      <c r="C101" s="27"/>
      <c r="D101" s="25"/>
      <c r="E101" s="28"/>
      <c r="F101" s="27"/>
      <c r="G101" s="28"/>
      <c r="H101" s="27"/>
      <c r="I101" s="28"/>
      <c r="J101" s="27">
        <v>8</v>
      </c>
      <c r="K101" s="29" t="s">
        <v>35</v>
      </c>
      <c r="L101" s="39"/>
      <c r="M101" s="31"/>
      <c r="N101" s="27"/>
      <c r="P101" s="32"/>
      <c r="Q101" s="25"/>
      <c r="R101" s="27"/>
      <c r="S101" s="27"/>
      <c r="T101" s="28"/>
      <c r="U101" s="27"/>
      <c r="V101" s="27"/>
      <c r="W101" s="28"/>
      <c r="X101" s="33"/>
      <c r="Y101" s="32"/>
      <c r="Z101" s="25"/>
      <c r="AA101" s="27"/>
      <c r="AB101" s="28"/>
      <c r="AC101" s="27"/>
      <c r="AD101" s="27"/>
      <c r="AE101" s="33"/>
      <c r="AF101" s="32"/>
      <c r="AG101" s="90"/>
      <c r="AH101" s="91"/>
      <c r="AI101" s="27"/>
      <c r="AJ101" s="27"/>
      <c r="AK101" s="28"/>
      <c r="AL101" s="27"/>
      <c r="AM101" s="27"/>
      <c r="AN101" s="27"/>
      <c r="AO101" s="27"/>
      <c r="AP101" s="36"/>
      <c r="AQ101" s="37"/>
      <c r="AR101" s="32"/>
      <c r="AS101" s="25"/>
      <c r="AT101" s="27"/>
      <c r="AU101" s="27"/>
      <c r="AW101" s="25"/>
      <c r="AX101" s="27"/>
      <c r="AY101" s="27"/>
      <c r="AZ101" s="32"/>
      <c r="BA101" s="41"/>
    </row>
    <row r="102" spans="1:53" x14ac:dyDescent="0.2">
      <c r="A102" s="25">
        <v>88</v>
      </c>
      <c r="B102" s="26">
        <v>45387</v>
      </c>
      <c r="C102" s="27"/>
      <c r="D102" s="25"/>
      <c r="E102" s="28"/>
      <c r="F102" s="27"/>
      <c r="G102" s="28"/>
      <c r="H102" s="27"/>
      <c r="I102" s="28"/>
      <c r="J102" s="27">
        <v>8</v>
      </c>
      <c r="K102" s="29" t="s">
        <v>35</v>
      </c>
      <c r="L102" s="39"/>
      <c r="M102" s="31"/>
      <c r="N102" s="27"/>
      <c r="P102" s="32"/>
      <c r="Q102" s="25"/>
      <c r="R102" s="27"/>
      <c r="S102" s="27"/>
      <c r="T102" s="28"/>
      <c r="U102" s="27"/>
      <c r="V102" s="27"/>
      <c r="W102" s="28"/>
      <c r="X102" s="33"/>
      <c r="Y102" s="32"/>
      <c r="Z102" s="25"/>
      <c r="AA102" s="27"/>
      <c r="AB102" s="28"/>
      <c r="AC102" s="27"/>
      <c r="AD102" s="27"/>
      <c r="AE102" s="33"/>
      <c r="AF102" s="32"/>
      <c r="AG102" s="90"/>
      <c r="AH102" s="91"/>
      <c r="AI102" s="27"/>
      <c r="AJ102" s="27"/>
      <c r="AK102" s="28"/>
      <c r="AL102" s="27"/>
      <c r="AM102" s="27"/>
      <c r="AN102" s="27"/>
      <c r="AO102" s="27"/>
      <c r="AP102" s="36"/>
      <c r="AQ102" s="37"/>
      <c r="AR102" s="32"/>
      <c r="AS102" s="25"/>
      <c r="AT102" s="27"/>
      <c r="AU102" s="27"/>
      <c r="AW102" s="25"/>
      <c r="AX102" s="27"/>
      <c r="AY102" s="27"/>
      <c r="AZ102" s="32"/>
      <c r="BA102" s="41"/>
    </row>
    <row r="103" spans="1:53" x14ac:dyDescent="0.2">
      <c r="A103" s="25">
        <v>89</v>
      </c>
      <c r="B103" s="26">
        <v>45388</v>
      </c>
      <c r="C103" s="27"/>
      <c r="D103" s="25"/>
      <c r="E103" s="28"/>
      <c r="F103" s="27"/>
      <c r="G103" s="28"/>
      <c r="H103" s="27"/>
      <c r="I103" s="28"/>
      <c r="J103" s="27">
        <v>8</v>
      </c>
      <c r="K103" s="29" t="s">
        <v>35</v>
      </c>
      <c r="L103" s="39"/>
      <c r="M103" s="31"/>
      <c r="N103" s="27"/>
      <c r="P103" s="32"/>
      <c r="Q103" s="25"/>
      <c r="R103" s="27"/>
      <c r="S103" s="27"/>
      <c r="T103" s="28"/>
      <c r="U103" s="27"/>
      <c r="V103" s="27"/>
      <c r="W103" s="28"/>
      <c r="X103" s="33"/>
      <c r="Y103" s="32"/>
      <c r="Z103" s="25"/>
      <c r="AA103" s="27"/>
      <c r="AB103" s="28"/>
      <c r="AC103" s="27"/>
      <c r="AD103" s="27"/>
      <c r="AE103" s="33"/>
      <c r="AF103" s="32"/>
      <c r="AG103" s="90"/>
      <c r="AH103" s="91"/>
      <c r="AI103" s="27"/>
      <c r="AJ103" s="27"/>
      <c r="AK103" s="28"/>
      <c r="AL103" s="27"/>
      <c r="AM103" s="27"/>
      <c r="AN103" s="27"/>
      <c r="AO103" s="27"/>
      <c r="AP103" s="36"/>
      <c r="AQ103" s="37"/>
      <c r="AR103" s="32"/>
      <c r="AS103" s="25"/>
      <c r="AT103" s="27"/>
      <c r="AU103" s="27"/>
      <c r="AW103" s="25"/>
      <c r="AX103" s="27"/>
      <c r="AY103" s="27"/>
      <c r="AZ103" s="32"/>
      <c r="BA103" s="41"/>
    </row>
    <row r="104" spans="1:53" x14ac:dyDescent="0.2">
      <c r="A104" s="25">
        <v>90</v>
      </c>
      <c r="B104" s="26">
        <v>45389</v>
      </c>
      <c r="C104" s="27"/>
      <c r="D104" s="25"/>
      <c r="E104" s="28"/>
      <c r="F104" s="27"/>
      <c r="G104" s="28"/>
      <c r="H104" s="27"/>
      <c r="I104" s="28"/>
      <c r="J104" s="27">
        <v>8</v>
      </c>
      <c r="K104" s="29" t="s">
        <v>35</v>
      </c>
      <c r="L104" s="39"/>
      <c r="M104" s="31"/>
      <c r="N104" s="27"/>
      <c r="P104" s="32"/>
      <c r="Q104" s="25"/>
      <c r="R104" s="27"/>
      <c r="S104" s="27"/>
      <c r="T104" s="28"/>
      <c r="U104" s="27"/>
      <c r="V104" s="27"/>
      <c r="W104" s="28"/>
      <c r="X104" s="33"/>
      <c r="Y104" s="32"/>
      <c r="Z104" s="25"/>
      <c r="AA104" s="27"/>
      <c r="AB104" s="28"/>
      <c r="AC104" s="27"/>
      <c r="AD104" s="27"/>
      <c r="AE104" s="33"/>
      <c r="AF104" s="32"/>
      <c r="AG104" s="90"/>
      <c r="AH104" s="91"/>
      <c r="AI104" s="27"/>
      <c r="AJ104" s="27"/>
      <c r="AK104" s="28"/>
      <c r="AL104" s="27"/>
      <c r="AM104" s="27"/>
      <c r="AN104" s="27"/>
      <c r="AO104" s="27"/>
      <c r="AP104" s="36"/>
      <c r="AQ104" s="37"/>
      <c r="AR104" s="32"/>
      <c r="AS104" s="25"/>
      <c r="AT104" s="27"/>
      <c r="AU104" s="27"/>
      <c r="AW104" s="25"/>
      <c r="AX104" s="27"/>
      <c r="AY104" s="27"/>
      <c r="AZ104" s="32"/>
      <c r="BA104" s="41"/>
    </row>
    <row r="105" spans="1:53" x14ac:dyDescent="0.2">
      <c r="B105" s="26"/>
    </row>
  </sheetData>
  <mergeCells count="58">
    <mergeCell ref="D3:I3"/>
    <mergeCell ref="D2:I2"/>
    <mergeCell ref="D4:I4"/>
    <mergeCell ref="D5:I5"/>
    <mergeCell ref="D6:I6"/>
    <mergeCell ref="D7:I7"/>
    <mergeCell ref="AX11:AX13"/>
    <mergeCell ref="AY11:AY13"/>
    <mergeCell ref="AZ11:AZ13"/>
    <mergeCell ref="BA11:BA13"/>
    <mergeCell ref="AU11:AU13"/>
    <mergeCell ref="AV11:AV13"/>
    <mergeCell ref="AW11:AW13"/>
    <mergeCell ref="AG11:AG12"/>
    <mergeCell ref="O11:O13"/>
    <mergeCell ref="P11:P13"/>
    <mergeCell ref="Q11:Q13"/>
    <mergeCell ref="R11:T12"/>
    <mergeCell ref="U11:W12"/>
    <mergeCell ref="X11:X13"/>
    <mergeCell ref="H11:I12"/>
    <mergeCell ref="X18:X25"/>
    <mergeCell ref="O34:O54"/>
    <mergeCell ref="AR11:AR13"/>
    <mergeCell ref="AS11:AS13"/>
    <mergeCell ref="AT11:AT13"/>
    <mergeCell ref="AH11:AH13"/>
    <mergeCell ref="AI11:AK12"/>
    <mergeCell ref="AL11:AL13"/>
    <mergeCell ref="AM11:AM12"/>
    <mergeCell ref="AN11:AP12"/>
    <mergeCell ref="AQ11:AQ13"/>
    <mergeCell ref="Y11:Y13"/>
    <mergeCell ref="Z11:AB12"/>
    <mergeCell ref="AC11:AD12"/>
    <mergeCell ref="AE11:AE13"/>
    <mergeCell ref="AF11:AF13"/>
    <mergeCell ref="J11:J13"/>
    <mergeCell ref="K11:K13"/>
    <mergeCell ref="L11:L13"/>
    <mergeCell ref="M11:M13"/>
    <mergeCell ref="N11:N13"/>
    <mergeCell ref="AS8:AV10"/>
    <mergeCell ref="AW8:AZ10"/>
    <mergeCell ref="BA8:BA10"/>
    <mergeCell ref="AG10:AK10"/>
    <mergeCell ref="AM10:AP10"/>
    <mergeCell ref="AG8:AP9"/>
    <mergeCell ref="A11:A13"/>
    <mergeCell ref="B11:B13"/>
    <mergeCell ref="C11:C13"/>
    <mergeCell ref="D11:E12"/>
    <mergeCell ref="F11:G12"/>
    <mergeCell ref="A8:C10"/>
    <mergeCell ref="D8:M10"/>
    <mergeCell ref="N8:P10"/>
    <mergeCell ref="Q8:Y10"/>
    <mergeCell ref="Z8:AF10"/>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00D36-EA75-4FE2-87D9-20D950AF5BA2}">
  <dimension ref="A1:BA105"/>
  <sheetViews>
    <sheetView zoomScale="94" zoomScaleNormal="68" workbookViewId="0">
      <pane xSplit="1" topLeftCell="B1" activePane="topRight" state="frozen"/>
      <selection pane="topRight" activeCell="D4" sqref="D4:I4"/>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8.33203125"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3.1640625" bestFit="1" customWidth="1"/>
    <col min="32" max="32" width="41.1640625" bestFit="1" customWidth="1"/>
    <col min="33" max="33" width="8.83203125" customWidth="1"/>
    <col min="34" max="34" width="10.5" customWidth="1"/>
    <col min="35" max="35" width="7.6640625" bestFit="1" customWidth="1"/>
    <col min="36" max="36" width="6.5" bestFit="1" customWidth="1"/>
    <col min="37" max="37" width="7.6640625" bestFit="1" customWidth="1"/>
    <col min="38" max="38" width="16.33203125" bestFit="1" customWidth="1"/>
    <col min="39" max="39" width="12.5" bestFit="1" customWidth="1"/>
    <col min="40" max="42" width="7.6640625" bestFit="1" customWidth="1"/>
    <col min="43" max="43" width="37.1640625"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ht="21" customHeight="1" x14ac:dyDescent="0.3">
      <c r="A1" s="176" t="s">
        <v>99</v>
      </c>
      <c r="B1" t="s">
        <v>236</v>
      </c>
    </row>
    <row r="2" spans="1:53" ht="21" customHeight="1" x14ac:dyDescent="0.2">
      <c r="B2" s="94" t="s">
        <v>100</v>
      </c>
      <c r="D2" s="401"/>
      <c r="E2" s="400"/>
      <c r="F2" s="400"/>
      <c r="G2" s="400"/>
      <c r="H2" s="400"/>
      <c r="I2" s="400"/>
      <c r="L2" t="s">
        <v>264</v>
      </c>
    </row>
    <row r="3" spans="1:53" x14ac:dyDescent="0.2">
      <c r="B3" s="94" t="s">
        <v>101</v>
      </c>
      <c r="C3" t="s">
        <v>249</v>
      </c>
      <c r="D3" s="400">
        <f>2000+2200+2300+2200</f>
        <v>8700</v>
      </c>
      <c r="E3" s="400"/>
      <c r="F3" s="400"/>
      <c r="G3" s="400"/>
      <c r="H3" s="400"/>
      <c r="I3" s="400"/>
    </row>
    <row r="4" spans="1:53" x14ac:dyDescent="0.2">
      <c r="B4" s="94" t="s">
        <v>102</v>
      </c>
      <c r="D4" s="400"/>
      <c r="E4" s="400"/>
      <c r="F4" s="400"/>
      <c r="G4" s="400"/>
      <c r="H4" s="400"/>
      <c r="I4" s="400"/>
    </row>
    <row r="5" spans="1:53" x14ac:dyDescent="0.2">
      <c r="B5" s="94" t="s">
        <v>103</v>
      </c>
      <c r="D5" s="400"/>
      <c r="E5" s="400"/>
      <c r="F5" s="400"/>
      <c r="G5" s="400"/>
      <c r="H5" s="400"/>
      <c r="I5" s="400"/>
    </row>
    <row r="6" spans="1:53" x14ac:dyDescent="0.2">
      <c r="B6" s="94" t="s">
        <v>104</v>
      </c>
      <c r="D6" s="400" t="s">
        <v>237</v>
      </c>
      <c r="E6" s="400"/>
      <c r="F6" s="400"/>
      <c r="G6" s="400"/>
      <c r="H6" s="400"/>
      <c r="I6" s="400"/>
    </row>
    <row r="7" spans="1:53" ht="16" thickBot="1" x14ac:dyDescent="0.25">
      <c r="B7" s="94" t="s">
        <v>106</v>
      </c>
      <c r="D7" s="399"/>
      <c r="E7" s="399"/>
      <c r="F7" s="399"/>
      <c r="G7" s="399"/>
      <c r="H7" s="399"/>
      <c r="I7" s="399"/>
    </row>
    <row r="8" spans="1:53" ht="23" x14ac:dyDescent="0.2">
      <c r="A8" s="209" t="s">
        <v>0</v>
      </c>
      <c r="B8" s="210"/>
      <c r="C8" s="210"/>
      <c r="D8" s="215" t="s">
        <v>1</v>
      </c>
      <c r="E8" s="215"/>
      <c r="F8" s="215"/>
      <c r="G8" s="215"/>
      <c r="H8" s="215"/>
      <c r="I8" s="215"/>
      <c r="J8" s="215"/>
      <c r="K8" s="215"/>
      <c r="L8" s="215"/>
      <c r="M8" s="215"/>
      <c r="N8" s="218" t="s">
        <v>2</v>
      </c>
      <c r="O8" s="218"/>
      <c r="P8" s="219"/>
      <c r="Q8" s="224" t="s">
        <v>3</v>
      </c>
      <c r="R8" s="225"/>
      <c r="S8" s="225"/>
      <c r="T8" s="225"/>
      <c r="U8" s="225"/>
      <c r="V8" s="225"/>
      <c r="W8" s="225"/>
      <c r="X8" s="225"/>
      <c r="Y8" s="226"/>
      <c r="Z8" s="230" t="s">
        <v>4</v>
      </c>
      <c r="AA8" s="231"/>
      <c r="AB8" s="231"/>
      <c r="AC8" s="231"/>
      <c r="AD8" s="231"/>
      <c r="AE8" s="231"/>
      <c r="AF8" s="232"/>
      <c r="AG8" s="271" t="s">
        <v>5</v>
      </c>
      <c r="AH8" s="271"/>
      <c r="AI8" s="271"/>
      <c r="AJ8" s="271"/>
      <c r="AK8" s="271"/>
      <c r="AL8" s="271"/>
      <c r="AM8" s="271"/>
      <c r="AN8" s="271"/>
      <c r="AO8" s="271"/>
      <c r="AP8" s="271"/>
      <c r="AQ8" s="1"/>
      <c r="AR8" s="2"/>
      <c r="AS8" s="251" t="s">
        <v>6</v>
      </c>
      <c r="AT8" s="252"/>
      <c r="AU8" s="252"/>
      <c r="AV8" s="252"/>
      <c r="AW8" s="257" t="s">
        <v>7</v>
      </c>
      <c r="AX8" s="258"/>
      <c r="AY8" s="258"/>
      <c r="AZ8" s="259"/>
      <c r="BA8" s="266" t="s">
        <v>8</v>
      </c>
    </row>
    <row r="9" spans="1:53" ht="23" x14ac:dyDescent="0.2">
      <c r="A9" s="211"/>
      <c r="B9" s="212"/>
      <c r="C9" s="212"/>
      <c r="D9" s="216"/>
      <c r="E9" s="216"/>
      <c r="F9" s="216"/>
      <c r="G9" s="216"/>
      <c r="H9" s="216"/>
      <c r="I9" s="216"/>
      <c r="J9" s="216"/>
      <c r="K9" s="216"/>
      <c r="L9" s="216"/>
      <c r="M9" s="216"/>
      <c r="N9" s="220"/>
      <c r="O9" s="220"/>
      <c r="P9" s="221"/>
      <c r="Q9" s="227"/>
      <c r="R9" s="228"/>
      <c r="S9" s="228"/>
      <c r="T9" s="228"/>
      <c r="U9" s="228"/>
      <c r="V9" s="228"/>
      <c r="W9" s="228"/>
      <c r="X9" s="228"/>
      <c r="Y9" s="229"/>
      <c r="Z9" s="233"/>
      <c r="AA9" s="234"/>
      <c r="AB9" s="234"/>
      <c r="AC9" s="234"/>
      <c r="AD9" s="234"/>
      <c r="AE9" s="234"/>
      <c r="AF9" s="235"/>
      <c r="AG9" s="272"/>
      <c r="AH9" s="272"/>
      <c r="AI9" s="272"/>
      <c r="AJ9" s="272"/>
      <c r="AK9" s="272"/>
      <c r="AL9" s="272"/>
      <c r="AM9" s="272"/>
      <c r="AN9" s="272"/>
      <c r="AO9" s="272"/>
      <c r="AP9" s="272"/>
      <c r="AQ9" s="3"/>
      <c r="AR9" s="4"/>
      <c r="AS9" s="253"/>
      <c r="AT9" s="254"/>
      <c r="AU9" s="254"/>
      <c r="AV9" s="254"/>
      <c r="AW9" s="260"/>
      <c r="AX9" s="261"/>
      <c r="AY9" s="261"/>
      <c r="AZ9" s="262"/>
      <c r="BA9" s="267"/>
    </row>
    <row r="10" spans="1:53" ht="21" thickBot="1" x14ac:dyDescent="0.25">
      <c r="A10" s="213"/>
      <c r="B10" s="214"/>
      <c r="C10" s="214"/>
      <c r="D10" s="217"/>
      <c r="E10" s="217"/>
      <c r="F10" s="217"/>
      <c r="G10" s="217"/>
      <c r="H10" s="217"/>
      <c r="I10" s="217"/>
      <c r="J10" s="217"/>
      <c r="K10" s="217"/>
      <c r="L10" s="217"/>
      <c r="M10" s="217"/>
      <c r="N10" s="222"/>
      <c r="O10" s="222"/>
      <c r="P10" s="223"/>
      <c r="Q10" s="227"/>
      <c r="R10" s="228"/>
      <c r="S10" s="228"/>
      <c r="T10" s="228"/>
      <c r="U10" s="228"/>
      <c r="V10" s="228"/>
      <c r="W10" s="228"/>
      <c r="X10" s="228"/>
      <c r="Y10" s="229"/>
      <c r="Z10" s="233"/>
      <c r="AA10" s="234"/>
      <c r="AB10" s="234"/>
      <c r="AC10" s="234"/>
      <c r="AD10" s="234"/>
      <c r="AE10" s="234"/>
      <c r="AF10" s="235"/>
      <c r="AG10" s="269" t="s">
        <v>9</v>
      </c>
      <c r="AH10" s="269"/>
      <c r="AI10" s="269"/>
      <c r="AJ10" s="269"/>
      <c r="AK10" s="270"/>
      <c r="AL10" s="5"/>
      <c r="AM10" s="269" t="s">
        <v>10</v>
      </c>
      <c r="AN10" s="269"/>
      <c r="AO10" s="269"/>
      <c r="AP10" s="270"/>
      <c r="AQ10" s="6"/>
      <c r="AR10" s="7"/>
      <c r="AS10" s="255"/>
      <c r="AT10" s="256"/>
      <c r="AU10" s="256"/>
      <c r="AV10" s="256"/>
      <c r="AW10" s="263"/>
      <c r="AX10" s="264"/>
      <c r="AY10" s="264"/>
      <c r="AZ10" s="265"/>
      <c r="BA10" s="268"/>
    </row>
    <row r="11" spans="1:53" x14ac:dyDescent="0.2">
      <c r="A11" s="236" t="s">
        <v>11</v>
      </c>
      <c r="B11" s="239" t="s">
        <v>12</v>
      </c>
      <c r="C11" s="239" t="s">
        <v>13</v>
      </c>
      <c r="D11" s="242" t="s">
        <v>14</v>
      </c>
      <c r="E11" s="243"/>
      <c r="F11" s="246" t="s">
        <v>15</v>
      </c>
      <c r="G11" s="243"/>
      <c r="H11" s="292" t="s">
        <v>16</v>
      </c>
      <c r="I11" s="293"/>
      <c r="J11" s="296" t="s">
        <v>17</v>
      </c>
      <c r="K11" s="299" t="s">
        <v>18</v>
      </c>
      <c r="L11" s="292" t="s">
        <v>19</v>
      </c>
      <c r="M11" s="303" t="s">
        <v>20</v>
      </c>
      <c r="N11" s="248" t="s">
        <v>21</v>
      </c>
      <c r="O11" s="248" t="s">
        <v>19</v>
      </c>
      <c r="P11" s="248" t="s">
        <v>20</v>
      </c>
      <c r="Q11" s="273" t="s">
        <v>22</v>
      </c>
      <c r="R11" s="276" t="s">
        <v>23</v>
      </c>
      <c r="S11" s="276"/>
      <c r="T11" s="277"/>
      <c r="U11" s="280" t="s">
        <v>24</v>
      </c>
      <c r="V11" s="280"/>
      <c r="W11" s="281"/>
      <c r="X11" s="353" t="s">
        <v>19</v>
      </c>
      <c r="Y11" s="330" t="s">
        <v>20</v>
      </c>
      <c r="Z11" s="333" t="s">
        <v>23</v>
      </c>
      <c r="AA11" s="334"/>
      <c r="AB11" s="335"/>
      <c r="AC11" s="339" t="s">
        <v>24</v>
      </c>
      <c r="AD11" s="339"/>
      <c r="AE11" s="339" t="s">
        <v>19</v>
      </c>
      <c r="AF11" s="342" t="s">
        <v>20</v>
      </c>
      <c r="AG11" s="351" t="s">
        <v>25</v>
      </c>
      <c r="AH11" s="318" t="s">
        <v>26</v>
      </c>
      <c r="AI11" s="321" t="s">
        <v>24</v>
      </c>
      <c r="AJ11" s="321"/>
      <c r="AK11" s="321"/>
      <c r="AL11" s="323" t="s">
        <v>27</v>
      </c>
      <c r="AM11" s="325" t="s">
        <v>25</v>
      </c>
      <c r="AN11" s="321" t="s">
        <v>24</v>
      </c>
      <c r="AO11" s="321"/>
      <c r="AP11" s="309"/>
      <c r="AQ11" s="327" t="s">
        <v>19</v>
      </c>
      <c r="AR11" s="309" t="s">
        <v>20</v>
      </c>
      <c r="AS11" s="312" t="s">
        <v>28</v>
      </c>
      <c r="AT11" s="315" t="s">
        <v>29</v>
      </c>
      <c r="AU11" s="315" t="s">
        <v>19</v>
      </c>
      <c r="AV11" s="315" t="s">
        <v>20</v>
      </c>
      <c r="AW11" s="348" t="s">
        <v>30</v>
      </c>
      <c r="AX11" s="284" t="s">
        <v>29</v>
      </c>
      <c r="AY11" s="284" t="s">
        <v>19</v>
      </c>
      <c r="AZ11" s="287" t="s">
        <v>20</v>
      </c>
      <c r="BA11" s="290" t="s">
        <v>31</v>
      </c>
    </row>
    <row r="12" spans="1:53" x14ac:dyDescent="0.2">
      <c r="A12" s="237"/>
      <c r="B12" s="240"/>
      <c r="C12" s="240"/>
      <c r="D12" s="244"/>
      <c r="E12" s="245"/>
      <c r="F12" s="247"/>
      <c r="G12" s="245"/>
      <c r="H12" s="294"/>
      <c r="I12" s="295"/>
      <c r="J12" s="297"/>
      <c r="K12" s="300"/>
      <c r="L12" s="294"/>
      <c r="M12" s="304"/>
      <c r="N12" s="249"/>
      <c r="O12" s="249"/>
      <c r="P12" s="249"/>
      <c r="Q12" s="274"/>
      <c r="R12" s="278"/>
      <c r="S12" s="278"/>
      <c r="T12" s="279"/>
      <c r="U12" s="282"/>
      <c r="V12" s="282"/>
      <c r="W12" s="283"/>
      <c r="X12" s="354"/>
      <c r="Y12" s="331"/>
      <c r="Z12" s="336"/>
      <c r="AA12" s="337"/>
      <c r="AB12" s="338"/>
      <c r="AC12" s="340"/>
      <c r="AD12" s="340"/>
      <c r="AE12" s="340"/>
      <c r="AF12" s="343"/>
      <c r="AG12" s="352"/>
      <c r="AH12" s="319"/>
      <c r="AI12" s="322"/>
      <c r="AJ12" s="322"/>
      <c r="AK12" s="322"/>
      <c r="AL12" s="324"/>
      <c r="AM12" s="326"/>
      <c r="AN12" s="322"/>
      <c r="AO12" s="322"/>
      <c r="AP12" s="310"/>
      <c r="AQ12" s="328"/>
      <c r="AR12" s="310"/>
      <c r="AS12" s="313"/>
      <c r="AT12" s="316"/>
      <c r="AU12" s="316"/>
      <c r="AV12" s="316"/>
      <c r="AW12" s="349"/>
      <c r="AX12" s="285"/>
      <c r="AY12" s="285"/>
      <c r="AZ12" s="288"/>
      <c r="BA12" s="290"/>
    </row>
    <row r="13" spans="1:53" ht="16" thickBot="1" x14ac:dyDescent="0.25">
      <c r="A13" s="238"/>
      <c r="B13" s="241"/>
      <c r="C13" s="241"/>
      <c r="D13" s="8" t="s">
        <v>32</v>
      </c>
      <c r="E13" s="9" t="s">
        <v>33</v>
      </c>
      <c r="F13" s="10" t="s">
        <v>32</v>
      </c>
      <c r="G13" s="9" t="s">
        <v>33</v>
      </c>
      <c r="H13" s="11" t="s">
        <v>32</v>
      </c>
      <c r="I13" s="12" t="s">
        <v>33</v>
      </c>
      <c r="J13" s="298"/>
      <c r="K13" s="301"/>
      <c r="L13" s="302"/>
      <c r="M13" s="305"/>
      <c r="N13" s="250"/>
      <c r="O13" s="250"/>
      <c r="P13" s="250"/>
      <c r="Q13" s="275"/>
      <c r="R13" s="13" t="s">
        <v>32</v>
      </c>
      <c r="S13" s="13" t="s">
        <v>34</v>
      </c>
      <c r="T13" s="14" t="s">
        <v>33</v>
      </c>
      <c r="U13" s="15" t="s">
        <v>32</v>
      </c>
      <c r="V13" s="15" t="s">
        <v>34</v>
      </c>
      <c r="W13" s="16" t="s">
        <v>33</v>
      </c>
      <c r="X13" s="355"/>
      <c r="Y13" s="332"/>
      <c r="Z13" s="17" t="s">
        <v>32</v>
      </c>
      <c r="AA13" s="18" t="s">
        <v>34</v>
      </c>
      <c r="AB13" s="19" t="s">
        <v>33</v>
      </c>
      <c r="AC13" s="20" t="s">
        <v>32</v>
      </c>
      <c r="AD13" s="20" t="s">
        <v>34</v>
      </c>
      <c r="AE13" s="341"/>
      <c r="AF13" s="344"/>
      <c r="AG13" s="21" t="s">
        <v>34</v>
      </c>
      <c r="AH13" s="320"/>
      <c r="AI13" s="22" t="s">
        <v>32</v>
      </c>
      <c r="AJ13" s="22" t="s">
        <v>34</v>
      </c>
      <c r="AK13" s="22" t="s">
        <v>33</v>
      </c>
      <c r="AL13" s="324"/>
      <c r="AM13" s="23" t="s">
        <v>33</v>
      </c>
      <c r="AN13" s="22" t="s">
        <v>32</v>
      </c>
      <c r="AO13" s="22" t="s">
        <v>34</v>
      </c>
      <c r="AP13" s="24" t="s">
        <v>33</v>
      </c>
      <c r="AQ13" s="329"/>
      <c r="AR13" s="311"/>
      <c r="AS13" s="314"/>
      <c r="AT13" s="317"/>
      <c r="AU13" s="317"/>
      <c r="AV13" s="317"/>
      <c r="AW13" s="350"/>
      <c r="AX13" s="286"/>
      <c r="AY13" s="286"/>
      <c r="AZ13" s="289"/>
      <c r="BA13" s="291"/>
    </row>
    <row r="14" spans="1:53" ht="16" thickBot="1" x14ac:dyDescent="0.25">
      <c r="A14" s="25">
        <v>0</v>
      </c>
      <c r="B14" s="26">
        <v>45307</v>
      </c>
      <c r="C14" s="27"/>
      <c r="D14" s="25"/>
      <c r="E14" s="28"/>
      <c r="F14" s="27"/>
      <c r="G14" s="28"/>
      <c r="H14" s="27"/>
      <c r="I14" s="28"/>
      <c r="J14" s="27">
        <v>4</v>
      </c>
      <c r="K14" s="29" t="s">
        <v>35</v>
      </c>
      <c r="L14" s="30" t="s">
        <v>238</v>
      </c>
      <c r="M14" s="153"/>
      <c r="N14" s="27"/>
      <c r="P14" s="32"/>
      <c r="Q14" s="25"/>
      <c r="R14" s="27"/>
      <c r="S14" s="27"/>
      <c r="T14" s="28"/>
      <c r="U14" s="27"/>
      <c r="V14" s="27"/>
      <c r="W14" s="28"/>
      <c r="X14" s="33"/>
      <c r="Y14" s="32"/>
      <c r="Z14" s="25"/>
      <c r="AA14" s="27"/>
      <c r="AB14" s="28"/>
      <c r="AC14" s="27"/>
      <c r="AD14" s="27"/>
      <c r="AE14" s="33"/>
      <c r="AG14" s="25"/>
      <c r="AH14" s="34"/>
      <c r="AI14" s="27"/>
      <c r="AJ14" s="27"/>
      <c r="AK14" s="27"/>
      <c r="AL14" s="25"/>
      <c r="AM14" s="35"/>
      <c r="AN14" s="27"/>
      <c r="AO14" s="27"/>
      <c r="AP14" s="36"/>
      <c r="AQ14" s="37"/>
      <c r="AR14" s="32"/>
      <c r="AS14" s="25"/>
      <c r="AT14" s="27"/>
      <c r="AU14" s="27"/>
      <c r="AW14" s="25"/>
      <c r="AX14" s="27"/>
      <c r="AY14" s="27"/>
      <c r="AZ14" s="32"/>
      <c r="BA14" s="38"/>
    </row>
    <row r="15" spans="1:53" ht="16" thickBot="1" x14ac:dyDescent="0.25">
      <c r="A15" s="25">
        <v>1</v>
      </c>
      <c r="B15" s="26">
        <v>45308</v>
      </c>
      <c r="C15" s="27"/>
      <c r="D15" s="25"/>
      <c r="E15" s="28"/>
      <c r="F15" s="27"/>
      <c r="G15" s="28"/>
      <c r="H15" s="27"/>
      <c r="I15" s="28"/>
      <c r="J15" s="27">
        <v>4</v>
      </c>
      <c r="K15" s="29" t="s">
        <v>35</v>
      </c>
      <c r="L15" s="39"/>
      <c r="M15" s="31"/>
      <c r="N15" s="27"/>
      <c r="P15" s="32"/>
      <c r="Q15" s="40"/>
      <c r="R15" s="27"/>
      <c r="S15" s="27"/>
      <c r="T15" s="28"/>
      <c r="U15" s="27"/>
      <c r="V15" s="27"/>
      <c r="W15" s="28"/>
      <c r="X15" s="33"/>
      <c r="Y15" s="32"/>
      <c r="Z15" s="25"/>
      <c r="AA15" s="27"/>
      <c r="AB15" s="28"/>
      <c r="AC15" s="27"/>
      <c r="AD15" s="27"/>
      <c r="AE15" s="33"/>
      <c r="AG15" s="25"/>
      <c r="AH15" s="34"/>
      <c r="AI15" s="27"/>
      <c r="AJ15" s="27"/>
      <c r="AK15" s="27"/>
      <c r="AL15" s="25"/>
      <c r="AM15" s="34"/>
      <c r="AN15" s="27"/>
      <c r="AO15" s="27"/>
      <c r="AP15" s="36"/>
      <c r="AQ15" s="37"/>
      <c r="AR15" s="32"/>
      <c r="AS15" s="25"/>
      <c r="AT15" s="27"/>
      <c r="AU15" s="27"/>
      <c r="AW15" s="25"/>
      <c r="AX15" s="27"/>
      <c r="AY15" s="27"/>
      <c r="AZ15" s="32"/>
      <c r="BA15" s="41"/>
    </row>
    <row r="16" spans="1:53" ht="16" thickBot="1" x14ac:dyDescent="0.25">
      <c r="A16" s="25">
        <v>2</v>
      </c>
      <c r="B16" s="26">
        <v>45309</v>
      </c>
      <c r="C16" s="27" t="s">
        <v>232</v>
      </c>
      <c r="D16" s="25"/>
      <c r="E16" s="28"/>
      <c r="F16" s="27"/>
      <c r="G16" s="28"/>
      <c r="H16" s="27"/>
      <c r="I16" s="28"/>
      <c r="J16" s="27">
        <v>4</v>
      </c>
      <c r="K16" s="29" t="s">
        <v>35</v>
      </c>
      <c r="L16" s="39"/>
      <c r="M16" s="31"/>
      <c r="N16" s="27"/>
      <c r="O16" s="42"/>
      <c r="Q16" s="43" t="s">
        <v>37</v>
      </c>
      <c r="R16" s="27"/>
      <c r="S16" s="27"/>
      <c r="T16" s="28"/>
      <c r="U16" s="27"/>
      <c r="V16" s="27"/>
      <c r="W16" s="28"/>
      <c r="X16" s="33"/>
      <c r="Y16" s="32"/>
      <c r="Z16" s="25"/>
      <c r="AA16" s="27"/>
      <c r="AB16" s="28"/>
      <c r="AC16" s="27"/>
      <c r="AD16" s="27"/>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3</v>
      </c>
      <c r="B17" s="26">
        <v>45310</v>
      </c>
      <c r="C17" s="27" t="s">
        <v>200</v>
      </c>
      <c r="D17" s="25"/>
      <c r="E17" s="28"/>
      <c r="F17" s="27"/>
      <c r="G17" s="28"/>
      <c r="H17" s="27"/>
      <c r="I17" s="28"/>
      <c r="J17" s="27">
        <v>0</v>
      </c>
      <c r="K17" s="29" t="s">
        <v>35</v>
      </c>
      <c r="L17" s="44" t="s">
        <v>239</v>
      </c>
      <c r="M17" s="177"/>
      <c r="N17" s="27" t="s">
        <v>240</v>
      </c>
      <c r="O17" s="45" t="s">
        <v>41</v>
      </c>
      <c r="P17" s="46" t="s">
        <v>241</v>
      </c>
      <c r="Q17" s="25"/>
      <c r="R17" s="27"/>
      <c r="S17" s="27"/>
      <c r="T17" s="28"/>
      <c r="U17" s="27" t="s">
        <v>158</v>
      </c>
      <c r="V17" s="27"/>
      <c r="W17" s="28" t="s">
        <v>158</v>
      </c>
      <c r="X17" s="47" t="s">
        <v>43</v>
      </c>
      <c r="Y17" s="32"/>
      <c r="Z17" s="25"/>
      <c r="AA17" s="27"/>
      <c r="AB17" s="28"/>
      <c r="AC17" s="27" t="s">
        <v>158</v>
      </c>
      <c r="AD17" s="27"/>
      <c r="AE17" s="48" t="s">
        <v>45</v>
      </c>
      <c r="AG17" s="25"/>
      <c r="AH17" s="34"/>
      <c r="AI17" s="27"/>
      <c r="AJ17" s="27"/>
      <c r="AK17" s="27"/>
      <c r="AL17" s="25"/>
      <c r="AM17" s="34"/>
      <c r="AN17" s="27"/>
      <c r="AO17" s="27"/>
      <c r="AP17" s="36"/>
      <c r="AQ17" s="37"/>
      <c r="AR17" s="32"/>
      <c r="AS17" s="25"/>
      <c r="AT17" s="27"/>
      <c r="AU17" s="27"/>
      <c r="AW17" s="25"/>
      <c r="AX17" s="27"/>
      <c r="AY17" s="27"/>
      <c r="AZ17" s="32"/>
      <c r="BA17" s="41"/>
    </row>
    <row r="18" spans="1:53" x14ac:dyDescent="0.2">
      <c r="A18" s="25">
        <v>4</v>
      </c>
      <c r="B18" s="26">
        <v>45311</v>
      </c>
      <c r="C18" s="27"/>
      <c r="D18" s="25"/>
      <c r="E18" s="28"/>
      <c r="F18" s="27"/>
      <c r="G18" s="28"/>
      <c r="H18" s="27"/>
      <c r="I18" s="28"/>
      <c r="J18" s="27">
        <v>0</v>
      </c>
      <c r="K18" s="29" t="s">
        <v>35</v>
      </c>
      <c r="L18" s="39"/>
      <c r="M18" s="31"/>
      <c r="N18" s="27"/>
      <c r="P18" s="32"/>
      <c r="Q18" s="25"/>
      <c r="R18" s="27"/>
      <c r="S18" s="27"/>
      <c r="T18" s="28"/>
      <c r="U18" s="27"/>
      <c r="V18" s="27"/>
      <c r="W18" s="28"/>
      <c r="X18" s="345"/>
      <c r="Y18" s="32"/>
      <c r="Z18" s="25"/>
      <c r="AA18" s="27"/>
      <c r="AB18" s="28"/>
      <c r="AC18" s="27"/>
      <c r="AD18" s="27"/>
      <c r="AE18" s="33"/>
      <c r="AG18" s="25"/>
      <c r="AH18" s="34"/>
      <c r="AI18" s="27"/>
      <c r="AJ18" s="27"/>
      <c r="AK18" s="27"/>
      <c r="AL18" s="25"/>
      <c r="AM18" s="34"/>
      <c r="AN18" s="27"/>
      <c r="AO18" s="27"/>
      <c r="AP18" s="36"/>
      <c r="AQ18" s="37"/>
      <c r="AR18" s="32"/>
      <c r="AS18" s="25"/>
      <c r="AT18" s="27"/>
      <c r="AU18" s="27"/>
      <c r="AW18" s="25"/>
      <c r="AX18" s="27"/>
      <c r="AY18" s="27"/>
      <c r="AZ18" s="32"/>
      <c r="BA18" s="41"/>
    </row>
    <row r="19" spans="1:53" x14ac:dyDescent="0.2">
      <c r="A19" s="25">
        <v>5</v>
      </c>
      <c r="B19" s="26">
        <v>45312</v>
      </c>
      <c r="C19" s="27" t="s">
        <v>232</v>
      </c>
      <c r="D19" s="25"/>
      <c r="E19" s="28"/>
      <c r="F19" s="27"/>
      <c r="G19" s="28"/>
      <c r="H19" s="27"/>
      <c r="I19" s="28"/>
      <c r="J19" s="27">
        <v>0</v>
      </c>
      <c r="K19" s="29" t="s">
        <v>35</v>
      </c>
      <c r="L19" s="39"/>
      <c r="M19" s="31"/>
      <c r="N19" s="27" t="s">
        <v>240</v>
      </c>
      <c r="P19" s="32"/>
      <c r="Q19" s="25"/>
      <c r="R19" s="27">
        <v>2.5</v>
      </c>
      <c r="S19" s="27"/>
      <c r="T19" s="28"/>
      <c r="U19" s="27">
        <v>5</v>
      </c>
      <c r="V19" s="27"/>
      <c r="W19" s="28">
        <v>5</v>
      </c>
      <c r="X19" s="346"/>
      <c r="Y19" s="32"/>
      <c r="Z19" s="25">
        <v>14.16</v>
      </c>
      <c r="AA19" s="27"/>
      <c r="AB19" s="28"/>
      <c r="AC19" s="27"/>
      <c r="AD19" s="27"/>
      <c r="AE19" s="33"/>
      <c r="AF19" t="s">
        <v>254</v>
      </c>
      <c r="AG19" s="25"/>
      <c r="AH19" s="34"/>
      <c r="AI19" s="27"/>
      <c r="AJ19" s="27"/>
      <c r="AK19" s="27"/>
      <c r="AL19" s="25"/>
      <c r="AM19" s="34"/>
      <c r="AN19" s="27"/>
      <c r="AO19" s="27"/>
      <c r="AP19" s="36"/>
      <c r="AQ19" s="37"/>
      <c r="AR19" s="32"/>
      <c r="AS19" s="25"/>
      <c r="AT19" s="27"/>
      <c r="AU19" s="27"/>
      <c r="AW19" s="25"/>
      <c r="AX19" s="27"/>
      <c r="AY19" s="27"/>
      <c r="AZ19" s="32"/>
      <c r="BA19" s="41"/>
    </row>
    <row r="20" spans="1:53" x14ac:dyDescent="0.2">
      <c r="A20" s="25">
        <v>6</v>
      </c>
      <c r="B20" s="26">
        <v>45313</v>
      </c>
      <c r="C20" s="27" t="s">
        <v>232</v>
      </c>
      <c r="D20" s="25"/>
      <c r="E20" s="28"/>
      <c r="F20" s="27"/>
      <c r="G20" s="28"/>
      <c r="H20" s="27"/>
      <c r="I20" s="28"/>
      <c r="J20" s="27">
        <v>0</v>
      </c>
      <c r="K20" s="29" t="s">
        <v>35</v>
      </c>
      <c r="L20" s="39" t="s">
        <v>247</v>
      </c>
      <c r="M20" s="31" t="s">
        <v>252</v>
      </c>
      <c r="N20" s="27" t="s">
        <v>240</v>
      </c>
      <c r="P20" s="32"/>
      <c r="Q20" s="25"/>
      <c r="R20" s="27"/>
      <c r="S20" s="27"/>
      <c r="T20" s="28"/>
      <c r="U20" s="27">
        <v>5</v>
      </c>
      <c r="V20" s="27"/>
      <c r="W20" s="28">
        <v>5</v>
      </c>
      <c r="X20" s="346"/>
      <c r="Y20" s="32"/>
      <c r="Z20" s="25" t="s">
        <v>250</v>
      </c>
      <c r="AA20" s="27"/>
      <c r="AB20" s="28"/>
      <c r="AC20" s="27"/>
      <c r="AD20" s="27"/>
      <c r="AE20" s="33"/>
      <c r="AF20" t="s">
        <v>251</v>
      </c>
      <c r="AG20" s="25"/>
      <c r="AH20" s="34"/>
      <c r="AI20" s="27"/>
      <c r="AJ20" s="27"/>
      <c r="AK20" s="27"/>
      <c r="AL20" s="25"/>
      <c r="AM20" s="34"/>
      <c r="AN20" s="27"/>
      <c r="AO20" s="27"/>
      <c r="AP20" s="36"/>
      <c r="AQ20" s="37"/>
      <c r="AR20" s="32"/>
      <c r="AS20" s="25"/>
      <c r="AT20" s="27"/>
      <c r="AU20" s="27"/>
      <c r="AW20" s="25"/>
      <c r="AX20" s="27"/>
      <c r="AY20" s="27"/>
      <c r="AZ20" s="32"/>
      <c r="BA20" s="41"/>
    </row>
    <row r="21" spans="1:53" x14ac:dyDescent="0.2">
      <c r="A21" s="25">
        <v>7</v>
      </c>
      <c r="B21" s="26">
        <v>45314</v>
      </c>
      <c r="C21" s="27" t="s">
        <v>232</v>
      </c>
      <c r="D21" s="25"/>
      <c r="E21" s="28"/>
      <c r="F21" s="27"/>
      <c r="G21" s="28"/>
      <c r="H21" s="27"/>
      <c r="I21" s="28"/>
      <c r="J21" s="27">
        <v>0</v>
      </c>
      <c r="K21" s="29" t="s">
        <v>35</v>
      </c>
      <c r="L21" s="39"/>
      <c r="M21" s="31"/>
      <c r="N21" s="27" t="s">
        <v>240</v>
      </c>
      <c r="P21" s="32"/>
      <c r="Q21" s="25"/>
      <c r="R21" s="27"/>
      <c r="S21" s="27"/>
      <c r="T21" s="28"/>
      <c r="U21" s="27">
        <v>5</v>
      </c>
      <c r="V21" s="27"/>
      <c r="W21" s="28"/>
      <c r="X21" s="346"/>
      <c r="Y21" s="32" t="s">
        <v>253</v>
      </c>
      <c r="Z21" s="25"/>
      <c r="AA21" s="27"/>
      <c r="AB21" s="28"/>
      <c r="AC21" s="27"/>
      <c r="AD21" s="27"/>
      <c r="AE21" s="33"/>
      <c r="AF21" t="s">
        <v>251</v>
      </c>
      <c r="AG21" s="25"/>
      <c r="AH21" s="34"/>
      <c r="AI21" s="27"/>
      <c r="AJ21" s="27"/>
      <c r="AK21" s="27"/>
      <c r="AL21" s="25"/>
      <c r="AM21" s="34"/>
      <c r="AN21" s="27"/>
      <c r="AO21" s="27"/>
      <c r="AP21" s="36"/>
      <c r="AQ21" s="37"/>
      <c r="AR21" s="32"/>
      <c r="AS21" s="25"/>
      <c r="AT21" s="27"/>
      <c r="AU21" s="27"/>
      <c r="AW21" s="25"/>
      <c r="AX21" s="27"/>
      <c r="AY21" s="27"/>
      <c r="AZ21" s="32"/>
      <c r="BA21" s="41"/>
    </row>
    <row r="22" spans="1:53" x14ac:dyDescent="0.2">
      <c r="A22" s="25">
        <v>8</v>
      </c>
      <c r="B22" s="26">
        <v>45315</v>
      </c>
      <c r="C22" s="27" t="s">
        <v>232</v>
      </c>
      <c r="D22" s="25"/>
      <c r="E22" s="28"/>
      <c r="F22" s="27"/>
      <c r="G22" s="28"/>
      <c r="H22" s="27"/>
      <c r="I22" s="28"/>
      <c r="J22" s="27">
        <v>0</v>
      </c>
      <c r="K22" s="29" t="s">
        <v>35</v>
      </c>
      <c r="L22" s="39"/>
      <c r="M22" s="31"/>
      <c r="N22" s="27" t="s">
        <v>240</v>
      </c>
      <c r="P22" s="32"/>
      <c r="Q22" s="25"/>
      <c r="R22" s="27"/>
      <c r="S22" s="27"/>
      <c r="T22" s="28"/>
      <c r="U22" s="27"/>
      <c r="V22" s="27"/>
      <c r="W22" s="28"/>
      <c r="X22" s="346"/>
      <c r="Y22" s="32" t="s">
        <v>255</v>
      </c>
      <c r="Z22" s="25"/>
      <c r="AA22" s="27"/>
      <c r="AB22" s="28"/>
      <c r="AC22" s="27"/>
      <c r="AD22" s="27"/>
      <c r="AE22" s="33"/>
      <c r="AF22" t="s">
        <v>251</v>
      </c>
      <c r="AG22" s="25"/>
      <c r="AH22" s="34"/>
      <c r="AI22" s="27"/>
      <c r="AJ22" s="27"/>
      <c r="AK22" s="27"/>
      <c r="AL22" s="25"/>
      <c r="AM22" s="34"/>
      <c r="AN22" s="27"/>
      <c r="AO22" s="27"/>
      <c r="AP22" s="36"/>
      <c r="AQ22" s="37"/>
      <c r="AR22" s="32"/>
      <c r="AS22" s="25"/>
      <c r="AT22" s="27"/>
      <c r="AU22" s="27"/>
      <c r="AW22" s="25"/>
      <c r="AX22" s="27"/>
      <c r="AY22" s="27"/>
      <c r="AZ22" s="32"/>
      <c r="BA22" s="41"/>
    </row>
    <row r="23" spans="1:53" ht="16" thickBot="1" x14ac:dyDescent="0.25">
      <c r="A23" s="25">
        <v>9</v>
      </c>
      <c r="B23" s="26">
        <v>45316</v>
      </c>
      <c r="C23" s="27" t="s">
        <v>232</v>
      </c>
      <c r="D23" s="25"/>
      <c r="E23" s="28"/>
      <c r="F23" s="27"/>
      <c r="G23" s="28"/>
      <c r="H23" s="27"/>
      <c r="I23" s="28"/>
      <c r="J23" s="27">
        <v>0</v>
      </c>
      <c r="K23" s="29" t="s">
        <v>35</v>
      </c>
      <c r="L23" s="39"/>
      <c r="M23" s="31" t="s">
        <v>257</v>
      </c>
      <c r="N23" s="27" t="s">
        <v>240</v>
      </c>
      <c r="P23" s="32"/>
      <c r="Q23" s="25"/>
      <c r="R23" s="27"/>
      <c r="S23" s="27"/>
      <c r="T23" s="28"/>
      <c r="U23" s="27"/>
      <c r="V23" s="27"/>
      <c r="W23" s="28">
        <v>3</v>
      </c>
      <c r="X23" s="346"/>
      <c r="Y23" s="32" t="s">
        <v>256</v>
      </c>
      <c r="Z23" s="25"/>
      <c r="AA23" s="27"/>
      <c r="AB23" s="28"/>
      <c r="AC23" s="27"/>
      <c r="AD23" s="27"/>
      <c r="AE23" s="33"/>
      <c r="AF23" t="s">
        <v>251</v>
      </c>
      <c r="AG23" s="25"/>
      <c r="AH23" s="34"/>
      <c r="AI23" s="27"/>
      <c r="AJ23" s="27"/>
      <c r="AK23" s="27"/>
      <c r="AL23" s="25"/>
      <c r="AM23" s="34"/>
      <c r="AN23" s="27"/>
      <c r="AO23" s="27"/>
      <c r="AP23" s="36"/>
      <c r="AQ23" s="37"/>
      <c r="AR23" s="32"/>
      <c r="AS23" s="25"/>
      <c r="AT23" s="27"/>
      <c r="AU23" s="27"/>
      <c r="AW23" s="25"/>
      <c r="AX23" s="27"/>
      <c r="AY23" s="27"/>
      <c r="AZ23" s="32"/>
      <c r="BA23" s="41"/>
    </row>
    <row r="24" spans="1:53" ht="16" thickBot="1" x14ac:dyDescent="0.25">
      <c r="A24" s="25">
        <v>10</v>
      </c>
      <c r="B24" s="26">
        <v>45317</v>
      </c>
      <c r="C24" s="27"/>
      <c r="D24" s="25"/>
      <c r="E24" s="28"/>
      <c r="F24" s="27"/>
      <c r="G24" s="28"/>
      <c r="H24" s="27"/>
      <c r="I24" s="28"/>
      <c r="J24" s="27">
        <v>0</v>
      </c>
      <c r="K24" s="29" t="s">
        <v>35</v>
      </c>
      <c r="L24" s="39"/>
      <c r="M24" s="153"/>
      <c r="N24" s="27"/>
      <c r="O24" s="49"/>
      <c r="P24" s="32"/>
      <c r="Q24" s="25"/>
      <c r="R24" s="27"/>
      <c r="S24" s="27"/>
      <c r="T24" s="28"/>
      <c r="U24" s="27"/>
      <c r="V24" s="27"/>
      <c r="W24" s="28"/>
      <c r="X24" s="346"/>
      <c r="Y24" s="32"/>
      <c r="Z24" s="25"/>
      <c r="AA24" s="27"/>
      <c r="AB24" s="28"/>
      <c r="AC24" s="27"/>
      <c r="AD24" s="27"/>
      <c r="AE24" s="50"/>
      <c r="AF24" s="182"/>
      <c r="AG24" s="25"/>
      <c r="AH24" s="34"/>
      <c r="AI24" s="27"/>
      <c r="AJ24" s="27"/>
      <c r="AK24" s="27"/>
      <c r="AL24" s="25"/>
      <c r="AM24" s="34"/>
      <c r="AN24" s="27"/>
      <c r="AO24" s="27"/>
      <c r="AP24" s="36"/>
      <c r="AQ24" s="37"/>
      <c r="AR24" s="32"/>
      <c r="AS24" s="25"/>
      <c r="AT24" s="27"/>
      <c r="AU24" s="27"/>
      <c r="AW24" s="25"/>
      <c r="AX24" s="27"/>
      <c r="AY24" s="27"/>
      <c r="AZ24" s="32"/>
      <c r="BA24" s="41"/>
    </row>
    <row r="25" spans="1:53" ht="16" thickBot="1" x14ac:dyDescent="0.25">
      <c r="A25" s="25">
        <v>11</v>
      </c>
      <c r="B25" s="26">
        <v>45318</v>
      </c>
      <c r="C25" s="27" t="s">
        <v>232</v>
      </c>
      <c r="D25" s="25"/>
      <c r="E25" s="28"/>
      <c r="F25" s="27"/>
      <c r="G25" s="28"/>
      <c r="H25" s="27"/>
      <c r="I25" s="28"/>
      <c r="J25" s="27">
        <v>0</v>
      </c>
      <c r="K25" s="29" t="s">
        <v>35</v>
      </c>
      <c r="L25" s="52"/>
      <c r="M25" s="31"/>
      <c r="N25" s="27" t="s">
        <v>240</v>
      </c>
      <c r="P25" s="32"/>
      <c r="Q25" s="25"/>
      <c r="R25" s="27"/>
      <c r="S25" s="27"/>
      <c r="T25" s="28">
        <v>2</v>
      </c>
      <c r="U25" s="27"/>
      <c r="V25" s="27"/>
      <c r="W25" s="28">
        <v>4</v>
      </c>
      <c r="X25" s="347"/>
      <c r="Y25" s="32"/>
      <c r="Z25" s="25" t="s">
        <v>262</v>
      </c>
      <c r="AA25" s="27"/>
      <c r="AB25" s="28"/>
      <c r="AC25" s="27"/>
      <c r="AD25" s="27"/>
      <c r="AE25" s="33"/>
      <c r="AF25" s="66" t="s">
        <v>251</v>
      </c>
      <c r="AG25" s="25"/>
      <c r="AH25" s="34"/>
      <c r="AI25" s="27"/>
      <c r="AJ25" s="27"/>
      <c r="AK25" s="27"/>
      <c r="AL25" s="25"/>
      <c r="AM25" s="34"/>
      <c r="AN25" s="27"/>
      <c r="AO25" s="27"/>
      <c r="AP25" s="36"/>
      <c r="AQ25" s="37"/>
      <c r="AR25" s="32"/>
      <c r="AS25" s="25"/>
      <c r="AT25" s="27"/>
      <c r="AU25" s="27"/>
      <c r="AW25" s="25"/>
      <c r="AX25" s="27"/>
      <c r="AY25" s="27"/>
      <c r="AZ25" s="32"/>
      <c r="BA25" s="41"/>
    </row>
    <row r="26" spans="1:53" ht="16" thickBot="1" x14ac:dyDescent="0.25">
      <c r="A26" s="25">
        <v>12</v>
      </c>
      <c r="B26" s="26">
        <v>45319</v>
      </c>
      <c r="C26" s="27" t="s">
        <v>232</v>
      </c>
      <c r="D26" s="25"/>
      <c r="E26" s="28"/>
      <c r="F26" s="27"/>
      <c r="G26" s="28"/>
      <c r="H26" s="27"/>
      <c r="I26" s="28"/>
      <c r="J26" s="27">
        <v>0</v>
      </c>
      <c r="K26" s="29" t="s">
        <v>35</v>
      </c>
      <c r="L26" s="53"/>
      <c r="M26" s="153"/>
      <c r="N26" s="27"/>
      <c r="P26" s="32" t="s">
        <v>259</v>
      </c>
      <c r="Q26" s="25"/>
      <c r="R26" s="27"/>
      <c r="S26" s="27"/>
      <c r="T26" s="28">
        <v>3</v>
      </c>
      <c r="U26" s="27"/>
      <c r="V26" s="27"/>
      <c r="W26" s="28"/>
      <c r="X26" s="179"/>
      <c r="Y26" s="32" t="s">
        <v>260</v>
      </c>
      <c r="Z26" s="25" t="s">
        <v>261</v>
      </c>
      <c r="AA26" s="27"/>
      <c r="AB26" s="28"/>
      <c r="AC26" s="27"/>
      <c r="AD26" s="27"/>
      <c r="AE26" s="33"/>
      <c r="AF26" t="s">
        <v>251</v>
      </c>
      <c r="AG26" s="25"/>
      <c r="AH26" s="34"/>
      <c r="AI26" s="27"/>
      <c r="AJ26" s="27"/>
      <c r="AK26" s="27"/>
      <c r="AL26" s="25"/>
      <c r="AM26" s="34"/>
      <c r="AN26" s="27"/>
      <c r="AO26" s="27"/>
      <c r="AP26" s="36"/>
      <c r="AQ26" s="37"/>
      <c r="AR26" s="32"/>
      <c r="AS26" s="25"/>
      <c r="AT26" s="27"/>
      <c r="AU26" s="27"/>
      <c r="AW26" s="25"/>
      <c r="AX26" s="27"/>
      <c r="AY26" s="27"/>
      <c r="AZ26" s="32"/>
      <c r="BA26" s="41"/>
    </row>
    <row r="27" spans="1:53" ht="16" thickBot="1" x14ac:dyDescent="0.25">
      <c r="A27" s="25">
        <v>13</v>
      </c>
      <c r="B27" s="26">
        <v>45320</v>
      </c>
      <c r="C27" s="27" t="s">
        <v>232</v>
      </c>
      <c r="D27" s="25"/>
      <c r="E27" s="28"/>
      <c r="F27" s="27"/>
      <c r="G27" s="28"/>
      <c r="H27" s="27"/>
      <c r="I27" s="28"/>
      <c r="J27" s="27">
        <v>0</v>
      </c>
      <c r="K27" s="29" t="s">
        <v>35</v>
      </c>
      <c r="L27" s="39"/>
      <c r="M27" s="31"/>
      <c r="N27" s="27" t="s">
        <v>240</v>
      </c>
      <c r="P27" s="32"/>
      <c r="Q27" s="25"/>
      <c r="R27" s="27"/>
      <c r="S27" s="27"/>
      <c r="T27" s="28">
        <v>1.84</v>
      </c>
      <c r="U27" s="27"/>
      <c r="V27" s="27"/>
      <c r="W27" s="28">
        <v>3</v>
      </c>
      <c r="X27" s="33"/>
      <c r="Y27" s="32" t="s">
        <v>256</v>
      </c>
      <c r="Z27" s="55">
        <v>3.78</v>
      </c>
      <c r="AA27" s="56"/>
      <c r="AB27" s="57"/>
      <c r="AC27" s="27"/>
      <c r="AD27" s="27"/>
      <c r="AE27" s="33"/>
      <c r="AF27" t="s">
        <v>263</v>
      </c>
      <c r="AG27" s="25"/>
      <c r="AH27" s="34"/>
      <c r="AI27" s="27"/>
      <c r="AJ27" s="27"/>
      <c r="AK27" s="27"/>
      <c r="AL27" s="25"/>
      <c r="AM27" s="34"/>
      <c r="AN27" s="27"/>
      <c r="AO27" s="27"/>
      <c r="AP27" s="36"/>
      <c r="AQ27" s="37"/>
      <c r="AR27" s="32"/>
      <c r="AS27" s="25"/>
      <c r="AT27" s="27"/>
      <c r="AU27" s="184"/>
      <c r="AW27" s="25"/>
      <c r="AX27" s="27"/>
      <c r="AY27" s="27"/>
      <c r="AZ27" s="32"/>
      <c r="BA27" s="41"/>
    </row>
    <row r="28" spans="1:53" ht="16" thickBot="1" x14ac:dyDescent="0.25">
      <c r="A28" s="25">
        <v>14</v>
      </c>
      <c r="B28" s="26">
        <v>45321</v>
      </c>
      <c r="C28" s="27" t="s">
        <v>232</v>
      </c>
      <c r="D28" s="25"/>
      <c r="E28" s="28"/>
      <c r="F28" s="27"/>
      <c r="G28" s="28"/>
      <c r="H28" s="27"/>
      <c r="I28" s="28"/>
      <c r="J28" s="27">
        <v>0</v>
      </c>
      <c r="K28" s="29" t="s">
        <v>35</v>
      </c>
      <c r="L28" s="39"/>
      <c r="M28" s="31"/>
      <c r="N28" s="27" t="s">
        <v>240</v>
      </c>
      <c r="P28" s="32"/>
      <c r="Q28" s="25"/>
      <c r="R28" s="27"/>
      <c r="S28" s="27"/>
      <c r="T28" s="28"/>
      <c r="U28" s="27"/>
      <c r="V28" s="27"/>
      <c r="W28" s="28"/>
      <c r="X28" s="33"/>
      <c r="Y28" s="32" t="s">
        <v>260</v>
      </c>
      <c r="Z28" s="59"/>
      <c r="AA28" s="60"/>
      <c r="AB28" s="61"/>
      <c r="AC28" s="27"/>
      <c r="AD28" s="27"/>
      <c r="AE28" s="33"/>
      <c r="AF28" t="s">
        <v>266</v>
      </c>
      <c r="AG28" s="25"/>
      <c r="AH28" s="34"/>
      <c r="AI28" s="27"/>
      <c r="AJ28" s="27"/>
      <c r="AK28" s="27"/>
      <c r="AL28" s="25"/>
      <c r="AM28" s="34"/>
      <c r="AN28" s="27"/>
      <c r="AO28" s="27"/>
      <c r="AP28" s="36"/>
      <c r="AQ28" s="37"/>
      <c r="AR28" s="32"/>
      <c r="AS28" s="25"/>
      <c r="AT28" s="27"/>
      <c r="AU28" s="182"/>
      <c r="AW28" s="25"/>
      <c r="AX28" s="27"/>
      <c r="AY28" s="27"/>
      <c r="AZ28" s="32"/>
      <c r="BA28" s="62"/>
    </row>
    <row r="29" spans="1:53" ht="16" thickBot="1" x14ac:dyDescent="0.25">
      <c r="A29" s="25">
        <v>15</v>
      </c>
      <c r="B29" s="26">
        <v>45322</v>
      </c>
      <c r="C29" s="27" t="s">
        <v>200</v>
      </c>
      <c r="D29" s="25"/>
      <c r="E29" s="28"/>
      <c r="F29" s="27"/>
      <c r="G29" s="28"/>
      <c r="H29" s="27"/>
      <c r="I29" s="28"/>
      <c r="J29" s="27">
        <v>0</v>
      </c>
      <c r="K29" s="29" t="s">
        <v>35</v>
      </c>
      <c r="L29" s="39" t="s">
        <v>267</v>
      </c>
      <c r="M29" s="31"/>
      <c r="N29" s="27"/>
      <c r="P29" s="32"/>
      <c r="Q29" s="25"/>
      <c r="R29" s="27"/>
      <c r="S29" s="27"/>
      <c r="T29" s="28"/>
      <c r="U29" s="27"/>
      <c r="V29" s="27"/>
      <c r="W29" s="28"/>
      <c r="X29" s="33"/>
      <c r="Y29" s="32"/>
      <c r="Z29" s="25"/>
      <c r="AA29" s="27"/>
      <c r="AB29" s="28"/>
      <c r="AC29" s="27"/>
      <c r="AD29" s="27"/>
      <c r="AE29" s="33"/>
      <c r="AG29" s="25"/>
      <c r="AH29" s="34"/>
      <c r="AI29" s="27"/>
      <c r="AJ29" s="27"/>
      <c r="AK29" s="27"/>
      <c r="AL29" s="25"/>
      <c r="AM29" s="34"/>
      <c r="AN29" s="27"/>
      <c r="AO29" s="27"/>
      <c r="AP29" s="36"/>
      <c r="AQ29" s="37"/>
      <c r="AR29" s="66"/>
      <c r="AS29" s="25"/>
      <c r="AT29" s="27"/>
      <c r="AU29" s="184"/>
      <c r="AW29" s="25"/>
      <c r="AX29" s="27"/>
      <c r="AY29" s="27"/>
      <c r="AZ29" s="32"/>
      <c r="BA29" s="41"/>
    </row>
    <row r="30" spans="1:53" ht="16" thickBot="1" x14ac:dyDescent="0.25">
      <c r="A30" s="25">
        <v>16</v>
      </c>
      <c r="B30" s="26">
        <v>45323</v>
      </c>
      <c r="C30" s="27" t="s">
        <v>227</v>
      </c>
      <c r="D30" s="25"/>
      <c r="E30" s="28"/>
      <c r="F30" s="27"/>
      <c r="G30" s="28"/>
      <c r="H30" s="27"/>
      <c r="I30" s="28"/>
      <c r="J30" s="27">
        <v>0</v>
      </c>
      <c r="K30" s="29" t="s">
        <v>35</v>
      </c>
      <c r="L30" s="44" t="s">
        <v>268</v>
      </c>
      <c r="M30" s="153"/>
      <c r="N30" s="27"/>
      <c r="P30" s="32"/>
      <c r="Q30" s="25"/>
      <c r="R30" s="27"/>
      <c r="S30" s="27"/>
      <c r="T30" s="28"/>
      <c r="U30" s="27"/>
      <c r="V30" s="27"/>
      <c r="W30" s="28"/>
      <c r="X30" s="180"/>
      <c r="Y30" s="66"/>
      <c r="AB30" s="28"/>
      <c r="AC30" s="27"/>
      <c r="AD30" s="27"/>
      <c r="AE30" s="33"/>
      <c r="AG30" s="25"/>
      <c r="AH30" s="34"/>
      <c r="AI30" s="27"/>
      <c r="AJ30" s="27"/>
      <c r="AK30" s="27"/>
      <c r="AL30" s="25"/>
      <c r="AM30" s="34"/>
      <c r="AN30" s="27"/>
      <c r="AO30" s="27"/>
      <c r="AP30" s="36"/>
      <c r="AQ30" s="64"/>
      <c r="AR30" s="187"/>
      <c r="AS30" s="25"/>
      <c r="AT30" s="27"/>
      <c r="AU30" s="185"/>
      <c r="AW30" s="25"/>
      <c r="AX30" s="27"/>
      <c r="AY30" s="27"/>
      <c r="AZ30" s="32"/>
      <c r="BA30" s="41"/>
    </row>
    <row r="31" spans="1:53" x14ac:dyDescent="0.2">
      <c r="A31" s="25">
        <v>17</v>
      </c>
      <c r="B31" s="26">
        <v>45324</v>
      </c>
      <c r="C31" s="27"/>
      <c r="D31" s="25"/>
      <c r="E31" s="28"/>
      <c r="F31" s="27"/>
      <c r="G31" s="28"/>
      <c r="H31" s="27"/>
      <c r="I31" s="28"/>
      <c r="J31" s="27">
        <v>0</v>
      </c>
      <c r="K31" s="29" t="s">
        <v>35</v>
      </c>
      <c r="L31" s="39"/>
      <c r="M31" s="31"/>
      <c r="N31" s="27"/>
      <c r="P31" s="32"/>
      <c r="Q31" s="25"/>
      <c r="R31" s="27"/>
      <c r="S31" s="27"/>
      <c r="T31" s="28"/>
      <c r="U31" s="27"/>
      <c r="V31" s="27"/>
      <c r="W31" s="28"/>
      <c r="X31" s="33"/>
      <c r="Y31" s="32"/>
      <c r="Z31" s="25"/>
      <c r="AA31" s="27"/>
      <c r="AB31" s="28"/>
      <c r="AC31" s="27"/>
      <c r="AD31" s="27"/>
      <c r="AE31" s="33"/>
      <c r="AG31" s="25"/>
      <c r="AH31" s="34"/>
      <c r="AI31" s="27"/>
      <c r="AJ31" s="27"/>
      <c r="AK31" s="27"/>
      <c r="AL31" s="25"/>
      <c r="AM31" s="34"/>
      <c r="AN31" s="27"/>
      <c r="AO31" s="27"/>
      <c r="AP31" s="36"/>
      <c r="AQ31" s="37"/>
      <c r="AR31" s="66"/>
      <c r="AS31" s="25"/>
      <c r="AT31" s="27"/>
      <c r="AU31" s="185"/>
      <c r="AW31" s="25"/>
      <c r="AX31" s="27"/>
      <c r="AY31" s="27"/>
      <c r="AZ31" s="32"/>
      <c r="BA31" s="41"/>
    </row>
    <row r="32" spans="1:53" ht="16" thickBot="1" x14ac:dyDescent="0.25">
      <c r="A32" s="25">
        <v>18</v>
      </c>
      <c r="B32" s="26">
        <v>45325</v>
      </c>
      <c r="C32" s="27"/>
      <c r="D32" s="25"/>
      <c r="E32" s="28"/>
      <c r="F32" s="27"/>
      <c r="G32" s="28"/>
      <c r="H32" s="27"/>
      <c r="I32" s="28"/>
      <c r="J32" s="27">
        <v>0</v>
      </c>
      <c r="K32" s="29" t="s">
        <v>35</v>
      </c>
      <c r="L32" s="39"/>
      <c r="M32" s="31"/>
      <c r="N32" s="27"/>
      <c r="P32" s="66"/>
      <c r="Q32" s="25"/>
      <c r="R32" s="27"/>
      <c r="S32" s="27"/>
      <c r="T32" s="28"/>
      <c r="U32" s="27"/>
      <c r="V32" s="27"/>
      <c r="W32" s="28"/>
      <c r="X32" s="33"/>
      <c r="Y32" s="32"/>
      <c r="Z32" s="25"/>
      <c r="AA32" s="27"/>
      <c r="AB32" s="28"/>
      <c r="AC32" s="27"/>
      <c r="AD32" s="27"/>
      <c r="AE32" s="33"/>
      <c r="AG32" s="25"/>
      <c r="AH32" s="34"/>
      <c r="AI32" s="27"/>
      <c r="AJ32" s="27"/>
      <c r="AK32" s="27"/>
      <c r="AL32" s="25"/>
      <c r="AM32" s="34"/>
      <c r="AN32" s="27"/>
      <c r="AO32" s="27"/>
      <c r="AP32" s="36"/>
      <c r="AQ32" s="178"/>
      <c r="AR32" s="66"/>
      <c r="AS32" s="25"/>
      <c r="AT32" s="27"/>
      <c r="AU32" s="182"/>
      <c r="AW32" s="25"/>
      <c r="AX32" s="27"/>
      <c r="AY32" s="27"/>
      <c r="AZ32" s="32"/>
      <c r="BA32" s="41"/>
    </row>
    <row r="33" spans="1:53" ht="16" thickBot="1" x14ac:dyDescent="0.25">
      <c r="A33" s="25">
        <v>19</v>
      </c>
      <c r="B33" s="26">
        <v>45326</v>
      </c>
      <c r="C33" s="27"/>
      <c r="D33" s="25"/>
      <c r="E33" s="28"/>
      <c r="F33" s="27"/>
      <c r="G33" s="28"/>
      <c r="H33" s="27"/>
      <c r="I33" s="28"/>
      <c r="J33" s="27">
        <v>0</v>
      </c>
      <c r="K33" s="29" t="s">
        <v>35</v>
      </c>
      <c r="L33" s="39"/>
      <c r="M33" s="31"/>
      <c r="N33" s="27"/>
      <c r="P33" s="32"/>
      <c r="Q33" s="25"/>
      <c r="R33" s="27"/>
      <c r="S33" s="27"/>
      <c r="T33" s="28"/>
      <c r="U33" s="27"/>
      <c r="V33" s="27"/>
      <c r="W33" s="28"/>
      <c r="X33" s="33"/>
      <c r="Y33" s="32"/>
      <c r="Z33" s="25"/>
      <c r="AA33" s="27"/>
      <c r="AB33" s="28"/>
      <c r="AC33" s="27"/>
      <c r="AD33" s="27"/>
      <c r="AE33" s="33"/>
      <c r="AG33" s="25"/>
      <c r="AH33" s="34"/>
      <c r="AI33" s="27"/>
      <c r="AJ33" s="27"/>
      <c r="AK33" s="27"/>
      <c r="AL33" s="25"/>
      <c r="AM33" s="34"/>
      <c r="AN33" s="27"/>
      <c r="AO33" s="27"/>
      <c r="AP33" s="36"/>
      <c r="AQ33" s="183"/>
      <c r="AR33" s="32"/>
      <c r="AS33" s="25"/>
      <c r="AT33" s="27"/>
      <c r="AU33" s="185"/>
      <c r="AW33" s="25"/>
      <c r="AX33" s="27"/>
      <c r="AY33" s="27"/>
      <c r="AZ33" s="32"/>
      <c r="BA33" s="80" t="s">
        <v>68</v>
      </c>
    </row>
    <row r="34" spans="1:53" ht="16" thickBot="1" x14ac:dyDescent="0.25">
      <c r="A34" s="25">
        <v>20</v>
      </c>
      <c r="B34" s="26">
        <v>45327</v>
      </c>
      <c r="C34" s="27"/>
      <c r="D34" s="25"/>
      <c r="E34" s="28"/>
      <c r="F34" s="27"/>
      <c r="G34" s="28"/>
      <c r="H34" s="27"/>
      <c r="I34" s="28"/>
      <c r="J34" s="27">
        <v>3</v>
      </c>
      <c r="K34" s="29" t="s">
        <v>35</v>
      </c>
      <c r="L34" s="39"/>
      <c r="M34" s="153" t="s">
        <v>245</v>
      </c>
      <c r="N34" s="27"/>
      <c r="O34" s="306" t="s">
        <v>66</v>
      </c>
      <c r="P34" s="32"/>
      <c r="Q34" s="25"/>
      <c r="R34" s="27"/>
      <c r="S34" s="27"/>
      <c r="T34" s="28"/>
      <c r="U34" s="27"/>
      <c r="V34" s="27"/>
      <c r="W34" s="28"/>
      <c r="X34" s="33"/>
      <c r="Y34" s="32"/>
      <c r="Z34" s="25"/>
      <c r="AA34" s="27"/>
      <c r="AB34" s="28"/>
      <c r="AC34" s="27"/>
      <c r="AD34" s="27"/>
      <c r="AE34" s="33"/>
      <c r="AG34" s="25"/>
      <c r="AH34" s="34"/>
      <c r="AI34" s="27">
        <v>2.5000000000000001E-2</v>
      </c>
      <c r="AJ34" s="27"/>
      <c r="AK34" s="27">
        <v>2.5000000000000001E-2</v>
      </c>
      <c r="AL34" s="25"/>
      <c r="AM34" s="34"/>
      <c r="AN34" s="27"/>
      <c r="AO34" s="27"/>
      <c r="AP34" s="36"/>
      <c r="AQ34" s="68" t="s">
        <v>211</v>
      </c>
      <c r="AR34" s="32" t="s">
        <v>64</v>
      </c>
      <c r="AS34" s="25"/>
      <c r="AT34" s="27"/>
      <c r="AU34" s="185"/>
      <c r="AW34" s="25"/>
      <c r="AX34" s="27"/>
      <c r="AY34" s="27"/>
      <c r="AZ34" s="32"/>
      <c r="BA34" s="41"/>
    </row>
    <row r="35" spans="1:53" ht="16" thickBot="1" x14ac:dyDescent="0.25">
      <c r="A35" s="70">
        <v>21</v>
      </c>
      <c r="B35" s="26">
        <v>45328</v>
      </c>
      <c r="C35" s="71"/>
      <c r="D35" s="70"/>
      <c r="E35" s="72"/>
      <c r="F35" s="71"/>
      <c r="G35" s="72"/>
      <c r="H35" s="71"/>
      <c r="I35" s="72"/>
      <c r="J35" s="27">
        <v>3</v>
      </c>
      <c r="K35" s="29" t="s">
        <v>35</v>
      </c>
      <c r="L35" s="39"/>
      <c r="M35" s="73"/>
      <c r="N35" s="27"/>
      <c r="O35" s="307"/>
      <c r="P35" s="74"/>
      <c r="Q35" s="70"/>
      <c r="R35" s="71"/>
      <c r="S35" s="71"/>
      <c r="T35" s="72"/>
      <c r="U35" s="71"/>
      <c r="V35" s="71"/>
      <c r="W35" s="72"/>
      <c r="X35" s="33"/>
      <c r="Y35" s="75"/>
      <c r="Z35" s="70"/>
      <c r="AA35" s="71"/>
      <c r="AB35" s="72"/>
      <c r="AC35" s="27"/>
      <c r="AD35" s="71"/>
      <c r="AE35" s="33"/>
      <c r="AF35" s="76"/>
      <c r="AG35" s="70"/>
      <c r="AH35" s="77"/>
      <c r="AI35" s="27">
        <v>2.5000000000000001E-2</v>
      </c>
      <c r="AJ35" s="71"/>
      <c r="AK35" s="27">
        <v>2.5000000000000001E-2</v>
      </c>
      <c r="AL35" s="70"/>
      <c r="AM35" s="77"/>
      <c r="AN35" s="27"/>
      <c r="AO35" s="71"/>
      <c r="AP35" s="78"/>
      <c r="AQ35" s="37"/>
      <c r="AR35" s="75"/>
      <c r="AS35" s="70"/>
      <c r="AT35" s="27"/>
      <c r="AU35" s="186"/>
      <c r="AV35" s="76"/>
      <c r="AW35" s="70"/>
      <c r="AX35" s="71"/>
      <c r="AY35" s="71"/>
      <c r="AZ35" s="75"/>
      <c r="BA35" s="79"/>
    </row>
    <row r="36" spans="1:53" ht="16" thickBot="1" x14ac:dyDescent="0.25">
      <c r="A36" s="25">
        <v>22</v>
      </c>
      <c r="B36" s="26">
        <v>45329</v>
      </c>
      <c r="C36" s="27"/>
      <c r="D36" s="25"/>
      <c r="E36" s="28"/>
      <c r="F36" s="27"/>
      <c r="G36" s="28"/>
      <c r="H36" s="27"/>
      <c r="I36" s="28"/>
      <c r="J36" s="27">
        <v>3</v>
      </c>
      <c r="K36" s="29" t="s">
        <v>35</v>
      </c>
      <c r="L36" s="39"/>
      <c r="M36" s="69"/>
      <c r="N36" s="27"/>
      <c r="O36" s="307"/>
      <c r="P36" s="66"/>
      <c r="Q36" s="43"/>
      <c r="R36" s="27"/>
      <c r="S36" s="27"/>
      <c r="T36" s="28"/>
      <c r="U36" s="27"/>
      <c r="V36" s="27"/>
      <c r="W36" s="28"/>
      <c r="X36" s="33"/>
      <c r="Y36" s="32"/>
      <c r="Z36" s="60"/>
      <c r="AA36" s="60"/>
      <c r="AB36" s="61"/>
      <c r="AC36" s="27"/>
      <c r="AD36" s="27"/>
      <c r="AE36" s="33"/>
      <c r="AG36" s="25"/>
      <c r="AH36" s="34"/>
      <c r="AI36" s="27">
        <v>2.5000000000000001E-2</v>
      </c>
      <c r="AJ36" s="27"/>
      <c r="AK36" s="27">
        <v>2.5000000000000001E-2</v>
      </c>
      <c r="AL36" s="25"/>
      <c r="AM36" s="34"/>
      <c r="AN36" s="27"/>
      <c r="AO36" s="27"/>
      <c r="AP36" s="36"/>
      <c r="AQ36" s="37"/>
      <c r="AR36" s="32"/>
      <c r="AS36" s="25"/>
      <c r="AT36" s="27"/>
      <c r="AU36" s="185"/>
      <c r="AW36" s="25"/>
      <c r="AX36" s="27"/>
      <c r="AY36" s="27"/>
      <c r="AZ36" s="32"/>
      <c r="BA36" s="189"/>
    </row>
    <row r="37" spans="1:53" ht="16" thickBot="1" x14ac:dyDescent="0.25">
      <c r="A37" s="25">
        <v>23</v>
      </c>
      <c r="B37" s="26">
        <v>45330</v>
      </c>
      <c r="C37" s="27"/>
      <c r="D37" s="25"/>
      <c r="E37" s="28"/>
      <c r="F37" s="27"/>
      <c r="G37" s="28"/>
      <c r="H37" s="27"/>
      <c r="I37" s="28"/>
      <c r="J37" s="27">
        <v>3</v>
      </c>
      <c r="K37" s="29" t="s">
        <v>35</v>
      </c>
      <c r="L37" s="39"/>
      <c r="M37" s="153"/>
      <c r="N37" s="27"/>
      <c r="O37" s="307"/>
      <c r="P37" s="66"/>
      <c r="Q37" s="25"/>
      <c r="R37" s="27"/>
      <c r="S37" s="27"/>
      <c r="T37" s="28"/>
      <c r="U37" s="27"/>
      <c r="V37" s="27"/>
      <c r="W37" s="28"/>
      <c r="X37" s="33"/>
      <c r="Y37" s="32"/>
      <c r="Z37" s="25"/>
      <c r="AA37" s="27"/>
      <c r="AB37" s="28"/>
      <c r="AC37" s="27"/>
      <c r="AD37" s="27"/>
      <c r="AE37" s="33"/>
      <c r="AG37" s="25"/>
      <c r="AH37" s="34"/>
      <c r="AI37" s="27">
        <v>2.5000000000000001E-2</v>
      </c>
      <c r="AJ37" s="27"/>
      <c r="AK37" s="27">
        <v>2.5000000000000001E-2</v>
      </c>
      <c r="AL37" s="25"/>
      <c r="AM37" s="34"/>
      <c r="AN37" s="27"/>
      <c r="AO37" s="27"/>
      <c r="AP37" s="36"/>
      <c r="AQ37" s="37"/>
      <c r="AR37" s="32"/>
      <c r="AS37" s="25"/>
      <c r="AT37" s="27"/>
      <c r="AU37" s="184"/>
      <c r="AW37" s="25"/>
      <c r="AX37" s="27"/>
      <c r="AY37" s="27"/>
      <c r="AZ37" s="32"/>
      <c r="BA37" s="41"/>
    </row>
    <row r="38" spans="1:53" ht="16" thickBot="1" x14ac:dyDescent="0.25">
      <c r="A38" s="25">
        <v>24</v>
      </c>
      <c r="B38" s="26">
        <v>45331</v>
      </c>
      <c r="C38" s="27"/>
      <c r="D38" s="25"/>
      <c r="E38" s="28"/>
      <c r="F38" s="27"/>
      <c r="G38" s="28"/>
      <c r="H38" s="27"/>
      <c r="I38" s="28"/>
      <c r="J38" s="27">
        <v>3</v>
      </c>
      <c r="K38" s="29" t="s">
        <v>35</v>
      </c>
      <c r="L38" s="178"/>
      <c r="M38" s="153"/>
      <c r="N38" s="27"/>
      <c r="O38" s="307"/>
      <c r="P38" s="66"/>
      <c r="Q38" s="25"/>
      <c r="R38" s="27"/>
      <c r="S38" s="27"/>
      <c r="T38" s="28"/>
      <c r="U38" s="27"/>
      <c r="V38" s="27"/>
      <c r="W38" s="28"/>
      <c r="X38" s="33"/>
      <c r="Y38" s="32"/>
      <c r="Z38" s="25"/>
      <c r="AA38" s="27"/>
      <c r="AB38" s="28"/>
      <c r="AC38" s="27"/>
      <c r="AD38" s="27"/>
      <c r="AE38" s="50"/>
      <c r="AF38" s="66"/>
      <c r="AG38" s="25"/>
      <c r="AH38" s="34"/>
      <c r="AI38" s="27">
        <v>2.5000000000000001E-2</v>
      </c>
      <c r="AJ38" s="27"/>
      <c r="AK38" s="27">
        <v>2.5000000000000001E-2</v>
      </c>
      <c r="AL38" s="25"/>
      <c r="AM38" s="34"/>
      <c r="AN38" s="27">
        <v>2.5000000000000001E-2</v>
      </c>
      <c r="AO38" s="27"/>
      <c r="AP38" s="36">
        <v>2.5000000000000001E-2</v>
      </c>
      <c r="AQ38" s="188" t="s">
        <v>244</v>
      </c>
      <c r="AR38" s="66"/>
      <c r="AS38" s="25"/>
      <c r="AT38" s="27"/>
      <c r="AU38" s="184"/>
      <c r="AW38" s="25"/>
      <c r="AX38" s="27"/>
      <c r="AY38" s="27"/>
      <c r="AZ38" s="32"/>
      <c r="BA38" s="41"/>
    </row>
    <row r="39" spans="1:53" ht="16" thickBot="1" x14ac:dyDescent="0.25">
      <c r="A39" s="25">
        <v>25</v>
      </c>
      <c r="B39" s="26">
        <v>45332</v>
      </c>
      <c r="C39" s="27"/>
      <c r="D39" s="25"/>
      <c r="E39" s="28"/>
      <c r="F39" s="27"/>
      <c r="G39" s="28"/>
      <c r="H39" s="27"/>
      <c r="I39" s="28"/>
      <c r="J39" s="174" t="s">
        <v>210</v>
      </c>
      <c r="K39" s="29" t="s">
        <v>35</v>
      </c>
      <c r="L39" s="44" t="s">
        <v>246</v>
      </c>
      <c r="M39" s="153"/>
      <c r="N39" s="27"/>
      <c r="O39" s="307"/>
      <c r="P39" s="66"/>
      <c r="Q39" s="43"/>
      <c r="R39" s="27"/>
      <c r="S39" s="27"/>
      <c r="T39" s="28"/>
      <c r="U39" s="27"/>
      <c r="V39" s="27"/>
      <c r="W39" s="28"/>
      <c r="X39" s="181" t="s">
        <v>224</v>
      </c>
      <c r="Y39" s="32"/>
      <c r="Z39" s="27"/>
      <c r="AA39" s="27"/>
      <c r="AB39" s="28"/>
      <c r="AC39" s="27"/>
      <c r="AD39" s="27"/>
      <c r="AE39" s="33"/>
      <c r="AF39" s="46" t="s">
        <v>248</v>
      </c>
      <c r="AG39" s="25"/>
      <c r="AH39" s="34"/>
      <c r="AI39" s="27">
        <v>2.5000000000000001E-2</v>
      </c>
      <c r="AJ39" s="27"/>
      <c r="AK39" s="27">
        <v>2.5000000000000001E-2</v>
      </c>
      <c r="AL39" s="25"/>
      <c r="AM39" s="34"/>
      <c r="AN39" s="27">
        <v>2.5000000000000001E-2</v>
      </c>
      <c r="AO39" s="27"/>
      <c r="AP39" s="36">
        <v>2.5000000000000001E-2</v>
      </c>
      <c r="AQ39" s="37"/>
      <c r="AR39" s="32" t="s">
        <v>64</v>
      </c>
      <c r="AS39" s="25" t="s">
        <v>72</v>
      </c>
      <c r="AT39" s="27" t="s">
        <v>52</v>
      </c>
      <c r="AU39" s="153" t="s">
        <v>170</v>
      </c>
      <c r="AW39" s="25"/>
      <c r="AX39" s="27"/>
      <c r="AY39" s="27"/>
      <c r="AZ39" s="32"/>
      <c r="BA39" s="41"/>
    </row>
    <row r="40" spans="1:53" ht="16" thickBot="1" x14ac:dyDescent="0.25">
      <c r="A40" s="25">
        <v>26</v>
      </c>
      <c r="B40" s="26">
        <v>45333</v>
      </c>
      <c r="C40" s="27"/>
      <c r="D40" s="25"/>
      <c r="E40" s="28"/>
      <c r="F40" s="27"/>
      <c r="G40" s="28"/>
      <c r="H40" s="27"/>
      <c r="I40" s="28"/>
      <c r="J40" s="174" t="s">
        <v>210</v>
      </c>
      <c r="K40" s="29" t="s">
        <v>35</v>
      </c>
      <c r="L40" s="39"/>
      <c r="M40" s="31"/>
      <c r="N40" s="27"/>
      <c r="O40" s="307"/>
      <c r="P40" s="66"/>
      <c r="Q40" s="25"/>
      <c r="R40" s="27"/>
      <c r="S40" s="27"/>
      <c r="T40" s="28"/>
      <c r="U40" s="27"/>
      <c r="V40" s="27"/>
      <c r="W40" s="28"/>
      <c r="X40" s="33"/>
      <c r="Y40" s="32"/>
      <c r="Z40" s="25"/>
      <c r="AA40" s="27"/>
      <c r="AB40" s="28"/>
      <c r="AC40" s="27"/>
      <c r="AD40" s="27"/>
      <c r="AE40" s="33"/>
      <c r="AG40" s="25"/>
      <c r="AH40" s="34"/>
      <c r="AI40" s="27">
        <v>2.5000000000000001E-2</v>
      </c>
      <c r="AJ40" s="27"/>
      <c r="AK40" s="27">
        <v>2.5000000000000001E-2</v>
      </c>
      <c r="AL40" s="25"/>
      <c r="AM40" s="34"/>
      <c r="AN40" s="27">
        <v>2.5000000000000001E-2</v>
      </c>
      <c r="AO40" s="27"/>
      <c r="AP40" s="36">
        <v>2.5000000000000001E-2</v>
      </c>
      <c r="AQ40" s="37"/>
      <c r="AR40" s="32" t="s">
        <v>64</v>
      </c>
      <c r="AS40" s="25" t="s">
        <v>72</v>
      </c>
      <c r="AT40" s="27" t="s">
        <v>52</v>
      </c>
      <c r="AW40" s="25"/>
      <c r="AX40" s="27"/>
      <c r="AY40" s="27"/>
      <c r="AZ40" s="32"/>
      <c r="BA40" s="41"/>
    </row>
    <row r="41" spans="1:53" ht="16" thickBot="1" x14ac:dyDescent="0.25">
      <c r="A41" s="25">
        <v>27</v>
      </c>
      <c r="B41" s="26">
        <v>45334</v>
      </c>
      <c r="C41" s="27"/>
      <c r="D41" s="25"/>
      <c r="E41" s="28"/>
      <c r="F41" s="27"/>
      <c r="G41" s="28"/>
      <c r="H41" s="27"/>
      <c r="I41" s="28"/>
      <c r="J41" s="174" t="s">
        <v>210</v>
      </c>
      <c r="K41" s="29" t="s">
        <v>35</v>
      </c>
      <c r="L41" s="39"/>
      <c r="M41" s="153"/>
      <c r="N41" s="27"/>
      <c r="O41" s="307"/>
      <c r="P41" s="32"/>
      <c r="Q41" s="25"/>
      <c r="R41" s="27"/>
      <c r="S41" s="27"/>
      <c r="T41" s="28"/>
      <c r="U41" s="27"/>
      <c r="V41" s="27"/>
      <c r="W41" s="28"/>
      <c r="X41" s="33"/>
      <c r="Y41" s="32"/>
      <c r="Z41" s="25"/>
      <c r="AA41" s="27"/>
      <c r="AB41" s="28"/>
      <c r="AC41" s="27"/>
      <c r="AD41" s="27"/>
      <c r="AE41" s="33"/>
      <c r="AG41" s="25"/>
      <c r="AH41" s="34"/>
      <c r="AI41" s="27">
        <v>2.5000000000000001E-2</v>
      </c>
      <c r="AJ41" s="27"/>
      <c r="AK41" s="27">
        <v>2.5000000000000001E-2</v>
      </c>
      <c r="AL41" s="25"/>
      <c r="AM41" s="34"/>
      <c r="AN41" s="27">
        <v>2.5000000000000001E-2</v>
      </c>
      <c r="AO41" s="27">
        <v>2.5000000000000001E-2</v>
      </c>
      <c r="AP41" s="36">
        <v>2.5000000000000001E-2</v>
      </c>
      <c r="AQ41" s="68" t="s">
        <v>212</v>
      </c>
      <c r="AR41" s="32" t="s">
        <v>75</v>
      </c>
      <c r="AS41" s="25" t="s">
        <v>72</v>
      </c>
      <c r="AT41" s="27" t="s">
        <v>52</v>
      </c>
      <c r="AU41" s="27"/>
      <c r="AW41" s="25"/>
      <c r="AX41" s="27"/>
      <c r="AY41" s="27"/>
      <c r="AZ41" s="32"/>
      <c r="BA41" s="41"/>
    </row>
    <row r="42" spans="1:53" x14ac:dyDescent="0.2">
      <c r="A42" s="25">
        <v>28</v>
      </c>
      <c r="B42" s="26">
        <v>45335</v>
      </c>
      <c r="C42" s="27"/>
      <c r="D42" s="25"/>
      <c r="E42" s="28"/>
      <c r="F42" s="27"/>
      <c r="G42" s="28"/>
      <c r="H42" s="27"/>
      <c r="I42" s="28"/>
      <c r="J42" s="174" t="s">
        <v>210</v>
      </c>
      <c r="K42" s="29" t="s">
        <v>35</v>
      </c>
      <c r="L42" s="39"/>
      <c r="M42" s="31"/>
      <c r="N42" s="27"/>
      <c r="O42" s="307"/>
      <c r="P42" s="32"/>
      <c r="Q42" s="25"/>
      <c r="R42" s="27"/>
      <c r="S42" s="27"/>
      <c r="T42" s="28"/>
      <c r="U42" s="27"/>
      <c r="V42" s="27"/>
      <c r="W42" s="28"/>
      <c r="Y42" s="32"/>
      <c r="Z42" s="25"/>
      <c r="AA42" s="27"/>
      <c r="AB42" s="28"/>
      <c r="AC42" s="27"/>
      <c r="AD42" s="27"/>
      <c r="AE42" s="33"/>
      <c r="AG42" s="25"/>
      <c r="AH42" s="34"/>
      <c r="AI42" s="27"/>
      <c r="AJ42" s="27"/>
      <c r="AK42" s="27"/>
      <c r="AL42" s="25"/>
      <c r="AM42" s="34"/>
      <c r="AN42" s="27">
        <v>2.5000000000000001E-2</v>
      </c>
      <c r="AO42" s="27">
        <v>2.5000000000000001E-2</v>
      </c>
      <c r="AP42" s="27">
        <v>2.5000000000000001E-2</v>
      </c>
      <c r="AR42" s="32" t="s">
        <v>75</v>
      </c>
      <c r="AS42" s="25" t="s">
        <v>72</v>
      </c>
      <c r="AT42" s="27" t="s">
        <v>52</v>
      </c>
      <c r="AU42" s="27"/>
      <c r="AW42" s="25"/>
      <c r="AX42" s="27"/>
      <c r="AY42" s="27"/>
      <c r="AZ42" s="32"/>
      <c r="BA42" s="41"/>
    </row>
    <row r="43" spans="1:53" ht="17.25" customHeight="1" thickBot="1" x14ac:dyDescent="0.25">
      <c r="A43" s="25">
        <v>29</v>
      </c>
      <c r="B43" s="26">
        <v>45336</v>
      </c>
      <c r="C43" s="27"/>
      <c r="D43" s="25"/>
      <c r="E43" s="28"/>
      <c r="F43" s="27"/>
      <c r="G43" s="28"/>
      <c r="H43" s="27"/>
      <c r="I43" s="28"/>
      <c r="J43" s="174" t="s">
        <v>210</v>
      </c>
      <c r="K43" s="29" t="s">
        <v>35</v>
      </c>
      <c r="L43" s="39"/>
      <c r="M43" s="31"/>
      <c r="N43" s="27"/>
      <c r="O43" s="307"/>
      <c r="P43" s="32"/>
      <c r="Q43" s="25"/>
      <c r="R43" s="27"/>
      <c r="S43" s="27"/>
      <c r="T43" s="28"/>
      <c r="U43" s="27"/>
      <c r="V43" s="27"/>
      <c r="W43" s="28"/>
      <c r="X43" s="33"/>
      <c r="Y43" s="32"/>
      <c r="Z43" s="25"/>
      <c r="AA43" s="27"/>
      <c r="AB43" s="28"/>
      <c r="AC43" s="27"/>
      <c r="AD43" s="27"/>
      <c r="AE43" s="33"/>
      <c r="AG43" s="25"/>
      <c r="AH43" s="34"/>
      <c r="AI43" s="27"/>
      <c r="AJ43" s="27"/>
      <c r="AK43" s="27"/>
      <c r="AL43" s="25"/>
      <c r="AM43" s="34"/>
      <c r="AN43" s="27">
        <v>2.5000000000000001E-2</v>
      </c>
      <c r="AO43" s="27">
        <v>2.5000000000000001E-2</v>
      </c>
      <c r="AP43" s="27">
        <v>2.5000000000000001E-2</v>
      </c>
      <c r="AQ43" s="37"/>
      <c r="AR43" s="32"/>
      <c r="AS43" s="25" t="s">
        <v>72</v>
      </c>
      <c r="AT43" s="27" t="s">
        <v>52</v>
      </c>
      <c r="AU43" s="27"/>
      <c r="AW43" s="25"/>
      <c r="AX43" s="27"/>
      <c r="AY43" s="27"/>
      <c r="AZ43" s="32"/>
      <c r="BA43" s="41"/>
    </row>
    <row r="44" spans="1:53" s="87" customFormat="1" ht="16" thickBot="1" x14ac:dyDescent="0.25">
      <c r="A44" s="83">
        <v>30</v>
      </c>
      <c r="B44" s="26">
        <v>45337</v>
      </c>
      <c r="C44" s="83"/>
      <c r="D44" s="83"/>
      <c r="E44" s="83"/>
      <c r="F44" s="83"/>
      <c r="G44" s="83"/>
      <c r="H44" s="83"/>
      <c r="I44" s="83"/>
      <c r="J44" s="174" t="s">
        <v>210</v>
      </c>
      <c r="K44" s="85" t="s">
        <v>35</v>
      </c>
      <c r="L44" s="86"/>
      <c r="M44" s="86"/>
      <c r="N44" s="27"/>
      <c r="O44" s="307"/>
      <c r="Q44" s="83"/>
      <c r="R44" s="83"/>
      <c r="S44" s="83"/>
      <c r="T44" s="83"/>
      <c r="U44" s="83"/>
      <c r="V44" s="83"/>
      <c r="W44" s="83"/>
      <c r="X44" s="83"/>
      <c r="Z44" s="83"/>
      <c r="AA44" s="83"/>
      <c r="AB44" s="83"/>
      <c r="AC44" s="83"/>
      <c r="AD44" s="83"/>
      <c r="AE44" s="83"/>
      <c r="AG44" s="83"/>
      <c r="AH44" s="83"/>
      <c r="AI44" s="83"/>
      <c r="AJ44" s="83"/>
      <c r="AK44" s="83"/>
      <c r="AL44" s="83"/>
      <c r="AM44" s="83"/>
      <c r="AN44" s="83">
        <v>0.2</v>
      </c>
      <c r="AO44" s="83">
        <v>0.2</v>
      </c>
      <c r="AP44" s="83">
        <v>0.2</v>
      </c>
      <c r="AQ44" s="87" t="s">
        <v>213</v>
      </c>
      <c r="AS44" s="83" t="s">
        <v>72</v>
      </c>
      <c r="AT44" s="83" t="s">
        <v>52</v>
      </c>
      <c r="AU44" s="83"/>
      <c r="AW44" s="83"/>
      <c r="AX44" s="83"/>
      <c r="AY44" s="83"/>
      <c r="BA44" s="83"/>
    </row>
    <row r="45" spans="1:53" x14ac:dyDescent="0.2">
      <c r="A45" s="25">
        <v>31</v>
      </c>
      <c r="B45" s="26">
        <v>45338</v>
      </c>
      <c r="C45" s="27"/>
      <c r="D45" s="25"/>
      <c r="E45" s="28"/>
      <c r="F45" s="27"/>
      <c r="G45" s="28"/>
      <c r="H45" s="27"/>
      <c r="I45" s="28"/>
      <c r="J45" s="174" t="s">
        <v>210</v>
      </c>
      <c r="K45" s="29" t="s">
        <v>35</v>
      </c>
      <c r="L45" s="39"/>
      <c r="M45" s="31"/>
      <c r="N45" s="27"/>
      <c r="O45" s="307"/>
      <c r="P45" s="32"/>
      <c r="Q45" s="25"/>
      <c r="R45" s="27"/>
      <c r="S45" s="27"/>
      <c r="T45" s="28"/>
      <c r="U45" s="27"/>
      <c r="V45" s="27"/>
      <c r="W45" s="28"/>
      <c r="X45" s="33"/>
      <c r="Y45" s="32"/>
      <c r="Z45" s="25"/>
      <c r="AA45" s="27"/>
      <c r="AB45" s="28"/>
      <c r="AC45" s="27"/>
      <c r="AD45" s="27"/>
      <c r="AE45" s="33"/>
      <c r="AG45" s="25"/>
      <c r="AH45" s="34"/>
      <c r="AI45" s="27"/>
      <c r="AJ45" s="27"/>
      <c r="AK45" s="27"/>
      <c r="AL45" s="25"/>
      <c r="AM45" s="34"/>
      <c r="AN45" s="27">
        <v>0.2</v>
      </c>
      <c r="AO45" s="27">
        <v>0.2</v>
      </c>
      <c r="AP45" s="36">
        <v>0.2</v>
      </c>
      <c r="AQ45" s="37"/>
      <c r="AR45" s="46"/>
      <c r="AS45" s="25" t="s">
        <v>72</v>
      </c>
      <c r="AT45" s="27" t="s">
        <v>52</v>
      </c>
      <c r="AU45" s="27"/>
      <c r="AW45" s="25"/>
      <c r="AX45" s="27"/>
      <c r="AY45" s="27"/>
      <c r="AZ45" s="32"/>
      <c r="BA45" s="41"/>
    </row>
    <row r="46" spans="1:53" x14ac:dyDescent="0.2">
      <c r="A46" s="25">
        <v>32</v>
      </c>
      <c r="B46" s="26">
        <v>45339</v>
      </c>
      <c r="C46" s="27"/>
      <c r="D46" s="25"/>
      <c r="E46" s="28"/>
      <c r="F46" s="27"/>
      <c r="G46" s="28"/>
      <c r="H46" s="27"/>
      <c r="I46" s="28"/>
      <c r="J46" s="174" t="s">
        <v>210</v>
      </c>
      <c r="K46" s="29" t="s">
        <v>35</v>
      </c>
      <c r="L46" s="39"/>
      <c r="M46" s="31"/>
      <c r="N46" s="27"/>
      <c r="O46" s="307"/>
      <c r="P46" s="32"/>
      <c r="Q46" s="25"/>
      <c r="R46" s="27"/>
      <c r="S46" s="27"/>
      <c r="T46" s="28"/>
      <c r="U46" s="27"/>
      <c r="V46" s="27"/>
      <c r="W46" s="28"/>
      <c r="X46" s="33"/>
      <c r="Y46" s="32"/>
      <c r="Z46" s="25"/>
      <c r="AA46" s="27"/>
      <c r="AB46" s="28"/>
      <c r="AC46" s="27"/>
      <c r="AD46" s="27"/>
      <c r="AE46" s="33"/>
      <c r="AG46" s="25"/>
      <c r="AH46" s="34"/>
      <c r="AI46" s="27"/>
      <c r="AJ46" s="27"/>
      <c r="AK46" s="27"/>
      <c r="AL46" s="25"/>
      <c r="AM46" s="34"/>
      <c r="AN46" s="27"/>
      <c r="AO46" s="27"/>
      <c r="AP46" s="36"/>
      <c r="AQ46" s="37"/>
      <c r="AR46" s="32"/>
      <c r="AS46" s="25" t="s">
        <v>72</v>
      </c>
      <c r="AT46" s="27" t="s">
        <v>52</v>
      </c>
      <c r="AU46" s="27"/>
      <c r="AW46" s="25"/>
      <c r="AX46" s="27"/>
      <c r="AY46" s="27"/>
      <c r="AZ46" s="32"/>
      <c r="BA46" s="41"/>
    </row>
    <row r="47" spans="1:53" x14ac:dyDescent="0.2">
      <c r="A47" s="25">
        <v>33</v>
      </c>
      <c r="B47" s="26">
        <v>45340</v>
      </c>
      <c r="C47" s="27"/>
      <c r="D47" s="25"/>
      <c r="E47" s="28"/>
      <c r="F47" s="27"/>
      <c r="G47" s="28"/>
      <c r="H47" s="27"/>
      <c r="I47" s="28"/>
      <c r="J47" s="174" t="s">
        <v>210</v>
      </c>
      <c r="K47" s="29" t="s">
        <v>35</v>
      </c>
      <c r="L47" s="39"/>
      <c r="M47" s="31"/>
      <c r="N47" s="27"/>
      <c r="O47" s="307"/>
      <c r="P47" s="32"/>
      <c r="Q47" s="25"/>
      <c r="R47" s="27"/>
      <c r="S47" s="27"/>
      <c r="T47" s="28"/>
      <c r="U47" s="27"/>
      <c r="V47" s="27"/>
      <c r="W47" s="28"/>
      <c r="X47" s="33"/>
      <c r="Y47" s="32"/>
      <c r="Z47" s="25"/>
      <c r="AA47" s="27"/>
      <c r="AB47" s="28"/>
      <c r="AC47" s="27"/>
      <c r="AD47" s="27"/>
      <c r="AE47" s="33"/>
      <c r="AG47" s="25"/>
      <c r="AH47" s="34"/>
      <c r="AI47" s="27"/>
      <c r="AJ47" s="27"/>
      <c r="AK47" s="27"/>
      <c r="AL47" s="25"/>
      <c r="AM47" s="34"/>
      <c r="AN47" s="27"/>
      <c r="AO47" s="27"/>
      <c r="AP47" s="36"/>
      <c r="AQ47" s="37"/>
      <c r="AR47" s="32"/>
      <c r="AS47" s="25" t="s">
        <v>72</v>
      </c>
      <c r="AT47" s="27" t="s">
        <v>52</v>
      </c>
      <c r="AW47" s="25"/>
      <c r="AX47" s="27"/>
      <c r="AY47" s="27"/>
      <c r="AZ47" s="32"/>
      <c r="BA47" s="41"/>
    </row>
    <row r="48" spans="1:53" ht="16" thickBot="1" x14ac:dyDescent="0.25">
      <c r="A48" s="25">
        <v>34</v>
      </c>
      <c r="B48" s="26">
        <v>45341</v>
      </c>
      <c r="C48" s="27"/>
      <c r="D48" s="25"/>
      <c r="E48" s="28"/>
      <c r="F48" s="27"/>
      <c r="G48" s="28"/>
      <c r="H48" s="27"/>
      <c r="I48" s="28"/>
      <c r="J48" s="174" t="s">
        <v>210</v>
      </c>
      <c r="K48" s="29" t="s">
        <v>35</v>
      </c>
      <c r="L48" s="39"/>
      <c r="M48" s="31"/>
      <c r="N48" s="27"/>
      <c r="O48" s="307"/>
      <c r="P48" s="32"/>
      <c r="Q48" s="25"/>
      <c r="R48" s="27"/>
      <c r="S48" s="27"/>
      <c r="T48" s="28"/>
      <c r="U48" s="27"/>
      <c r="V48" s="27"/>
      <c r="W48" s="28"/>
      <c r="X48" s="33"/>
      <c r="Y48" s="32"/>
      <c r="Z48" s="25"/>
      <c r="AA48" s="27"/>
      <c r="AB48" s="28"/>
      <c r="AC48" s="27"/>
      <c r="AD48" s="27"/>
      <c r="AE48" s="33"/>
      <c r="AG48" s="25"/>
      <c r="AH48" s="34"/>
      <c r="AI48" s="27"/>
      <c r="AJ48" s="27"/>
      <c r="AK48" s="27"/>
      <c r="AL48" s="25"/>
      <c r="AM48" s="34"/>
      <c r="AN48" s="27"/>
      <c r="AO48" s="27"/>
      <c r="AP48" s="36"/>
      <c r="AQ48" s="37"/>
      <c r="AR48" s="32"/>
      <c r="AS48" s="25" t="s">
        <v>72</v>
      </c>
      <c r="AT48" s="27" t="s">
        <v>52</v>
      </c>
      <c r="AU48" s="27"/>
      <c r="AW48" s="25"/>
      <c r="AX48" s="27"/>
      <c r="AY48" s="27"/>
      <c r="AZ48" s="32"/>
      <c r="BA48" s="41"/>
    </row>
    <row r="49" spans="1:53" ht="16" thickBot="1" x14ac:dyDescent="0.25">
      <c r="A49" s="25">
        <v>35</v>
      </c>
      <c r="B49" s="26">
        <v>45342</v>
      </c>
      <c r="C49" s="27"/>
      <c r="D49" s="25"/>
      <c r="E49" s="28"/>
      <c r="F49" s="27"/>
      <c r="G49" s="28"/>
      <c r="H49" s="27"/>
      <c r="I49" s="28"/>
      <c r="J49" s="174" t="s">
        <v>210</v>
      </c>
      <c r="K49" s="29" t="s">
        <v>35</v>
      </c>
      <c r="L49" s="39" t="s">
        <v>83</v>
      </c>
      <c r="M49" s="153" t="s">
        <v>172</v>
      </c>
      <c r="N49" s="27"/>
      <c r="O49" s="307"/>
      <c r="P49" s="32"/>
      <c r="Q49" s="25"/>
      <c r="R49" s="27"/>
      <c r="S49" s="27"/>
      <c r="T49" s="28"/>
      <c r="U49" s="27"/>
      <c r="V49" s="27"/>
      <c r="W49" s="28"/>
      <c r="X49" s="33"/>
      <c r="Y49" s="32"/>
      <c r="Z49" s="25"/>
      <c r="AA49" s="27"/>
      <c r="AB49" s="28"/>
      <c r="AC49" s="27"/>
      <c r="AD49" s="27"/>
      <c r="AE49" s="33"/>
      <c r="AG49" s="25"/>
      <c r="AH49" s="34"/>
      <c r="AI49" s="27"/>
      <c r="AJ49" s="27"/>
      <c r="AK49" s="27"/>
      <c r="AL49" s="25"/>
      <c r="AM49" s="34"/>
      <c r="AN49" s="27"/>
      <c r="AO49" s="27"/>
      <c r="AP49" s="36"/>
      <c r="AQ49" s="37"/>
      <c r="AR49" s="32"/>
      <c r="AS49" s="25" t="s">
        <v>72</v>
      </c>
      <c r="AT49" s="27" t="s">
        <v>52</v>
      </c>
      <c r="AU49" s="58" t="s">
        <v>77</v>
      </c>
      <c r="AW49" s="25"/>
      <c r="AX49" s="27"/>
      <c r="AY49" s="27"/>
      <c r="AZ49" s="32"/>
      <c r="BA49" s="41"/>
    </row>
    <row r="50" spans="1:53" ht="16" thickBot="1" x14ac:dyDescent="0.25">
      <c r="A50" s="25">
        <v>36</v>
      </c>
      <c r="B50" s="26">
        <v>45343</v>
      </c>
      <c r="C50" s="27"/>
      <c r="D50" s="25"/>
      <c r="E50" s="28"/>
      <c r="F50" s="27"/>
      <c r="G50" s="28"/>
      <c r="H50" s="27"/>
      <c r="I50" s="28"/>
      <c r="J50" s="174" t="s">
        <v>210</v>
      </c>
      <c r="K50" s="29" t="s">
        <v>35</v>
      </c>
      <c r="L50" s="53"/>
      <c r="M50" s="31"/>
      <c r="N50" s="27"/>
      <c r="O50" s="307"/>
      <c r="P50" s="32"/>
      <c r="Q50" s="25"/>
      <c r="R50" s="27"/>
      <c r="S50" s="27"/>
      <c r="T50" s="28"/>
      <c r="U50" s="27"/>
      <c r="V50" s="27"/>
      <c r="W50" s="28"/>
      <c r="X50" s="33"/>
      <c r="Y50" s="32"/>
      <c r="Z50" s="25"/>
      <c r="AA50" s="27"/>
      <c r="AB50" s="28"/>
      <c r="AC50" s="27"/>
      <c r="AD50" s="27"/>
      <c r="AE50" s="33"/>
      <c r="AG50" s="25"/>
      <c r="AH50" s="34"/>
      <c r="AI50" s="27"/>
      <c r="AJ50" s="27"/>
      <c r="AK50" s="27"/>
      <c r="AL50" s="25"/>
      <c r="AM50" s="34"/>
      <c r="AN50" s="27"/>
      <c r="AO50" s="27"/>
      <c r="AP50" s="36"/>
      <c r="AQ50" s="37"/>
      <c r="AR50" s="32"/>
      <c r="AS50" s="25" t="s">
        <v>78</v>
      </c>
      <c r="AT50" s="27" t="s">
        <v>52</v>
      </c>
      <c r="AW50" s="25"/>
      <c r="AX50" s="27"/>
      <c r="AY50" s="27"/>
      <c r="AZ50" s="32"/>
      <c r="BA50" s="41"/>
    </row>
    <row r="51" spans="1:53" ht="16" thickBot="1" x14ac:dyDescent="0.25">
      <c r="A51" s="25">
        <v>37</v>
      </c>
      <c r="B51" s="26">
        <v>45344</v>
      </c>
      <c r="C51" s="27"/>
      <c r="D51" s="25"/>
      <c r="E51" s="28"/>
      <c r="F51" s="27"/>
      <c r="G51" s="28"/>
      <c r="H51" s="27"/>
      <c r="I51" s="28"/>
      <c r="J51" s="174" t="s">
        <v>210</v>
      </c>
      <c r="K51" s="29" t="s">
        <v>35</v>
      </c>
      <c r="L51" s="53"/>
      <c r="M51" s="31"/>
      <c r="N51" s="27"/>
      <c r="O51" s="307"/>
      <c r="P51" s="32"/>
      <c r="Q51" s="25"/>
      <c r="R51" s="27"/>
      <c r="S51" s="27"/>
      <c r="T51" s="28"/>
      <c r="U51" s="27"/>
      <c r="V51" s="27"/>
      <c r="W51" s="28"/>
      <c r="X51" s="33"/>
      <c r="Y51" s="32"/>
      <c r="Z51" s="59"/>
      <c r="AA51" s="60"/>
      <c r="AB51" s="61"/>
      <c r="AC51" s="27"/>
      <c r="AD51" s="27"/>
      <c r="AE51" s="33"/>
      <c r="AG51" s="25"/>
      <c r="AH51" s="34"/>
      <c r="AI51" s="27"/>
      <c r="AJ51" s="27"/>
      <c r="AK51" s="27"/>
      <c r="AL51" s="25"/>
      <c r="AM51" s="34"/>
      <c r="AN51" s="27"/>
      <c r="AO51" s="27"/>
      <c r="AP51" s="36"/>
      <c r="AQ51" s="37"/>
      <c r="AR51" s="32"/>
      <c r="AS51" s="25" t="s">
        <v>78</v>
      </c>
      <c r="AT51" s="27" t="s">
        <v>52</v>
      </c>
      <c r="AU51" s="27"/>
      <c r="AW51" s="25"/>
      <c r="AX51" s="27"/>
      <c r="AY51" s="27"/>
      <c r="AZ51" s="32"/>
      <c r="BA51" s="41"/>
    </row>
    <row r="52" spans="1:53" x14ac:dyDescent="0.2">
      <c r="A52" s="25">
        <v>38</v>
      </c>
      <c r="B52" s="26">
        <v>45345</v>
      </c>
      <c r="C52" s="27"/>
      <c r="D52" s="25"/>
      <c r="E52" s="28"/>
      <c r="F52" s="27"/>
      <c r="G52" s="28"/>
      <c r="H52" s="27"/>
      <c r="I52" s="28"/>
      <c r="J52" s="174" t="s">
        <v>210</v>
      </c>
      <c r="K52" s="29" t="s">
        <v>35</v>
      </c>
      <c r="L52" s="39"/>
      <c r="M52" s="31"/>
      <c r="N52" s="27"/>
      <c r="O52" s="307"/>
      <c r="P52" s="32"/>
      <c r="Q52" s="25"/>
      <c r="R52" s="27"/>
      <c r="S52" s="27"/>
      <c r="T52" s="28"/>
      <c r="U52" s="27"/>
      <c r="V52" s="27"/>
      <c r="W52" s="28"/>
      <c r="X52" s="33"/>
      <c r="Y52" s="32"/>
      <c r="Z52" s="25"/>
      <c r="AA52" s="27"/>
      <c r="AB52" s="28"/>
      <c r="AC52" s="27"/>
      <c r="AD52" s="27"/>
      <c r="AE52" s="33"/>
      <c r="AG52" s="25"/>
      <c r="AH52" s="34"/>
      <c r="AI52" s="27"/>
      <c r="AJ52" s="27"/>
      <c r="AK52" s="27"/>
      <c r="AL52" s="25"/>
      <c r="AM52" s="34"/>
      <c r="AN52" s="27"/>
      <c r="AO52" s="27"/>
      <c r="AP52" s="36"/>
      <c r="AQ52" s="37"/>
      <c r="AR52" s="32"/>
      <c r="AS52" s="25" t="s">
        <v>78</v>
      </c>
      <c r="AT52" s="27" t="s">
        <v>52</v>
      </c>
      <c r="AU52" s="27"/>
      <c r="AW52" s="25"/>
      <c r="AX52" s="27"/>
      <c r="AY52" s="27"/>
      <c r="AZ52" s="32"/>
      <c r="BA52" s="41"/>
    </row>
    <row r="53" spans="1:53" ht="16" thickBot="1" x14ac:dyDescent="0.25">
      <c r="A53" s="25">
        <v>39</v>
      </c>
      <c r="B53" s="26">
        <v>45346</v>
      </c>
      <c r="C53" s="27"/>
      <c r="D53" s="25"/>
      <c r="E53" s="28"/>
      <c r="F53" s="27"/>
      <c r="G53" s="28"/>
      <c r="H53" s="27"/>
      <c r="I53" s="28"/>
      <c r="J53" s="174" t="s">
        <v>210</v>
      </c>
      <c r="K53" s="29" t="s">
        <v>35</v>
      </c>
      <c r="M53" s="31"/>
      <c r="N53" s="27"/>
      <c r="O53" s="307"/>
      <c r="P53" s="32"/>
      <c r="Q53" s="25"/>
      <c r="R53" s="27"/>
      <c r="S53" s="27"/>
      <c r="T53" s="28"/>
      <c r="U53" s="27"/>
      <c r="V53" s="27"/>
      <c r="W53" s="28"/>
      <c r="X53" s="33"/>
      <c r="Y53" s="32"/>
      <c r="Z53" s="25"/>
      <c r="AA53" s="27"/>
      <c r="AB53" s="28"/>
      <c r="AC53" s="27"/>
      <c r="AD53" s="27"/>
      <c r="AE53" s="33"/>
      <c r="AG53" s="25"/>
      <c r="AH53" s="34"/>
      <c r="AI53" s="27"/>
      <c r="AJ53" s="27"/>
      <c r="AK53" s="27"/>
      <c r="AL53" s="25"/>
      <c r="AM53" s="34"/>
      <c r="AN53" s="27"/>
      <c r="AO53" s="27"/>
      <c r="AP53" s="36"/>
      <c r="AQ53" s="37"/>
      <c r="AR53" s="32"/>
      <c r="AS53" s="25" t="s">
        <v>78</v>
      </c>
      <c r="AT53" s="27" t="s">
        <v>52</v>
      </c>
      <c r="AU53" s="27"/>
      <c r="AW53" s="25"/>
      <c r="AX53" s="27"/>
      <c r="AY53" s="27"/>
      <c r="AZ53" s="32"/>
      <c r="BA53" s="41"/>
    </row>
    <row r="54" spans="1:53" ht="16" thickBot="1" x14ac:dyDescent="0.25">
      <c r="A54" s="25">
        <v>40</v>
      </c>
      <c r="B54" s="26">
        <v>45347</v>
      </c>
      <c r="C54" s="27"/>
      <c r="D54" s="25"/>
      <c r="E54" s="28"/>
      <c r="F54" s="27"/>
      <c r="G54" s="28"/>
      <c r="H54" s="27"/>
      <c r="I54" s="28"/>
      <c r="J54" s="174" t="s">
        <v>210</v>
      </c>
      <c r="K54" s="29" t="s">
        <v>35</v>
      </c>
      <c r="L54" s="53"/>
      <c r="M54" s="153" t="s">
        <v>173</v>
      </c>
      <c r="N54" s="27"/>
      <c r="O54" s="308"/>
      <c r="Q54" s="25"/>
      <c r="R54" s="27"/>
      <c r="S54" s="27"/>
      <c r="T54" s="28"/>
      <c r="U54" s="27"/>
      <c r="V54" s="27"/>
      <c r="W54" s="28"/>
      <c r="X54" s="33"/>
      <c r="Y54" s="32"/>
      <c r="Z54" s="59"/>
      <c r="AA54" s="60"/>
      <c r="AB54" s="61"/>
      <c r="AC54" s="27"/>
      <c r="AD54" s="27"/>
      <c r="AE54" s="33"/>
      <c r="AG54" s="25"/>
      <c r="AH54" s="34"/>
      <c r="AI54" s="27"/>
      <c r="AJ54" s="27"/>
      <c r="AK54" s="27"/>
      <c r="AL54" s="25"/>
      <c r="AM54" s="34"/>
      <c r="AN54" s="27"/>
      <c r="AO54" s="27"/>
      <c r="AP54" s="36"/>
      <c r="AQ54" s="37"/>
      <c r="AR54" s="32"/>
      <c r="AS54" s="25" t="s">
        <v>79</v>
      </c>
      <c r="AT54" s="27" t="s">
        <v>52</v>
      </c>
      <c r="AU54" s="58" t="s">
        <v>80</v>
      </c>
      <c r="AW54" s="25"/>
      <c r="AX54" s="27"/>
      <c r="AY54" s="27"/>
      <c r="AZ54" s="32"/>
      <c r="BA54" s="41"/>
    </row>
    <row r="55" spans="1:53" x14ac:dyDescent="0.2">
      <c r="A55" s="25">
        <v>41</v>
      </c>
      <c r="B55" s="26">
        <v>45348</v>
      </c>
      <c r="C55" s="27"/>
      <c r="D55" s="25"/>
      <c r="E55" s="28"/>
      <c r="F55" s="27"/>
      <c r="G55" s="28"/>
      <c r="H55" s="27"/>
      <c r="I55" s="28"/>
      <c r="J55" s="174" t="s">
        <v>210</v>
      </c>
      <c r="K55" s="29" t="s">
        <v>35</v>
      </c>
      <c r="M55" s="31"/>
      <c r="N55" s="27"/>
      <c r="P55" s="32"/>
      <c r="Q55" s="25"/>
      <c r="R55" s="27"/>
      <c r="S55" s="27"/>
      <c r="T55" s="28"/>
      <c r="U55" s="27"/>
      <c r="V55" s="27"/>
      <c r="W55" s="28"/>
      <c r="X55" s="33"/>
      <c r="Y55" s="32"/>
      <c r="Z55" s="25"/>
      <c r="AA55" s="27"/>
      <c r="AB55" s="28"/>
      <c r="AC55" s="27"/>
      <c r="AD55" s="27"/>
      <c r="AE55" s="33"/>
      <c r="AG55" s="25"/>
      <c r="AH55" s="34"/>
      <c r="AI55" s="27"/>
      <c r="AJ55" s="27"/>
      <c r="AK55" s="27"/>
      <c r="AL55" s="25"/>
      <c r="AM55" s="34"/>
      <c r="AN55" s="27"/>
      <c r="AO55" s="27"/>
      <c r="AP55" s="36"/>
      <c r="AQ55" s="37"/>
      <c r="AR55" s="32"/>
      <c r="AS55" s="25" t="s">
        <v>79</v>
      </c>
      <c r="AT55" s="27" t="s">
        <v>52</v>
      </c>
      <c r="AU55" s="27"/>
      <c r="AW55" s="25"/>
      <c r="AX55" s="27"/>
      <c r="AY55" s="27"/>
      <c r="AZ55" s="32"/>
      <c r="BA55" s="41"/>
    </row>
    <row r="56" spans="1:53" x14ac:dyDescent="0.2">
      <c r="A56" s="25">
        <v>42</v>
      </c>
      <c r="B56" s="26">
        <v>45349</v>
      </c>
      <c r="C56" s="27"/>
      <c r="D56" s="25"/>
      <c r="E56" s="28"/>
      <c r="F56" s="27"/>
      <c r="G56" s="28"/>
      <c r="H56" s="27"/>
      <c r="I56" s="28"/>
      <c r="J56" s="174" t="s">
        <v>210</v>
      </c>
      <c r="K56" s="29" t="s">
        <v>35</v>
      </c>
      <c r="L56" s="39"/>
      <c r="M56" s="31"/>
      <c r="N56" s="27"/>
      <c r="P56" s="32"/>
      <c r="Q56" s="25"/>
      <c r="R56" s="27"/>
      <c r="S56" s="27"/>
      <c r="T56" s="28"/>
      <c r="U56" s="27"/>
      <c r="V56" s="27"/>
      <c r="W56" s="28"/>
      <c r="X56" s="33"/>
      <c r="Y56" s="32"/>
      <c r="Z56" s="25"/>
      <c r="AA56" s="27"/>
      <c r="AB56" s="28"/>
      <c r="AC56" s="27"/>
      <c r="AD56" s="27"/>
      <c r="AE56" s="33"/>
      <c r="AG56" s="25"/>
      <c r="AH56" s="34"/>
      <c r="AI56" s="27"/>
      <c r="AJ56" s="27"/>
      <c r="AK56" s="27"/>
      <c r="AL56" s="25"/>
      <c r="AM56" s="34"/>
      <c r="AN56" s="27"/>
      <c r="AO56" s="27"/>
      <c r="AP56" s="36"/>
      <c r="AQ56" s="37"/>
      <c r="AR56" s="32"/>
      <c r="AS56" s="25" t="s">
        <v>79</v>
      </c>
      <c r="AT56" s="27" t="s">
        <v>52</v>
      </c>
      <c r="AU56" s="27"/>
      <c r="AW56" s="25"/>
      <c r="AX56" s="27"/>
      <c r="AY56" s="27"/>
      <c r="AZ56" s="32"/>
      <c r="BA56" s="41"/>
    </row>
    <row r="57" spans="1:53" ht="16" thickBot="1" x14ac:dyDescent="0.25">
      <c r="A57" s="25">
        <v>43</v>
      </c>
      <c r="B57" s="26">
        <v>45350</v>
      </c>
      <c r="C57" s="27"/>
      <c r="D57" s="25"/>
      <c r="E57" s="28"/>
      <c r="F57" s="27"/>
      <c r="G57" s="28"/>
      <c r="H57" s="27"/>
      <c r="I57" s="28"/>
      <c r="J57" s="174" t="s">
        <v>210</v>
      </c>
      <c r="K57" s="29" t="s">
        <v>35</v>
      </c>
      <c r="L57" s="39"/>
      <c r="M57" s="31"/>
      <c r="N57" s="27"/>
      <c r="P57" s="32"/>
      <c r="Q57" s="25"/>
      <c r="R57" s="27"/>
      <c r="S57" s="27"/>
      <c r="T57" s="28"/>
      <c r="U57" s="27"/>
      <c r="V57" s="27"/>
      <c r="W57" s="28"/>
      <c r="X57" s="33"/>
      <c r="Y57" s="32"/>
      <c r="Z57" s="25"/>
      <c r="AA57" s="27"/>
      <c r="AB57" s="28"/>
      <c r="AC57" s="27"/>
      <c r="AD57" s="27"/>
      <c r="AE57" s="33"/>
      <c r="AG57" s="25"/>
      <c r="AH57" s="34"/>
      <c r="AI57" s="27"/>
      <c r="AJ57" s="27"/>
      <c r="AK57" s="27"/>
      <c r="AL57" s="25"/>
      <c r="AM57" s="34"/>
      <c r="AN57" s="27"/>
      <c r="AO57" s="27"/>
      <c r="AP57" s="36"/>
      <c r="AQ57" s="37"/>
      <c r="AR57" s="32"/>
      <c r="AS57" s="25" t="s">
        <v>79</v>
      </c>
      <c r="AT57" s="27" t="s">
        <v>52</v>
      </c>
      <c r="AU57" s="27"/>
      <c r="AW57" s="25"/>
      <c r="AX57" s="27"/>
      <c r="AY57" s="27"/>
      <c r="AZ57" s="32"/>
      <c r="BA57" s="41"/>
    </row>
    <row r="58" spans="1:53" ht="16" thickBot="1" x14ac:dyDescent="0.25">
      <c r="A58" s="25">
        <v>44</v>
      </c>
      <c r="B58" s="26">
        <v>45351</v>
      </c>
      <c r="C58" s="27"/>
      <c r="D58" s="25"/>
      <c r="E58" s="28"/>
      <c r="F58" s="27"/>
      <c r="G58" s="28"/>
      <c r="H58" s="27"/>
      <c r="I58" s="28"/>
      <c r="J58" s="174" t="s">
        <v>210</v>
      </c>
      <c r="K58" s="29" t="s">
        <v>35</v>
      </c>
      <c r="L58" s="39"/>
      <c r="M58" s="153" t="s">
        <v>81</v>
      </c>
      <c r="N58" s="27"/>
      <c r="P58" s="32"/>
      <c r="Q58" s="27"/>
      <c r="R58" s="27"/>
      <c r="S58" s="27"/>
      <c r="T58" s="28"/>
      <c r="U58" s="27"/>
      <c r="V58" s="27"/>
      <c r="W58" s="28"/>
      <c r="X58" s="33"/>
      <c r="Y58" s="32"/>
      <c r="Z58" s="59"/>
      <c r="AA58" s="60"/>
      <c r="AB58" s="61"/>
      <c r="AC58" s="27"/>
      <c r="AD58" s="27"/>
      <c r="AE58" s="33"/>
      <c r="AG58" s="25"/>
      <c r="AH58" s="34"/>
      <c r="AI58" s="27"/>
      <c r="AJ58" s="27"/>
      <c r="AK58" s="27"/>
      <c r="AL58" s="25"/>
      <c r="AM58" s="34"/>
      <c r="AN58" s="27"/>
      <c r="AO58" s="27"/>
      <c r="AP58" s="36"/>
      <c r="AQ58" s="37"/>
      <c r="AR58" s="32"/>
      <c r="AS58" s="25" t="s">
        <v>79</v>
      </c>
      <c r="AT58" s="27" t="s">
        <v>52</v>
      </c>
      <c r="AU58" s="58" t="s">
        <v>81</v>
      </c>
      <c r="AW58" s="25"/>
      <c r="AX58" s="27"/>
      <c r="AY58" s="27"/>
      <c r="AZ58" s="32"/>
      <c r="BA58" s="41"/>
    </row>
    <row r="59" spans="1:53" x14ac:dyDescent="0.2">
      <c r="A59" s="25">
        <v>45</v>
      </c>
      <c r="B59" s="26">
        <v>45352</v>
      </c>
      <c r="C59" s="27"/>
      <c r="D59" s="25"/>
      <c r="E59" s="28"/>
      <c r="F59" s="27"/>
      <c r="G59" s="28"/>
      <c r="H59" s="27"/>
      <c r="I59" s="28"/>
      <c r="J59" s="174" t="s">
        <v>210</v>
      </c>
      <c r="K59" s="29" t="s">
        <v>35</v>
      </c>
      <c r="L59" s="39"/>
      <c r="M59" s="31"/>
      <c r="N59" s="27"/>
      <c r="P59" s="32"/>
      <c r="Q59" s="25"/>
      <c r="R59" s="27"/>
      <c r="S59" s="27"/>
      <c r="T59" s="28"/>
      <c r="U59" s="27"/>
      <c r="V59" s="27"/>
      <c r="W59" s="28"/>
      <c r="X59" s="33"/>
      <c r="Y59" s="32"/>
      <c r="Z59" s="25"/>
      <c r="AA59" s="27"/>
      <c r="AB59" s="28"/>
      <c r="AC59" s="27"/>
      <c r="AD59" s="27"/>
      <c r="AE59" s="33"/>
      <c r="AG59" s="25"/>
      <c r="AH59" s="34"/>
      <c r="AI59" s="27"/>
      <c r="AJ59" s="27"/>
      <c r="AK59" s="27"/>
      <c r="AL59" s="25"/>
      <c r="AM59" s="34"/>
      <c r="AN59" s="27"/>
      <c r="AO59" s="27"/>
      <c r="AP59" s="36"/>
      <c r="AQ59" s="37"/>
      <c r="AR59" s="32"/>
      <c r="AS59" s="25" t="s">
        <v>82</v>
      </c>
      <c r="AT59" s="27" t="s">
        <v>52</v>
      </c>
      <c r="AW59" s="25"/>
      <c r="AX59" s="27"/>
      <c r="AY59" s="27"/>
      <c r="AZ59" s="32"/>
      <c r="BA59" s="41"/>
    </row>
    <row r="60" spans="1:53" x14ac:dyDescent="0.2">
      <c r="A60" s="25">
        <v>46</v>
      </c>
      <c r="B60" s="26">
        <v>45353</v>
      </c>
      <c r="C60" s="27"/>
      <c r="D60" s="25"/>
      <c r="E60" s="28"/>
      <c r="F60" s="27"/>
      <c r="G60" s="28"/>
      <c r="H60" s="27"/>
      <c r="I60" s="28"/>
      <c r="J60" s="174" t="s">
        <v>210</v>
      </c>
      <c r="K60" s="29" t="s">
        <v>35</v>
      </c>
      <c r="L60" s="39"/>
      <c r="M60" s="31"/>
      <c r="N60" s="27"/>
      <c r="P60" s="32"/>
      <c r="Q60" s="25"/>
      <c r="R60" s="27"/>
      <c r="S60" s="27"/>
      <c r="T60" s="28"/>
      <c r="U60" s="27"/>
      <c r="V60" s="27"/>
      <c r="W60" s="28"/>
      <c r="X60" s="33"/>
      <c r="Y60" s="32"/>
      <c r="Z60" s="25"/>
      <c r="AA60" s="27"/>
      <c r="AB60" s="28"/>
      <c r="AC60" s="27"/>
      <c r="AD60" s="27"/>
      <c r="AE60" s="33"/>
      <c r="AG60" s="25"/>
      <c r="AH60" s="34"/>
      <c r="AI60" s="27"/>
      <c r="AJ60" s="27"/>
      <c r="AK60" s="27"/>
      <c r="AL60" s="25"/>
      <c r="AM60" s="34"/>
      <c r="AN60" s="27"/>
      <c r="AO60" s="27"/>
      <c r="AP60" s="36"/>
      <c r="AQ60" s="37"/>
      <c r="AR60" s="32"/>
      <c r="AS60" s="25" t="s">
        <v>82</v>
      </c>
      <c r="AT60" s="27" t="s">
        <v>52</v>
      </c>
      <c r="AU60" s="27"/>
      <c r="AW60" s="25"/>
      <c r="AX60" s="27"/>
      <c r="AY60" s="27"/>
      <c r="AZ60" s="32"/>
      <c r="BA60" s="41"/>
    </row>
    <row r="61" spans="1:53" x14ac:dyDescent="0.2">
      <c r="A61" s="25">
        <v>47</v>
      </c>
      <c r="B61" s="26">
        <v>45354</v>
      </c>
      <c r="C61" s="27"/>
      <c r="D61" s="25"/>
      <c r="E61" s="28"/>
      <c r="F61" s="27"/>
      <c r="G61" s="28"/>
      <c r="H61" s="27"/>
      <c r="I61" s="28"/>
      <c r="J61" s="174" t="s">
        <v>210</v>
      </c>
      <c r="K61" s="29" t="s">
        <v>35</v>
      </c>
      <c r="L61" s="39"/>
      <c r="M61" s="31"/>
      <c r="N61" s="27"/>
      <c r="P61" s="32"/>
      <c r="Q61" s="25"/>
      <c r="R61" s="27"/>
      <c r="S61" s="27"/>
      <c r="T61" s="28"/>
      <c r="U61" s="27"/>
      <c r="V61" s="27"/>
      <c r="W61" s="28"/>
      <c r="X61" s="33"/>
      <c r="Y61" s="32"/>
      <c r="Z61" s="25"/>
      <c r="AA61" s="27"/>
      <c r="AB61" s="28"/>
      <c r="AC61" s="27"/>
      <c r="AD61" s="27"/>
      <c r="AE61" s="33"/>
      <c r="AG61" s="25"/>
      <c r="AH61" s="34"/>
      <c r="AI61" s="27"/>
      <c r="AJ61" s="27"/>
      <c r="AK61" s="27"/>
      <c r="AL61" s="25"/>
      <c r="AM61" s="34"/>
      <c r="AN61" s="27"/>
      <c r="AO61" s="27"/>
      <c r="AP61" s="36"/>
      <c r="AQ61" s="37"/>
      <c r="AR61" s="32"/>
      <c r="AS61" s="25" t="s">
        <v>82</v>
      </c>
      <c r="AT61" s="27" t="s">
        <v>52</v>
      </c>
      <c r="AU61" s="27"/>
      <c r="AW61" s="25"/>
      <c r="AX61" s="27"/>
      <c r="AY61" s="27"/>
      <c r="AZ61" s="32"/>
      <c r="BA61" s="41"/>
    </row>
    <row r="62" spans="1:53" x14ac:dyDescent="0.2">
      <c r="A62" s="25">
        <v>48</v>
      </c>
      <c r="B62" s="26">
        <v>45355</v>
      </c>
      <c r="C62" s="27"/>
      <c r="D62" s="25"/>
      <c r="E62" s="28"/>
      <c r="F62" s="27"/>
      <c r="G62" s="28"/>
      <c r="H62" s="27"/>
      <c r="I62" s="28"/>
      <c r="J62" s="174" t="s">
        <v>210</v>
      </c>
      <c r="K62" s="29" t="s">
        <v>35</v>
      </c>
      <c r="M62" s="31"/>
      <c r="N62" s="27"/>
      <c r="P62" s="32"/>
      <c r="Q62" s="25"/>
      <c r="R62" s="27"/>
      <c r="S62" s="27"/>
      <c r="T62" s="28"/>
      <c r="U62" s="27"/>
      <c r="V62" s="27"/>
      <c r="W62" s="28"/>
      <c r="X62" s="33"/>
      <c r="Y62" s="32"/>
      <c r="Z62" s="25"/>
      <c r="AA62" s="27"/>
      <c r="AB62" s="28"/>
      <c r="AC62" s="27"/>
      <c r="AD62" s="27"/>
      <c r="AE62" s="33"/>
      <c r="AG62" s="25"/>
      <c r="AH62" s="34"/>
      <c r="AI62" s="27"/>
      <c r="AJ62" s="27"/>
      <c r="AK62" s="27"/>
      <c r="AL62" s="25"/>
      <c r="AM62" s="34"/>
      <c r="AN62" s="27"/>
      <c r="AO62" s="27"/>
      <c r="AP62" s="36"/>
      <c r="AQ62" s="37"/>
      <c r="AR62" s="32"/>
      <c r="AS62" s="25" t="s">
        <v>82</v>
      </c>
      <c r="AT62" s="27" t="s">
        <v>52</v>
      </c>
      <c r="AU62" s="27"/>
      <c r="AW62" s="25"/>
      <c r="AX62" s="27"/>
      <c r="AY62" s="27"/>
      <c r="AZ62" s="32"/>
      <c r="BA62" s="41"/>
    </row>
    <row r="63" spans="1:53" ht="16" thickBot="1" x14ac:dyDescent="0.25">
      <c r="A63" s="25">
        <v>49</v>
      </c>
      <c r="B63" s="26">
        <v>45356</v>
      </c>
      <c r="C63" s="27"/>
      <c r="D63" s="25"/>
      <c r="E63" s="28"/>
      <c r="F63" s="27"/>
      <c r="G63" s="28"/>
      <c r="H63" s="27"/>
      <c r="I63" s="28"/>
      <c r="J63" s="174" t="s">
        <v>210</v>
      </c>
      <c r="K63" s="29" t="s">
        <v>35</v>
      </c>
      <c r="L63" s="39"/>
      <c r="M63" s="31"/>
      <c r="N63" s="27"/>
      <c r="P63" s="32"/>
      <c r="Q63" s="25"/>
      <c r="R63" s="27"/>
      <c r="S63" s="27"/>
      <c r="T63" s="28"/>
      <c r="U63" s="27"/>
      <c r="V63" s="27"/>
      <c r="W63" s="28"/>
      <c r="X63" s="33"/>
      <c r="Y63" s="32"/>
      <c r="Z63" s="25"/>
      <c r="AA63" s="27"/>
      <c r="AB63" s="28"/>
      <c r="AC63" s="27"/>
      <c r="AD63" s="27"/>
      <c r="AE63" s="33"/>
      <c r="AG63" s="25"/>
      <c r="AH63" s="34"/>
      <c r="AI63" s="27"/>
      <c r="AJ63" s="27"/>
      <c r="AK63" s="27"/>
      <c r="AL63" s="25"/>
      <c r="AM63" s="34"/>
      <c r="AN63" s="27"/>
      <c r="AO63" s="27"/>
      <c r="AP63" s="36"/>
      <c r="AQ63" s="37"/>
      <c r="AR63" s="32"/>
      <c r="AS63" s="25" t="s">
        <v>82</v>
      </c>
      <c r="AT63" s="27" t="s">
        <v>52</v>
      </c>
      <c r="AU63" s="27"/>
      <c r="AW63" s="25"/>
      <c r="AX63" s="27"/>
      <c r="AY63" s="27"/>
      <c r="AZ63" s="32"/>
      <c r="BA63" s="41"/>
    </row>
    <row r="64" spans="1:53" ht="16" thickBot="1" x14ac:dyDescent="0.25">
      <c r="A64" s="25">
        <v>50</v>
      </c>
      <c r="B64" s="26">
        <v>45357</v>
      </c>
      <c r="C64" s="27"/>
      <c r="D64" s="25"/>
      <c r="E64" s="28"/>
      <c r="F64" s="27"/>
      <c r="G64" s="28"/>
      <c r="H64" s="27"/>
      <c r="I64" s="28"/>
      <c r="J64" s="174" t="s">
        <v>210</v>
      </c>
      <c r="K64" s="29" t="s">
        <v>35</v>
      </c>
      <c r="L64" s="44" t="s">
        <v>83</v>
      </c>
      <c r="M64" s="153" t="s">
        <v>174</v>
      </c>
      <c r="N64" s="27"/>
      <c r="O64" s="45"/>
      <c r="P64" s="46"/>
      <c r="Q64" s="25"/>
      <c r="R64" s="27"/>
      <c r="S64" s="27"/>
      <c r="T64" s="28"/>
      <c r="U64" s="27"/>
      <c r="V64" s="27"/>
      <c r="W64" s="28"/>
      <c r="X64" s="33"/>
      <c r="Y64" s="32"/>
      <c r="Z64" s="25"/>
      <c r="AA64" s="27"/>
      <c r="AB64" s="28"/>
      <c r="AC64" s="27"/>
      <c r="AD64" s="27"/>
      <c r="AE64" s="33"/>
      <c r="AG64" s="25"/>
      <c r="AH64" s="34"/>
      <c r="AI64" s="27"/>
      <c r="AJ64" s="27"/>
      <c r="AK64" s="27"/>
      <c r="AL64" s="25"/>
      <c r="AM64" s="34"/>
      <c r="AN64" s="27"/>
      <c r="AO64" s="27"/>
      <c r="AP64" s="36"/>
      <c r="AQ64" s="37"/>
      <c r="AR64" s="32"/>
      <c r="AS64" s="25" t="s">
        <v>86</v>
      </c>
      <c r="AT64" s="27" t="s">
        <v>87</v>
      </c>
      <c r="AU64" s="58" t="s">
        <v>88</v>
      </c>
      <c r="AW64" s="25"/>
      <c r="AX64" s="27"/>
      <c r="AY64" s="27"/>
      <c r="AZ64" s="32"/>
      <c r="BA64" s="41"/>
    </row>
    <row r="65" spans="1:53" ht="16" thickBot="1" x14ac:dyDescent="0.25">
      <c r="A65" s="25">
        <v>51</v>
      </c>
      <c r="B65" s="26">
        <v>45358</v>
      </c>
      <c r="C65" s="27"/>
      <c r="D65" s="25"/>
      <c r="E65" s="28"/>
      <c r="F65" s="27"/>
      <c r="G65" s="28"/>
      <c r="H65" s="27"/>
      <c r="I65" s="28"/>
      <c r="J65" s="27">
        <v>8</v>
      </c>
      <c r="K65" s="29" t="s">
        <v>35</v>
      </c>
      <c r="L65" s="88" t="s">
        <v>89</v>
      </c>
      <c r="M65" s="31"/>
      <c r="N65" s="27"/>
      <c r="P65" s="46"/>
      <c r="Q65" s="27"/>
      <c r="R65" s="27"/>
      <c r="S65" s="27"/>
      <c r="T65" s="28"/>
      <c r="U65" s="27"/>
      <c r="V65" s="27"/>
      <c r="W65" s="28"/>
      <c r="X65" s="33"/>
      <c r="Y65" s="32"/>
      <c r="Z65" s="25"/>
      <c r="AA65" s="27"/>
      <c r="AB65" s="28"/>
      <c r="AC65" s="27"/>
      <c r="AD65" s="27"/>
      <c r="AE65" s="33"/>
      <c r="AG65" s="25"/>
      <c r="AH65" s="34"/>
      <c r="AI65" s="27"/>
      <c r="AJ65" s="27"/>
      <c r="AK65" s="27"/>
      <c r="AL65" s="25"/>
      <c r="AM65" s="34"/>
      <c r="AN65" s="27"/>
      <c r="AO65" s="27"/>
      <c r="AP65" s="36"/>
      <c r="AQ65" s="37"/>
      <c r="AR65" s="32"/>
      <c r="AS65" s="25" t="s">
        <v>86</v>
      </c>
      <c r="AT65" s="27" t="s">
        <v>87</v>
      </c>
      <c r="AU65" s="27"/>
      <c r="AW65" s="25"/>
      <c r="AX65" s="27"/>
      <c r="AY65" s="27"/>
      <c r="AZ65" s="32"/>
      <c r="BA65" s="41"/>
    </row>
    <row r="66" spans="1:53" ht="16" thickBot="1" x14ac:dyDescent="0.25">
      <c r="A66" s="25">
        <v>52</v>
      </c>
      <c r="B66" s="26">
        <v>45359</v>
      </c>
      <c r="C66" s="27"/>
      <c r="D66" s="25"/>
      <c r="E66" s="28"/>
      <c r="F66" s="27"/>
      <c r="G66" s="28"/>
      <c r="H66" s="27"/>
      <c r="I66" s="28"/>
      <c r="J66" s="27">
        <v>8</v>
      </c>
      <c r="K66" s="29" t="s">
        <v>35</v>
      </c>
      <c r="L66" s="39"/>
      <c r="M66" s="31"/>
      <c r="N66" s="27"/>
      <c r="P66" s="32"/>
      <c r="Q66" s="25"/>
      <c r="R66" s="27"/>
      <c r="S66" s="27"/>
      <c r="T66" s="28"/>
      <c r="U66" s="27"/>
      <c r="V66" s="27"/>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W66" s="25"/>
      <c r="AX66" s="27"/>
      <c r="AY66" s="27"/>
      <c r="AZ66" s="32"/>
      <c r="BA66" s="41"/>
    </row>
    <row r="67" spans="1:53" ht="16" thickBot="1" x14ac:dyDescent="0.25">
      <c r="A67" s="25">
        <v>53</v>
      </c>
      <c r="B67" s="26">
        <v>45360</v>
      </c>
      <c r="C67" s="27"/>
      <c r="D67" s="25"/>
      <c r="E67" s="28"/>
      <c r="F67" s="27"/>
      <c r="G67" s="28"/>
      <c r="H67" s="27"/>
      <c r="I67" s="28"/>
      <c r="J67" s="27">
        <v>8</v>
      </c>
      <c r="K67" s="29" t="s">
        <v>35</v>
      </c>
      <c r="L67" s="39"/>
      <c r="M67" s="153" t="s">
        <v>175</v>
      </c>
      <c r="N67" s="27"/>
      <c r="P67" s="32"/>
      <c r="Q67" s="25"/>
      <c r="R67" s="27"/>
      <c r="S67" s="27"/>
      <c r="T67" s="28"/>
      <c r="U67" s="27"/>
      <c r="V67" s="27"/>
      <c r="W67" s="28"/>
      <c r="X67" s="33"/>
      <c r="Y67" s="32"/>
      <c r="Z67" s="25"/>
      <c r="AA67" s="27"/>
      <c r="AB67" s="28"/>
      <c r="AC67" s="27"/>
      <c r="AD67" s="27"/>
      <c r="AE67" s="33"/>
      <c r="AG67" s="25"/>
      <c r="AH67" s="34"/>
      <c r="AI67" s="27"/>
      <c r="AJ67" s="27"/>
      <c r="AK67" s="27"/>
      <c r="AL67" s="25"/>
      <c r="AM67" s="34"/>
      <c r="AN67" s="27"/>
      <c r="AO67" s="27"/>
      <c r="AP67" s="36"/>
      <c r="AQ67" s="37"/>
      <c r="AR67" s="32"/>
      <c r="AS67" s="25" t="s">
        <v>86</v>
      </c>
      <c r="AT67" s="27" t="s">
        <v>87</v>
      </c>
      <c r="AU67" s="27"/>
      <c r="AW67" s="25" t="s">
        <v>90</v>
      </c>
      <c r="AX67" s="27" t="s">
        <v>91</v>
      </c>
      <c r="AY67" s="89" t="s">
        <v>92</v>
      </c>
      <c r="AZ67" s="32"/>
      <c r="BA67" s="41"/>
    </row>
    <row r="68" spans="1:53" ht="16" thickBot="1" x14ac:dyDescent="0.25">
      <c r="A68" s="25">
        <v>54</v>
      </c>
      <c r="B68" s="26">
        <v>45361</v>
      </c>
      <c r="C68" s="27"/>
      <c r="D68" s="25"/>
      <c r="E68" s="28"/>
      <c r="F68" s="27"/>
      <c r="G68" s="28"/>
      <c r="H68" s="27"/>
      <c r="I68" s="28"/>
      <c r="J68" s="27">
        <v>8</v>
      </c>
      <c r="K68" s="29" t="s">
        <v>35</v>
      </c>
      <c r="L68" s="39"/>
      <c r="M68" s="31"/>
      <c r="N68" s="27"/>
      <c r="P68" s="32"/>
      <c r="Q68" s="25"/>
      <c r="R68" s="27"/>
      <c r="S68" s="27"/>
      <c r="T68" s="28"/>
      <c r="U68" s="27"/>
      <c r="V68" s="27"/>
      <c r="W68" s="28"/>
      <c r="X68" s="33"/>
      <c r="Y68" s="32"/>
      <c r="Z68" s="25"/>
      <c r="AA68" s="27"/>
      <c r="AB68" s="28"/>
      <c r="AC68" s="27"/>
      <c r="AD68" s="27"/>
      <c r="AE68" s="33"/>
      <c r="AG68" s="25"/>
      <c r="AH68" s="34"/>
      <c r="AI68" s="27"/>
      <c r="AJ68" s="27"/>
      <c r="AK68" s="27"/>
      <c r="AL68" s="25"/>
      <c r="AM68" s="34"/>
      <c r="AN68" s="27"/>
      <c r="AO68" s="27"/>
      <c r="AP68" s="36"/>
      <c r="AQ68" s="37"/>
      <c r="AR68" s="32"/>
      <c r="AS68" s="25" t="s">
        <v>86</v>
      </c>
      <c r="AT68" s="27" t="s">
        <v>87</v>
      </c>
      <c r="AU68" s="27"/>
      <c r="AW68" s="25" t="s">
        <v>90</v>
      </c>
      <c r="AX68" s="27" t="s">
        <v>91</v>
      </c>
      <c r="AY68" s="27"/>
      <c r="AZ68" s="32"/>
      <c r="BA68" s="41"/>
    </row>
    <row r="69" spans="1:53" ht="16" thickBot="1" x14ac:dyDescent="0.25">
      <c r="A69" s="25">
        <v>55</v>
      </c>
      <c r="B69" s="26">
        <v>45362</v>
      </c>
      <c r="C69" s="27"/>
      <c r="D69" s="25"/>
      <c r="E69" s="28"/>
      <c r="F69" s="27"/>
      <c r="G69" s="28"/>
      <c r="H69" s="27"/>
      <c r="I69" s="28"/>
      <c r="J69" s="27">
        <v>8</v>
      </c>
      <c r="K69" s="29" t="s">
        <v>35</v>
      </c>
      <c r="L69" s="39"/>
      <c r="M69" s="31"/>
      <c r="N69" s="27"/>
      <c r="P69" s="32"/>
      <c r="Q69" s="25"/>
      <c r="R69" s="27"/>
      <c r="S69" s="27"/>
      <c r="T69" s="28"/>
      <c r="U69" s="27"/>
      <c r="V69" s="27"/>
      <c r="W69" s="28"/>
      <c r="X69" s="33"/>
      <c r="Y69" s="32"/>
      <c r="Z69" s="25"/>
      <c r="AA69" s="27"/>
      <c r="AB69" s="28"/>
      <c r="AC69" s="27"/>
      <c r="AD69" s="27"/>
      <c r="AE69" s="33"/>
      <c r="AG69" s="25"/>
      <c r="AH69" s="34"/>
      <c r="AI69" s="27"/>
      <c r="AJ69" s="27"/>
      <c r="AK69" s="27"/>
      <c r="AL69" s="25"/>
      <c r="AM69" s="34"/>
      <c r="AN69" s="27"/>
      <c r="AO69" s="27"/>
      <c r="AP69" s="36"/>
      <c r="AQ69" s="82" t="s">
        <v>93</v>
      </c>
      <c r="AR69" s="32"/>
      <c r="AS69" s="25" t="s">
        <v>86</v>
      </c>
      <c r="AT69" s="27" t="s">
        <v>87</v>
      </c>
      <c r="AW69" s="25" t="s">
        <v>90</v>
      </c>
      <c r="AX69" s="27" t="s">
        <v>91</v>
      </c>
      <c r="AY69" s="27"/>
      <c r="AZ69" s="32"/>
      <c r="BA69" s="41"/>
    </row>
    <row r="70" spans="1:53" x14ac:dyDescent="0.2">
      <c r="A70" s="25">
        <v>56</v>
      </c>
      <c r="B70" s="26">
        <v>45363</v>
      </c>
      <c r="C70" s="27"/>
      <c r="D70" s="25"/>
      <c r="E70" s="28"/>
      <c r="F70" s="27"/>
      <c r="G70" s="28"/>
      <c r="H70" s="27"/>
      <c r="I70" s="28"/>
      <c r="J70" s="27">
        <v>8</v>
      </c>
      <c r="K70" s="29" t="s">
        <v>35</v>
      </c>
      <c r="L70" s="39"/>
      <c r="M70" s="31"/>
      <c r="N70" s="27"/>
      <c r="P70" s="32"/>
      <c r="Q70" s="25"/>
      <c r="R70" s="27"/>
      <c r="S70" s="27"/>
      <c r="T70" s="28"/>
      <c r="U70" s="27"/>
      <c r="V70" s="27"/>
      <c r="W70" s="28"/>
      <c r="X70" s="33"/>
      <c r="Y70" s="32"/>
      <c r="Z70" s="25"/>
      <c r="AA70" s="27"/>
      <c r="AB70" s="28"/>
      <c r="AC70" s="27"/>
      <c r="AD70" s="27"/>
      <c r="AE70" s="33"/>
      <c r="AG70" s="25"/>
      <c r="AH70" s="34"/>
      <c r="AI70" s="27"/>
      <c r="AJ70" s="27"/>
      <c r="AK70" s="27"/>
      <c r="AL70" s="25"/>
      <c r="AM70" s="34"/>
      <c r="AN70" s="27"/>
      <c r="AO70" s="27"/>
      <c r="AP70" s="36"/>
      <c r="AQ70" s="37"/>
      <c r="AR70" s="32"/>
      <c r="AS70" s="25" t="s">
        <v>86</v>
      </c>
      <c r="AT70" s="27" t="s">
        <v>87</v>
      </c>
      <c r="AU70" s="27"/>
      <c r="AW70" s="25" t="s">
        <v>90</v>
      </c>
      <c r="AX70" s="27" t="s">
        <v>91</v>
      </c>
      <c r="AY70" s="27"/>
      <c r="AZ70" s="32"/>
      <c r="BA70" s="41"/>
    </row>
    <row r="71" spans="1:53" ht="16" thickBot="1" x14ac:dyDescent="0.25">
      <c r="A71" s="25">
        <v>57</v>
      </c>
      <c r="B71" s="26">
        <v>45364</v>
      </c>
      <c r="C71" s="27"/>
      <c r="D71" s="25"/>
      <c r="E71" s="28"/>
      <c r="F71" s="27"/>
      <c r="G71" s="28"/>
      <c r="H71" s="27"/>
      <c r="I71" s="28"/>
      <c r="J71" s="27">
        <v>8</v>
      </c>
      <c r="K71" s="29" t="s">
        <v>35</v>
      </c>
      <c r="L71" s="39"/>
      <c r="M71" s="31"/>
      <c r="N71" s="27"/>
      <c r="P71" s="32"/>
      <c r="Q71" s="25"/>
      <c r="R71" s="27"/>
      <c r="S71" s="27"/>
      <c r="T71" s="28"/>
      <c r="U71" s="27"/>
      <c r="V71" s="27"/>
      <c r="W71" s="28"/>
      <c r="X71" s="33"/>
      <c r="Y71" s="32"/>
      <c r="Z71" s="25"/>
      <c r="AA71" s="27"/>
      <c r="AB71" s="28"/>
      <c r="AC71" s="27"/>
      <c r="AD71" s="27"/>
      <c r="AE71" s="33"/>
      <c r="AG71" s="25"/>
      <c r="AH71" s="34"/>
      <c r="AI71" s="27"/>
      <c r="AJ71" s="27"/>
      <c r="AK71" s="27"/>
      <c r="AL71" s="25"/>
      <c r="AM71" s="34"/>
      <c r="AN71" s="27"/>
      <c r="AO71" s="27"/>
      <c r="AP71" s="36"/>
      <c r="AQ71" s="37"/>
      <c r="AR71" s="32"/>
      <c r="AS71" s="25" t="s">
        <v>86</v>
      </c>
      <c r="AT71" s="27" t="s">
        <v>87</v>
      </c>
      <c r="AU71" s="27"/>
      <c r="AW71" s="25" t="s">
        <v>90</v>
      </c>
      <c r="AX71" s="27" t="s">
        <v>91</v>
      </c>
      <c r="AY71" s="27"/>
      <c r="AZ71" s="32"/>
      <c r="BA71" s="41"/>
    </row>
    <row r="72" spans="1:53" ht="16" thickBot="1" x14ac:dyDescent="0.25">
      <c r="A72" s="25">
        <v>58</v>
      </c>
      <c r="B72" s="26">
        <v>45365</v>
      </c>
      <c r="C72" s="27"/>
      <c r="D72" s="25"/>
      <c r="E72" s="28"/>
      <c r="F72" s="27"/>
      <c r="G72" s="28"/>
      <c r="H72" s="27"/>
      <c r="I72" s="28"/>
      <c r="J72" s="27">
        <v>8</v>
      </c>
      <c r="K72" s="29" t="s">
        <v>35</v>
      </c>
      <c r="L72" s="39"/>
      <c r="M72" s="31"/>
      <c r="N72" s="27"/>
      <c r="P72" s="32"/>
      <c r="Q72" s="25"/>
      <c r="R72" s="27"/>
      <c r="S72" s="27"/>
      <c r="T72" s="28"/>
      <c r="U72" s="27"/>
      <c r="V72" s="27"/>
      <c r="W72" s="28"/>
      <c r="X72" s="33"/>
      <c r="Y72" s="32"/>
      <c r="Z72" s="25"/>
      <c r="AA72" s="27"/>
      <c r="AB72" s="28"/>
      <c r="AC72" s="27"/>
      <c r="AD72" s="27"/>
      <c r="AE72" s="33"/>
      <c r="AG72" s="25"/>
      <c r="AH72" s="34"/>
      <c r="AI72" s="27"/>
      <c r="AJ72" s="27"/>
      <c r="AK72" s="27"/>
      <c r="AL72" s="25"/>
      <c r="AM72" s="34"/>
      <c r="AN72" s="27"/>
      <c r="AO72" s="27"/>
      <c r="AP72" s="36"/>
      <c r="AQ72" s="37"/>
      <c r="AR72" s="32"/>
      <c r="AS72" s="25" t="s">
        <v>86</v>
      </c>
      <c r="AT72" s="27" t="s">
        <v>87</v>
      </c>
      <c r="AU72" s="27"/>
      <c r="AW72" s="25" t="s">
        <v>90</v>
      </c>
      <c r="AX72" s="27" t="s">
        <v>91</v>
      </c>
      <c r="AY72" s="89" t="s">
        <v>94</v>
      </c>
      <c r="AZ72" s="32"/>
      <c r="BA72" s="41"/>
    </row>
    <row r="73" spans="1:53" ht="16" thickBot="1" x14ac:dyDescent="0.25">
      <c r="A73" s="25">
        <v>59</v>
      </c>
      <c r="B73" s="26">
        <v>45366</v>
      </c>
      <c r="C73" s="27"/>
      <c r="D73" s="25"/>
      <c r="E73" s="28"/>
      <c r="F73" s="27"/>
      <c r="G73" s="28"/>
      <c r="H73" s="27"/>
      <c r="I73" s="28"/>
      <c r="J73" s="27">
        <v>8</v>
      </c>
      <c r="K73" s="29" t="s">
        <v>35</v>
      </c>
      <c r="L73" s="39"/>
      <c r="M73" s="31"/>
      <c r="N73" s="27"/>
      <c r="P73" s="32"/>
      <c r="Q73" s="25"/>
      <c r="R73" s="27"/>
      <c r="S73" s="27"/>
      <c r="T73" s="28"/>
      <c r="U73" s="27"/>
      <c r="V73" s="27"/>
      <c r="W73" s="28"/>
      <c r="X73" s="33"/>
      <c r="Y73" s="32"/>
      <c r="Z73" s="25"/>
      <c r="AA73" s="27"/>
      <c r="AB73" s="28"/>
      <c r="AC73" s="27"/>
      <c r="AD73" s="27"/>
      <c r="AE73" s="33"/>
      <c r="AG73" s="25"/>
      <c r="AH73" s="34"/>
      <c r="AI73" s="27"/>
      <c r="AJ73" s="27"/>
      <c r="AK73" s="27"/>
      <c r="AL73" s="25"/>
      <c r="AM73" s="34"/>
      <c r="AN73" s="27"/>
      <c r="AO73" s="27"/>
      <c r="AP73" s="36"/>
      <c r="AQ73" s="37"/>
      <c r="AR73" s="32"/>
      <c r="AS73" s="25" t="s">
        <v>86</v>
      </c>
      <c r="AT73" s="27" t="s">
        <v>87</v>
      </c>
      <c r="AU73" s="27"/>
      <c r="AW73" s="25" t="s">
        <v>90</v>
      </c>
      <c r="AX73" s="27" t="s">
        <v>95</v>
      </c>
      <c r="AY73" s="27"/>
      <c r="AZ73" s="32"/>
      <c r="BA73" s="41"/>
    </row>
    <row r="74" spans="1:53" ht="16" thickBot="1" x14ac:dyDescent="0.25">
      <c r="A74" s="25">
        <v>60</v>
      </c>
      <c r="B74" s="26">
        <v>45367</v>
      </c>
      <c r="C74" s="27"/>
      <c r="D74" s="25"/>
      <c r="E74" s="28"/>
      <c r="F74" s="27"/>
      <c r="G74" s="28"/>
      <c r="H74" s="27"/>
      <c r="I74" s="28"/>
      <c r="J74" s="27">
        <v>8</v>
      </c>
      <c r="K74" s="29" t="s">
        <v>35</v>
      </c>
      <c r="L74" s="39"/>
      <c r="M74" s="31"/>
      <c r="N74" s="27"/>
      <c r="P74" s="32"/>
      <c r="Q74" s="25"/>
      <c r="R74" s="27"/>
      <c r="S74" s="27"/>
      <c r="T74" s="28"/>
      <c r="U74" s="27"/>
      <c r="V74" s="27"/>
      <c r="W74" s="28"/>
      <c r="X74" s="33"/>
      <c r="Y74" s="32"/>
      <c r="Z74" s="25"/>
      <c r="AA74" s="27"/>
      <c r="AB74" s="28"/>
      <c r="AC74" s="27"/>
      <c r="AD74" s="27"/>
      <c r="AE74" s="33"/>
      <c r="AG74" s="25"/>
      <c r="AH74" s="34"/>
      <c r="AI74" s="27"/>
      <c r="AJ74" s="27"/>
      <c r="AK74" s="27"/>
      <c r="AL74" s="25"/>
      <c r="AM74" s="34"/>
      <c r="AN74" s="27"/>
      <c r="AO74" s="27"/>
      <c r="AP74" s="36"/>
      <c r="AQ74" s="37"/>
      <c r="AR74" s="32"/>
      <c r="AS74" s="25" t="s">
        <v>96</v>
      </c>
      <c r="AT74" s="27" t="s">
        <v>87</v>
      </c>
      <c r="AU74" s="58" t="s">
        <v>97</v>
      </c>
      <c r="AW74" s="25" t="s">
        <v>90</v>
      </c>
      <c r="AX74" s="27" t="s">
        <v>95</v>
      </c>
      <c r="AY74" s="27"/>
      <c r="AZ74" s="32"/>
      <c r="BA74" s="41"/>
    </row>
    <row r="75" spans="1:53" x14ac:dyDescent="0.2">
      <c r="A75" s="25">
        <v>61</v>
      </c>
      <c r="B75" s="26">
        <v>45368</v>
      </c>
      <c r="C75" s="27"/>
      <c r="D75" s="25"/>
      <c r="E75" s="28"/>
      <c r="F75" s="27"/>
      <c r="G75" s="28"/>
      <c r="H75" s="27"/>
      <c r="I75" s="28"/>
      <c r="J75" s="27">
        <v>8</v>
      </c>
      <c r="K75" s="29" t="s">
        <v>35</v>
      </c>
      <c r="L75" s="39"/>
      <c r="M75" s="31"/>
      <c r="N75" s="27"/>
      <c r="P75" s="32"/>
      <c r="Q75" s="25"/>
      <c r="R75" s="27"/>
      <c r="S75" s="27"/>
      <c r="T75" s="28"/>
      <c r="U75" s="27"/>
      <c r="V75" s="27"/>
      <c r="W75" s="28"/>
      <c r="X75" s="33"/>
      <c r="Y75" s="32"/>
      <c r="Z75" s="25"/>
      <c r="AA75" s="27"/>
      <c r="AB75" s="28"/>
      <c r="AC75" s="27"/>
      <c r="AD75" s="27"/>
      <c r="AE75" s="33"/>
      <c r="AG75" s="25"/>
      <c r="AH75" s="34"/>
      <c r="AI75" s="27"/>
      <c r="AJ75" s="27"/>
      <c r="AK75" s="27"/>
      <c r="AL75" s="25"/>
      <c r="AM75" s="34"/>
      <c r="AN75" s="27"/>
      <c r="AO75" s="27"/>
      <c r="AP75" s="36"/>
      <c r="AQ75" s="37"/>
      <c r="AR75" s="32"/>
      <c r="AS75" s="25" t="s">
        <v>96</v>
      </c>
      <c r="AT75" s="27" t="s">
        <v>87</v>
      </c>
      <c r="AU75" s="27"/>
      <c r="AW75" s="25" t="s">
        <v>90</v>
      </c>
      <c r="AX75" s="27" t="s">
        <v>95</v>
      </c>
      <c r="AY75" s="27"/>
      <c r="AZ75" s="32"/>
      <c r="BA75" s="41"/>
    </row>
    <row r="76" spans="1:53" x14ac:dyDescent="0.2">
      <c r="A76" s="25">
        <v>62</v>
      </c>
      <c r="B76" s="26">
        <v>45369</v>
      </c>
      <c r="C76" s="27"/>
      <c r="D76" s="25"/>
      <c r="E76" s="28"/>
      <c r="F76" s="27"/>
      <c r="G76" s="28"/>
      <c r="H76" s="27"/>
      <c r="I76" s="28"/>
      <c r="J76" s="27">
        <v>8</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27"/>
      <c r="AW76" s="25" t="s">
        <v>90</v>
      </c>
      <c r="AX76" s="27" t="s">
        <v>95</v>
      </c>
      <c r="AY76" s="27"/>
      <c r="AZ76" s="32"/>
      <c r="BA76" s="41"/>
    </row>
    <row r="77" spans="1:53" x14ac:dyDescent="0.2">
      <c r="A77" s="25">
        <v>63</v>
      </c>
      <c r="B77" s="26">
        <v>45370</v>
      </c>
      <c r="C77" s="27"/>
      <c r="D77" s="25"/>
      <c r="E77" s="28"/>
      <c r="F77" s="27"/>
      <c r="G77" s="28"/>
      <c r="H77" s="27"/>
      <c r="I77" s="28"/>
      <c r="J77" s="27">
        <v>8</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64</v>
      </c>
      <c r="B78" s="26">
        <v>45371</v>
      </c>
      <c r="C78" s="27"/>
      <c r="D78" s="25"/>
      <c r="E78" s="28"/>
      <c r="F78" s="27"/>
      <c r="G78" s="28"/>
      <c r="H78" s="27"/>
      <c r="I78" s="28"/>
      <c r="J78" s="27">
        <v>8</v>
      </c>
      <c r="K78" s="29" t="s">
        <v>35</v>
      </c>
      <c r="L78" s="39"/>
      <c r="M78" s="31"/>
      <c r="N78" s="27"/>
      <c r="P78" s="32"/>
      <c r="Q78" s="25"/>
      <c r="R78" s="27"/>
      <c r="S78" s="27"/>
      <c r="T78" s="28"/>
      <c r="U78" s="27"/>
      <c r="V78" s="27"/>
      <c r="W78" s="28"/>
      <c r="X78" s="33"/>
      <c r="Y78" s="32"/>
      <c r="Z78" s="25"/>
      <c r="AA78" s="27"/>
      <c r="AB78" s="28"/>
      <c r="AC78" s="27"/>
      <c r="AD78" s="27"/>
      <c r="AE78" s="33"/>
      <c r="AG78" s="25"/>
      <c r="AH78" s="34"/>
      <c r="AI78" s="27"/>
      <c r="AJ78" s="27"/>
      <c r="AK78" s="27"/>
      <c r="AL78" s="25"/>
      <c r="AM78" s="34"/>
      <c r="AN78" s="27"/>
      <c r="AO78" s="27"/>
      <c r="AP78" s="36"/>
      <c r="AQ78" s="37"/>
      <c r="AR78" s="32"/>
      <c r="AS78" s="25" t="s">
        <v>96</v>
      </c>
      <c r="AT78" s="27" t="s">
        <v>87</v>
      </c>
      <c r="AU78" s="27"/>
      <c r="AW78" s="25" t="s">
        <v>90</v>
      </c>
      <c r="AX78" s="27" t="s">
        <v>95</v>
      </c>
      <c r="AY78" s="27"/>
      <c r="AZ78" s="32"/>
      <c r="BA78" s="41"/>
    </row>
    <row r="79" spans="1:53" x14ac:dyDescent="0.2">
      <c r="A79" s="25">
        <v>65</v>
      </c>
      <c r="B79" s="26">
        <v>45372</v>
      </c>
      <c r="C79" s="27"/>
      <c r="D79" s="25"/>
      <c r="E79" s="28"/>
      <c r="F79" s="27"/>
      <c r="G79" s="28"/>
      <c r="H79" s="27"/>
      <c r="I79" s="28"/>
      <c r="J79" s="27">
        <v>8</v>
      </c>
      <c r="K79" s="29" t="s">
        <v>35</v>
      </c>
      <c r="L79" s="39"/>
      <c r="M79" s="31"/>
      <c r="N79" s="27"/>
      <c r="P79" s="32"/>
      <c r="Q79" s="25"/>
      <c r="R79" s="27"/>
      <c r="S79" s="27"/>
      <c r="T79" s="28"/>
      <c r="U79" s="27"/>
      <c r="V79" s="27"/>
      <c r="W79" s="28"/>
      <c r="X79" s="33"/>
      <c r="Y79" s="32"/>
      <c r="Z79" s="25"/>
      <c r="AA79" s="27"/>
      <c r="AB79" s="28"/>
      <c r="AC79" s="27"/>
      <c r="AD79" s="27"/>
      <c r="AE79" s="33"/>
      <c r="AG79" s="25"/>
      <c r="AH79" s="34"/>
      <c r="AI79" s="27"/>
      <c r="AJ79" s="27"/>
      <c r="AK79" s="27"/>
      <c r="AL79" s="25"/>
      <c r="AM79" s="34"/>
      <c r="AN79" s="27"/>
      <c r="AO79" s="27"/>
      <c r="AP79" s="36"/>
      <c r="AQ79" s="37"/>
      <c r="AR79" s="32"/>
      <c r="AS79" s="25" t="s">
        <v>96</v>
      </c>
      <c r="AT79" s="27" t="s">
        <v>87</v>
      </c>
      <c r="AU79" s="27"/>
      <c r="AW79" s="25" t="s">
        <v>90</v>
      </c>
      <c r="AX79" s="27" t="s">
        <v>95</v>
      </c>
      <c r="AY79" s="27"/>
      <c r="AZ79" s="32"/>
      <c r="BA79" s="41"/>
    </row>
    <row r="80" spans="1:53" x14ac:dyDescent="0.2">
      <c r="A80" s="25">
        <v>66</v>
      </c>
      <c r="B80" s="26">
        <v>45373</v>
      </c>
      <c r="C80" s="27"/>
      <c r="D80" s="25"/>
      <c r="E80" s="28"/>
      <c r="F80" s="27"/>
      <c r="G80" s="28"/>
      <c r="H80" s="27"/>
      <c r="I80" s="28"/>
      <c r="J80" s="27">
        <v>8</v>
      </c>
      <c r="K80" s="29" t="s">
        <v>35</v>
      </c>
      <c r="L80" s="39"/>
      <c r="M80" s="31"/>
      <c r="N80" s="27"/>
      <c r="P80" s="32"/>
      <c r="Q80" s="25"/>
      <c r="R80" s="27"/>
      <c r="S80" s="27"/>
      <c r="T80" s="28"/>
      <c r="U80" s="27"/>
      <c r="V80" s="27"/>
      <c r="W80" s="28"/>
      <c r="X80" s="33"/>
      <c r="Y80" s="32"/>
      <c r="Z80" s="25"/>
      <c r="AA80" s="27"/>
      <c r="AB80" s="28"/>
      <c r="AC80" s="27"/>
      <c r="AD80" s="27"/>
      <c r="AE80" s="33"/>
      <c r="AG80" s="25"/>
      <c r="AH80" s="34"/>
      <c r="AI80" s="27"/>
      <c r="AJ80" s="27"/>
      <c r="AK80" s="27"/>
      <c r="AL80" s="25"/>
      <c r="AM80" s="34"/>
      <c r="AN80" s="27"/>
      <c r="AO80" s="27"/>
      <c r="AP80" s="36"/>
      <c r="AQ80" s="37"/>
      <c r="AR80" s="32"/>
      <c r="AS80" s="25" t="s">
        <v>96</v>
      </c>
      <c r="AT80" s="27" t="s">
        <v>87</v>
      </c>
      <c r="AU80" s="27"/>
      <c r="AW80" s="25" t="s">
        <v>90</v>
      </c>
      <c r="AX80" s="27" t="s">
        <v>95</v>
      </c>
      <c r="AY80" s="27"/>
      <c r="AZ80" s="32"/>
      <c r="BA80" s="41"/>
    </row>
    <row r="81" spans="1:53" x14ac:dyDescent="0.2">
      <c r="A81" s="25">
        <v>67</v>
      </c>
      <c r="B81" s="26">
        <v>45374</v>
      </c>
      <c r="C81" s="27"/>
      <c r="D81" s="25"/>
      <c r="E81" s="28"/>
      <c r="F81" s="27"/>
      <c r="G81" s="28"/>
      <c r="H81" s="27"/>
      <c r="I81" s="28"/>
      <c r="J81" s="27">
        <v>8</v>
      </c>
      <c r="K81" s="29" t="s">
        <v>35</v>
      </c>
      <c r="L81" s="39"/>
      <c r="M81" s="31"/>
      <c r="N81" s="27"/>
      <c r="P81" s="32"/>
      <c r="Q81" s="25"/>
      <c r="R81" s="27"/>
      <c r="S81" s="27"/>
      <c r="T81" s="28"/>
      <c r="U81" s="27"/>
      <c r="V81" s="27"/>
      <c r="W81" s="28"/>
      <c r="X81" s="33"/>
      <c r="Y81" s="32"/>
      <c r="Z81" s="25"/>
      <c r="AA81" s="27"/>
      <c r="AB81" s="28"/>
      <c r="AC81" s="27"/>
      <c r="AD81" s="27"/>
      <c r="AE81" s="33"/>
      <c r="AG81" s="25"/>
      <c r="AH81" s="34"/>
      <c r="AI81" s="27"/>
      <c r="AJ81" s="27"/>
      <c r="AK81" s="27"/>
      <c r="AL81" s="25"/>
      <c r="AM81" s="34"/>
      <c r="AN81" s="27"/>
      <c r="AO81" s="27"/>
      <c r="AP81" s="36"/>
      <c r="AQ81" s="37"/>
      <c r="AR81" s="32"/>
      <c r="AS81" s="25" t="s">
        <v>96</v>
      </c>
      <c r="AT81" s="27" t="s">
        <v>87</v>
      </c>
      <c r="AU81" s="27"/>
      <c r="AW81" s="25" t="s">
        <v>90</v>
      </c>
      <c r="AX81" s="27" t="s">
        <v>95</v>
      </c>
      <c r="AY81" s="27"/>
      <c r="AZ81" s="32"/>
      <c r="BA81" s="41"/>
    </row>
    <row r="82" spans="1:53" x14ac:dyDescent="0.2">
      <c r="A82" s="25">
        <v>68</v>
      </c>
      <c r="B82" s="26">
        <v>45375</v>
      </c>
      <c r="C82" s="27"/>
      <c r="D82" s="25"/>
      <c r="E82" s="28"/>
      <c r="F82" s="27"/>
      <c r="G82" s="28"/>
      <c r="H82" s="27"/>
      <c r="I82" s="28"/>
      <c r="J82" s="27">
        <v>8</v>
      </c>
      <c r="K82" s="29" t="s">
        <v>35</v>
      </c>
      <c r="L82" s="39"/>
      <c r="M82" s="31"/>
      <c r="N82" s="27"/>
      <c r="P82" s="32"/>
      <c r="Q82" s="25"/>
      <c r="R82" s="27"/>
      <c r="S82" s="27"/>
      <c r="T82" s="28"/>
      <c r="U82" s="27"/>
      <c r="V82" s="27"/>
      <c r="W82" s="28"/>
      <c r="X82" s="33"/>
      <c r="Y82" s="32"/>
      <c r="Z82" s="25"/>
      <c r="AA82" s="27"/>
      <c r="AB82" s="28"/>
      <c r="AC82" s="27"/>
      <c r="AD82" s="27"/>
      <c r="AE82" s="33"/>
      <c r="AG82" s="25"/>
      <c r="AH82" s="34"/>
      <c r="AI82" s="27"/>
      <c r="AJ82" s="27"/>
      <c r="AK82" s="27"/>
      <c r="AL82" s="25"/>
      <c r="AM82" s="34"/>
      <c r="AN82" s="27"/>
      <c r="AO82" s="27"/>
      <c r="AP82" s="36"/>
      <c r="AQ82" s="37"/>
      <c r="AR82" s="32"/>
      <c r="AS82" s="25" t="s">
        <v>96</v>
      </c>
      <c r="AT82" s="27" t="s">
        <v>87</v>
      </c>
      <c r="AU82" s="27"/>
      <c r="AW82" s="25" t="s">
        <v>90</v>
      </c>
      <c r="AX82" s="27" t="s">
        <v>95</v>
      </c>
      <c r="AY82" s="27"/>
      <c r="AZ82" s="32"/>
      <c r="BA82" s="41"/>
    </row>
    <row r="83" spans="1:53" x14ac:dyDescent="0.2">
      <c r="A83" s="25">
        <v>69</v>
      </c>
      <c r="B83" s="26">
        <v>45376</v>
      </c>
      <c r="C83" s="27"/>
      <c r="D83" s="25"/>
      <c r="E83" s="28"/>
      <c r="F83" s="27"/>
      <c r="G83" s="28"/>
      <c r="H83" s="27"/>
      <c r="I83" s="28"/>
      <c r="J83" s="27">
        <v>8</v>
      </c>
      <c r="K83" s="29" t="s">
        <v>35</v>
      </c>
      <c r="L83" s="39"/>
      <c r="M83" s="31"/>
      <c r="N83" s="27"/>
      <c r="P83" s="32"/>
      <c r="Q83" s="25"/>
      <c r="R83" s="27"/>
      <c r="S83" s="27"/>
      <c r="T83" s="28"/>
      <c r="U83" s="27"/>
      <c r="V83" s="27"/>
      <c r="W83" s="28"/>
      <c r="X83" s="33"/>
      <c r="Y83" s="32"/>
      <c r="Z83" s="25"/>
      <c r="AA83" s="27"/>
      <c r="AB83" s="28"/>
      <c r="AC83" s="27"/>
      <c r="AD83" s="27"/>
      <c r="AE83" s="33"/>
      <c r="AG83" s="25"/>
      <c r="AH83" s="34"/>
      <c r="AI83" s="27"/>
      <c r="AJ83" s="27"/>
      <c r="AK83" s="27"/>
      <c r="AL83" s="25"/>
      <c r="AM83" s="34"/>
      <c r="AN83" s="27"/>
      <c r="AO83" s="27"/>
      <c r="AP83" s="36"/>
      <c r="AQ83" s="37"/>
      <c r="AR83" s="32"/>
      <c r="AS83" s="25" t="s">
        <v>96</v>
      </c>
      <c r="AT83" s="27" t="s">
        <v>87</v>
      </c>
      <c r="AU83" s="27"/>
      <c r="AW83" s="25" t="s">
        <v>90</v>
      </c>
      <c r="AX83" s="27" t="s">
        <v>95</v>
      </c>
      <c r="AY83" s="27"/>
      <c r="AZ83" s="32"/>
      <c r="BA83" s="41"/>
    </row>
    <row r="84" spans="1:53" x14ac:dyDescent="0.2">
      <c r="A84" s="25">
        <v>70</v>
      </c>
      <c r="B84" s="26">
        <v>45377</v>
      </c>
      <c r="C84" s="27"/>
      <c r="D84" s="25"/>
      <c r="E84" s="28"/>
      <c r="F84" s="27"/>
      <c r="G84" s="28"/>
      <c r="H84" s="27"/>
      <c r="I84" s="28"/>
      <c r="J84" s="27">
        <v>8</v>
      </c>
      <c r="K84" s="29" t="s">
        <v>35</v>
      </c>
      <c r="L84" s="39"/>
      <c r="M84" s="31"/>
      <c r="N84" s="27"/>
      <c r="P84" s="32"/>
      <c r="Q84" s="25"/>
      <c r="R84" s="27"/>
      <c r="S84" s="27"/>
      <c r="T84" s="28"/>
      <c r="U84" s="27"/>
      <c r="V84" s="27"/>
      <c r="W84" s="28"/>
      <c r="X84" s="33"/>
      <c r="Y84" s="32"/>
      <c r="Z84" s="25"/>
      <c r="AA84" s="27"/>
      <c r="AB84" s="28"/>
      <c r="AC84" s="27"/>
      <c r="AD84" s="27"/>
      <c r="AE84" s="33"/>
      <c r="AG84" s="25"/>
      <c r="AH84" s="34"/>
      <c r="AI84" s="27"/>
      <c r="AJ84" s="27"/>
      <c r="AK84" s="27"/>
      <c r="AL84" s="25"/>
      <c r="AM84" s="34"/>
      <c r="AN84" s="27"/>
      <c r="AO84" s="27"/>
      <c r="AP84" s="36"/>
      <c r="AQ84" s="37"/>
      <c r="AR84" s="32"/>
      <c r="AS84" s="25" t="s">
        <v>96</v>
      </c>
      <c r="AT84" s="27" t="s">
        <v>87</v>
      </c>
      <c r="AU84" s="27"/>
      <c r="AW84" s="25" t="s">
        <v>90</v>
      </c>
      <c r="AX84" s="27" t="s">
        <v>95</v>
      </c>
      <c r="AY84" s="27"/>
      <c r="AZ84" s="32"/>
      <c r="BA84" s="41"/>
    </row>
    <row r="85" spans="1:53" x14ac:dyDescent="0.2">
      <c r="A85" s="25">
        <v>71</v>
      </c>
      <c r="B85" s="26">
        <v>45378</v>
      </c>
      <c r="C85" s="27"/>
      <c r="D85" s="25"/>
      <c r="E85" s="28"/>
      <c r="F85" s="27"/>
      <c r="G85" s="28"/>
      <c r="H85" s="27"/>
      <c r="I85" s="28"/>
      <c r="J85" s="27">
        <v>8</v>
      </c>
      <c r="K85" s="29" t="s">
        <v>35</v>
      </c>
      <c r="L85" s="39"/>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c r="AO85" s="27"/>
      <c r="AP85" s="36"/>
      <c r="AQ85" s="37"/>
      <c r="AS85" s="25"/>
      <c r="AT85" s="27"/>
      <c r="AU85" s="27"/>
      <c r="AW85" s="25" t="s">
        <v>90</v>
      </c>
      <c r="AX85" s="27" t="s">
        <v>95</v>
      </c>
      <c r="AY85" s="27"/>
      <c r="AZ85" s="32"/>
      <c r="BA85" s="41"/>
    </row>
    <row r="86" spans="1:53" x14ac:dyDescent="0.2">
      <c r="A86" s="25">
        <v>72</v>
      </c>
      <c r="B86" s="26">
        <v>45379</v>
      </c>
      <c r="C86" s="27"/>
      <c r="D86" s="25"/>
      <c r="E86" s="28"/>
      <c r="F86" s="27"/>
      <c r="G86" s="28"/>
      <c r="H86" s="27"/>
      <c r="I86" s="28"/>
      <c r="J86" s="27">
        <v>8</v>
      </c>
      <c r="K86" s="29" t="s">
        <v>35</v>
      </c>
      <c r="L86" s="39"/>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c r="AO86" s="27"/>
      <c r="AP86" s="36"/>
      <c r="AQ86" s="37"/>
      <c r="AS86" s="25"/>
      <c r="AT86" s="27"/>
      <c r="AU86" s="27"/>
      <c r="AW86" s="25"/>
      <c r="AX86" s="27"/>
      <c r="AY86" s="27"/>
      <c r="AZ86" s="32"/>
      <c r="BA86" s="41"/>
    </row>
    <row r="87" spans="1:53" x14ac:dyDescent="0.2">
      <c r="A87" s="25">
        <v>73</v>
      </c>
      <c r="B87" s="26">
        <v>45380</v>
      </c>
      <c r="C87" s="27"/>
      <c r="D87" s="25"/>
      <c r="E87" s="28"/>
      <c r="F87" s="27"/>
      <c r="G87" s="28"/>
      <c r="H87" s="27"/>
      <c r="I87" s="28"/>
      <c r="J87" s="27">
        <v>8</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S87" s="25"/>
      <c r="AT87" s="27"/>
      <c r="AU87" s="27"/>
      <c r="AW87" s="25"/>
      <c r="AX87" s="27"/>
      <c r="AY87" s="27"/>
      <c r="AZ87" s="32"/>
      <c r="BA87" s="41"/>
    </row>
    <row r="88" spans="1:53" x14ac:dyDescent="0.2">
      <c r="A88" s="25">
        <v>74</v>
      </c>
      <c r="B88" s="26">
        <v>45381</v>
      </c>
      <c r="C88" s="27"/>
      <c r="D88" s="25"/>
      <c r="E88" s="28"/>
      <c r="F88" s="27"/>
      <c r="G88" s="28"/>
      <c r="H88" s="27"/>
      <c r="I88" s="28"/>
      <c r="J88" s="27">
        <v>8</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S88" s="25"/>
      <c r="AT88" s="27"/>
      <c r="AU88" s="27"/>
      <c r="AW88" s="25"/>
      <c r="AX88" s="27"/>
      <c r="AY88" s="27"/>
      <c r="AZ88" s="32"/>
      <c r="BA88" s="41"/>
    </row>
    <row r="89" spans="1:53" x14ac:dyDescent="0.2">
      <c r="A89" s="25">
        <v>75</v>
      </c>
      <c r="B89" s="26">
        <v>45382</v>
      </c>
      <c r="C89" s="27"/>
      <c r="D89" s="25"/>
      <c r="E89" s="28"/>
      <c r="F89" s="27"/>
      <c r="G89" s="28"/>
      <c r="H89" s="27"/>
      <c r="I89" s="28"/>
      <c r="J89" s="27">
        <v>8</v>
      </c>
      <c r="K89" s="29" t="s">
        <v>35</v>
      </c>
      <c r="L89" s="39"/>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R89" s="32"/>
      <c r="AS89" s="25"/>
      <c r="AT89" s="27"/>
      <c r="AU89" s="27"/>
      <c r="AW89" s="25"/>
      <c r="AX89" s="27"/>
      <c r="AY89" s="27"/>
      <c r="AZ89" s="32"/>
      <c r="BA89" s="41"/>
    </row>
    <row r="90" spans="1:53" x14ac:dyDescent="0.2">
      <c r="A90" s="25">
        <v>76</v>
      </c>
      <c r="B90" s="26">
        <v>45383</v>
      </c>
      <c r="C90" s="27"/>
      <c r="D90" s="25"/>
      <c r="E90" s="28"/>
      <c r="F90" s="27"/>
      <c r="G90" s="28"/>
      <c r="H90" s="27"/>
      <c r="I90" s="28"/>
      <c r="J90" s="27">
        <v>8</v>
      </c>
      <c r="K90" s="29" t="s">
        <v>35</v>
      </c>
      <c r="L90" s="39"/>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R90" s="32"/>
      <c r="AS90" s="25"/>
      <c r="AT90" s="27"/>
      <c r="AU90" s="27"/>
      <c r="AW90" s="25"/>
      <c r="AX90" s="27"/>
      <c r="AY90" s="27"/>
      <c r="AZ90" s="32"/>
      <c r="BA90" s="41"/>
    </row>
    <row r="91" spans="1:53" x14ac:dyDescent="0.2">
      <c r="A91" s="25">
        <v>77</v>
      </c>
      <c r="B91" s="26">
        <v>45384</v>
      </c>
      <c r="C91" s="27"/>
      <c r="D91" s="25"/>
      <c r="E91" s="28"/>
      <c r="F91" s="27"/>
      <c r="G91" s="28"/>
      <c r="H91" s="27"/>
      <c r="I91" s="28"/>
      <c r="J91" s="27">
        <v>8</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c r="AT91" s="27"/>
      <c r="AU91" s="27"/>
      <c r="AW91" s="25"/>
      <c r="AX91" s="27"/>
      <c r="AY91" s="27"/>
      <c r="AZ91" s="32"/>
      <c r="BA91" s="41"/>
    </row>
    <row r="92" spans="1:53" x14ac:dyDescent="0.2">
      <c r="A92" s="25">
        <v>78</v>
      </c>
      <c r="B92" s="26">
        <v>45385</v>
      </c>
      <c r="C92" s="27"/>
      <c r="D92" s="25"/>
      <c r="E92" s="28"/>
      <c r="F92" s="27"/>
      <c r="G92" s="28"/>
      <c r="H92" s="27"/>
      <c r="I92" s="28"/>
      <c r="J92" s="27">
        <v>8</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c r="AT92" s="27"/>
      <c r="AU92" s="27"/>
      <c r="AW92" s="25"/>
      <c r="AX92" s="27"/>
      <c r="AY92" s="27"/>
      <c r="AZ92" s="32"/>
      <c r="BA92" s="41"/>
    </row>
    <row r="93" spans="1:53" x14ac:dyDescent="0.2">
      <c r="A93" s="25">
        <v>79</v>
      </c>
      <c r="B93" s="26">
        <v>45386</v>
      </c>
      <c r="C93" s="27"/>
      <c r="D93" s="25"/>
      <c r="E93" s="28"/>
      <c r="F93" s="27"/>
      <c r="G93" s="28"/>
      <c r="H93" s="27"/>
      <c r="I93" s="28"/>
      <c r="J93" s="27">
        <v>8</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c r="AT93" s="27"/>
      <c r="AU93" s="27"/>
      <c r="AW93" s="25"/>
      <c r="AX93" s="27"/>
      <c r="AY93" s="27"/>
      <c r="AZ93" s="32"/>
      <c r="BA93" s="41"/>
    </row>
    <row r="94" spans="1:53" x14ac:dyDescent="0.2">
      <c r="A94" s="25">
        <v>80</v>
      </c>
      <c r="B94" s="26">
        <v>45387</v>
      </c>
      <c r="C94" s="27"/>
      <c r="D94" s="25"/>
      <c r="E94" s="28"/>
      <c r="F94" s="27"/>
      <c r="G94" s="28"/>
      <c r="H94" s="27"/>
      <c r="I94" s="28"/>
      <c r="J94" s="27">
        <v>8</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c r="AT94" s="27"/>
      <c r="AU94" s="27"/>
      <c r="AW94" s="25"/>
      <c r="AX94" s="27"/>
      <c r="AY94" s="27"/>
      <c r="AZ94" s="32"/>
      <c r="BA94" s="41"/>
    </row>
    <row r="95" spans="1:53" x14ac:dyDescent="0.2">
      <c r="A95" s="25">
        <v>81</v>
      </c>
      <c r="B95" s="26">
        <v>45388</v>
      </c>
      <c r="C95" s="27"/>
      <c r="D95" s="25"/>
      <c r="E95" s="28"/>
      <c r="F95" s="27"/>
      <c r="G95" s="28"/>
      <c r="H95" s="27"/>
      <c r="I95" s="28"/>
      <c r="J95" s="27">
        <v>8</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c r="AT95" s="27"/>
      <c r="AU95" s="27"/>
      <c r="AW95" s="25"/>
      <c r="AX95" s="27"/>
      <c r="AY95" s="27"/>
      <c r="AZ95" s="32"/>
      <c r="BA95" s="41"/>
    </row>
    <row r="96" spans="1:53" x14ac:dyDescent="0.2">
      <c r="A96" s="25">
        <v>82</v>
      </c>
      <c r="B96" s="26">
        <v>45389</v>
      </c>
      <c r="C96" s="27"/>
      <c r="D96" s="25"/>
      <c r="E96" s="28"/>
      <c r="F96" s="27"/>
      <c r="G96" s="28"/>
      <c r="H96" s="27"/>
      <c r="I96" s="28"/>
      <c r="J96" s="27">
        <v>8</v>
      </c>
      <c r="K96" s="29" t="s">
        <v>35</v>
      </c>
      <c r="L96" s="39"/>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c r="AT96" s="27"/>
      <c r="AU96" s="27"/>
      <c r="AW96" s="25"/>
      <c r="AX96" s="27"/>
      <c r="AY96" s="27"/>
      <c r="AZ96" s="32"/>
      <c r="BA96" s="41"/>
    </row>
    <row r="97" spans="1:53" x14ac:dyDescent="0.2">
      <c r="A97" s="25">
        <v>83</v>
      </c>
      <c r="B97" s="26">
        <v>45390</v>
      </c>
      <c r="C97" s="27"/>
      <c r="D97" s="25"/>
      <c r="E97" s="28"/>
      <c r="F97" s="27"/>
      <c r="G97" s="28"/>
      <c r="H97" s="27"/>
      <c r="I97" s="28"/>
      <c r="J97" s="27">
        <v>8</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c r="AT97" s="27"/>
      <c r="AU97" s="27"/>
      <c r="AW97" s="25"/>
      <c r="AX97" s="27"/>
      <c r="AY97" s="27"/>
      <c r="AZ97" s="32"/>
      <c r="BA97" s="41"/>
    </row>
    <row r="98" spans="1:53" x14ac:dyDescent="0.2">
      <c r="A98" s="25">
        <v>84</v>
      </c>
      <c r="B98" s="26">
        <v>45391</v>
      </c>
      <c r="C98" s="27"/>
      <c r="D98" s="25"/>
      <c r="E98" s="28"/>
      <c r="F98" s="27"/>
      <c r="G98" s="28"/>
      <c r="H98" s="27"/>
      <c r="I98" s="28"/>
      <c r="J98" s="27">
        <v>8</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c r="AO98" s="27"/>
      <c r="AP98" s="36"/>
      <c r="AQ98" s="37"/>
      <c r="AR98" s="32"/>
      <c r="AS98" s="25"/>
      <c r="AT98" s="27"/>
      <c r="AU98" s="27"/>
      <c r="AW98" s="25"/>
      <c r="AX98" s="27"/>
      <c r="AY98" s="27"/>
      <c r="AZ98" s="32"/>
      <c r="BA98" s="41"/>
    </row>
    <row r="99" spans="1:53" x14ac:dyDescent="0.2">
      <c r="A99" s="25">
        <v>85</v>
      </c>
      <c r="B99" s="26">
        <v>45392</v>
      </c>
      <c r="C99" s="27"/>
      <c r="D99" s="25"/>
      <c r="E99" s="28"/>
      <c r="F99" s="27"/>
      <c r="G99" s="28"/>
      <c r="H99" s="27"/>
      <c r="I99" s="28"/>
      <c r="J99" s="27">
        <v>8</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c r="AO99" s="27"/>
      <c r="AP99" s="36"/>
      <c r="AQ99" s="37"/>
      <c r="AR99" s="32"/>
      <c r="AS99" s="25"/>
      <c r="AT99" s="27"/>
      <c r="AU99" s="27"/>
      <c r="AW99" s="25"/>
      <c r="AX99" s="27"/>
      <c r="AY99" s="27"/>
      <c r="AZ99" s="32"/>
      <c r="BA99" s="41"/>
    </row>
    <row r="100" spans="1:53" x14ac:dyDescent="0.2">
      <c r="A100" s="25">
        <v>86</v>
      </c>
      <c r="B100" s="26">
        <v>45393</v>
      </c>
      <c r="C100" s="27"/>
      <c r="D100" s="25"/>
      <c r="E100" s="28"/>
      <c r="F100" s="27"/>
      <c r="G100" s="28"/>
      <c r="H100" s="27"/>
      <c r="I100" s="28"/>
      <c r="J100" s="27">
        <v>8</v>
      </c>
      <c r="K100" s="29" t="s">
        <v>35</v>
      </c>
      <c r="L100" s="39"/>
      <c r="M100" s="31"/>
      <c r="N100" s="27"/>
      <c r="P100" s="32"/>
      <c r="Q100" s="25"/>
      <c r="R100" s="27"/>
      <c r="S100" s="27"/>
      <c r="T100" s="28"/>
      <c r="U100" s="27"/>
      <c r="V100" s="27"/>
      <c r="W100" s="28"/>
      <c r="X100" s="33"/>
      <c r="Y100" s="32"/>
      <c r="Z100" s="25"/>
      <c r="AA100" s="27"/>
      <c r="AB100" s="28"/>
      <c r="AC100" s="27"/>
      <c r="AD100" s="27"/>
      <c r="AE100" s="33"/>
      <c r="AF100" s="32"/>
      <c r="AG100" s="90"/>
      <c r="AH100" s="91"/>
      <c r="AI100" s="27"/>
      <c r="AJ100" s="27"/>
      <c r="AK100" s="28"/>
      <c r="AL100" s="27"/>
      <c r="AM100" s="27"/>
      <c r="AN100" s="27"/>
      <c r="AO100" s="27"/>
      <c r="AP100" s="36"/>
      <c r="AQ100" s="37"/>
      <c r="AR100" s="32"/>
      <c r="AS100" s="25"/>
      <c r="AT100" s="27"/>
      <c r="AU100" s="27"/>
      <c r="AW100" s="25"/>
      <c r="AX100" s="27"/>
      <c r="AY100" s="27"/>
      <c r="AZ100" s="32"/>
      <c r="BA100" s="41"/>
    </row>
    <row r="101" spans="1:53" x14ac:dyDescent="0.2">
      <c r="A101" s="25">
        <v>87</v>
      </c>
      <c r="B101" s="26">
        <v>45394</v>
      </c>
      <c r="C101" s="27"/>
      <c r="D101" s="25"/>
      <c r="E101" s="28"/>
      <c r="F101" s="27"/>
      <c r="G101" s="28"/>
      <c r="H101" s="27"/>
      <c r="I101" s="28"/>
      <c r="J101" s="27">
        <v>8</v>
      </c>
      <c r="K101" s="29" t="s">
        <v>35</v>
      </c>
      <c r="L101" s="39"/>
      <c r="M101" s="31"/>
      <c r="N101" s="27"/>
      <c r="P101" s="32"/>
      <c r="Q101" s="25"/>
      <c r="R101" s="27"/>
      <c r="S101" s="27"/>
      <c r="T101" s="28"/>
      <c r="U101" s="27"/>
      <c r="V101" s="27"/>
      <c r="W101" s="28"/>
      <c r="X101" s="33"/>
      <c r="Y101" s="32"/>
      <c r="Z101" s="25"/>
      <c r="AA101" s="27"/>
      <c r="AB101" s="28"/>
      <c r="AC101" s="27"/>
      <c r="AD101" s="27"/>
      <c r="AE101" s="33"/>
      <c r="AF101" s="32"/>
      <c r="AG101" s="90"/>
      <c r="AH101" s="91"/>
      <c r="AI101" s="27"/>
      <c r="AJ101" s="27"/>
      <c r="AK101" s="28"/>
      <c r="AL101" s="27"/>
      <c r="AM101" s="27"/>
      <c r="AN101" s="27"/>
      <c r="AO101" s="27"/>
      <c r="AP101" s="36"/>
      <c r="AQ101" s="37"/>
      <c r="AR101" s="32"/>
      <c r="AS101" s="25"/>
      <c r="AT101" s="27"/>
      <c r="AU101" s="27"/>
      <c r="AW101" s="25"/>
      <c r="AX101" s="27"/>
      <c r="AY101" s="27"/>
      <c r="AZ101" s="32"/>
      <c r="BA101" s="41"/>
    </row>
    <row r="102" spans="1:53" x14ac:dyDescent="0.2">
      <c r="A102" s="25">
        <v>88</v>
      </c>
      <c r="B102" s="26">
        <v>45395</v>
      </c>
      <c r="C102" s="27"/>
      <c r="D102" s="25"/>
      <c r="E102" s="28"/>
      <c r="F102" s="27"/>
      <c r="G102" s="28"/>
      <c r="H102" s="27"/>
      <c r="I102" s="28"/>
      <c r="J102" s="27">
        <v>8</v>
      </c>
      <c r="K102" s="29" t="s">
        <v>35</v>
      </c>
      <c r="L102" s="39"/>
      <c r="M102" s="31"/>
      <c r="N102" s="27"/>
      <c r="P102" s="32"/>
      <c r="Q102" s="25"/>
      <c r="R102" s="27"/>
      <c r="S102" s="27"/>
      <c r="T102" s="28"/>
      <c r="U102" s="27"/>
      <c r="V102" s="27"/>
      <c r="W102" s="28"/>
      <c r="X102" s="33"/>
      <c r="Y102" s="32"/>
      <c r="Z102" s="25"/>
      <c r="AA102" s="27"/>
      <c r="AB102" s="28"/>
      <c r="AC102" s="27"/>
      <c r="AD102" s="27"/>
      <c r="AE102" s="33"/>
      <c r="AF102" s="32"/>
      <c r="AG102" s="90"/>
      <c r="AH102" s="91"/>
      <c r="AI102" s="27"/>
      <c r="AJ102" s="27"/>
      <c r="AK102" s="28"/>
      <c r="AL102" s="27"/>
      <c r="AM102" s="27"/>
      <c r="AN102" s="27"/>
      <c r="AO102" s="27"/>
      <c r="AP102" s="36"/>
      <c r="AQ102" s="37"/>
      <c r="AR102" s="32"/>
      <c r="AS102" s="25"/>
      <c r="AT102" s="27"/>
      <c r="AU102" s="27"/>
      <c r="AW102" s="25"/>
      <c r="AX102" s="27"/>
      <c r="AY102" s="27"/>
      <c r="AZ102" s="32"/>
      <c r="BA102" s="41"/>
    </row>
    <row r="103" spans="1:53" x14ac:dyDescent="0.2">
      <c r="A103" s="25">
        <v>89</v>
      </c>
      <c r="B103" s="26">
        <v>45396</v>
      </c>
      <c r="C103" s="27"/>
      <c r="D103" s="25"/>
      <c r="E103" s="28"/>
      <c r="F103" s="27"/>
      <c r="G103" s="28"/>
      <c r="H103" s="27"/>
      <c r="I103" s="28"/>
      <c r="J103" s="27">
        <v>8</v>
      </c>
      <c r="K103" s="29" t="s">
        <v>35</v>
      </c>
      <c r="L103" s="39"/>
      <c r="M103" s="31"/>
      <c r="N103" s="27"/>
      <c r="P103" s="32"/>
      <c r="Q103" s="25"/>
      <c r="R103" s="27"/>
      <c r="S103" s="27"/>
      <c r="T103" s="28"/>
      <c r="U103" s="27"/>
      <c r="V103" s="27"/>
      <c r="W103" s="28"/>
      <c r="X103" s="33"/>
      <c r="Y103" s="32"/>
      <c r="Z103" s="25"/>
      <c r="AA103" s="27"/>
      <c r="AB103" s="28"/>
      <c r="AC103" s="27"/>
      <c r="AD103" s="27"/>
      <c r="AE103" s="33"/>
      <c r="AF103" s="32"/>
      <c r="AG103" s="90"/>
      <c r="AH103" s="91"/>
      <c r="AI103" s="27"/>
      <c r="AJ103" s="27"/>
      <c r="AK103" s="28"/>
      <c r="AL103" s="27"/>
      <c r="AM103" s="27"/>
      <c r="AN103" s="27"/>
      <c r="AO103" s="27"/>
      <c r="AP103" s="36"/>
      <c r="AQ103" s="37"/>
      <c r="AR103" s="32"/>
      <c r="AS103" s="25"/>
      <c r="AT103" s="27"/>
      <c r="AU103" s="27"/>
      <c r="AW103" s="25"/>
      <c r="AX103" s="27"/>
      <c r="AY103" s="27"/>
      <c r="AZ103" s="32"/>
      <c r="BA103" s="41"/>
    </row>
    <row r="104" spans="1:53" x14ac:dyDescent="0.2">
      <c r="A104" s="25">
        <v>90</v>
      </c>
      <c r="B104" s="26">
        <v>45397</v>
      </c>
      <c r="C104" s="27"/>
      <c r="D104" s="25"/>
      <c r="E104" s="28"/>
      <c r="F104" s="27"/>
      <c r="G104" s="28"/>
      <c r="H104" s="27"/>
      <c r="I104" s="28"/>
      <c r="J104" s="27">
        <v>8</v>
      </c>
      <c r="K104" s="29" t="s">
        <v>35</v>
      </c>
      <c r="L104" s="39"/>
      <c r="M104" s="31"/>
      <c r="N104" s="27"/>
      <c r="P104" s="32"/>
      <c r="Q104" s="25"/>
      <c r="R104" s="27"/>
      <c r="S104" s="27"/>
      <c r="T104" s="28"/>
      <c r="U104" s="27"/>
      <c r="V104" s="27"/>
      <c r="W104" s="28"/>
      <c r="X104" s="33"/>
      <c r="Y104" s="32"/>
      <c r="Z104" s="25"/>
      <c r="AA104" s="27"/>
      <c r="AB104" s="28"/>
      <c r="AC104" s="27"/>
      <c r="AD104" s="27"/>
      <c r="AE104" s="33"/>
      <c r="AF104" s="32"/>
      <c r="AG104" s="90"/>
      <c r="AH104" s="91"/>
      <c r="AI104" s="27"/>
      <c r="AJ104" s="27"/>
      <c r="AK104" s="28"/>
      <c r="AL104" s="27"/>
      <c r="AM104" s="27"/>
      <c r="AN104" s="27"/>
      <c r="AO104" s="27"/>
      <c r="AP104" s="36"/>
      <c r="AQ104" s="37"/>
      <c r="AR104" s="32"/>
      <c r="AS104" s="25"/>
      <c r="AT104" s="27"/>
      <c r="AU104" s="27"/>
      <c r="AW104" s="25"/>
      <c r="AX104" s="27"/>
      <c r="AY104" s="27"/>
      <c r="AZ104" s="32"/>
      <c r="BA104" s="41"/>
    </row>
    <row r="105" spans="1:53" x14ac:dyDescent="0.2">
      <c r="B105" s="26"/>
    </row>
  </sheetData>
  <mergeCells count="58">
    <mergeCell ref="X18:X25"/>
    <mergeCell ref="AV11:AV13"/>
    <mergeCell ref="AW11:AW13"/>
    <mergeCell ref="AG11:AG12"/>
    <mergeCell ref="X11:X13"/>
    <mergeCell ref="O34:O54"/>
    <mergeCell ref="AR11:AR13"/>
    <mergeCell ref="AS11:AS13"/>
    <mergeCell ref="AT11:AT13"/>
    <mergeCell ref="AU11:AU13"/>
    <mergeCell ref="AH11:AH13"/>
    <mergeCell ref="AI11:AK12"/>
    <mergeCell ref="AL11:AL13"/>
    <mergeCell ref="AM11:AM12"/>
    <mergeCell ref="AN11:AP12"/>
    <mergeCell ref="AQ11:AQ13"/>
    <mergeCell ref="Y11:Y13"/>
    <mergeCell ref="Z11:AB12"/>
    <mergeCell ref="AC11:AD12"/>
    <mergeCell ref="AE11:AE13"/>
    <mergeCell ref="AF11:AF13"/>
    <mergeCell ref="H11:I12"/>
    <mergeCell ref="J11:J13"/>
    <mergeCell ref="K11:K13"/>
    <mergeCell ref="L11:L13"/>
    <mergeCell ref="M11:M13"/>
    <mergeCell ref="N11:N13"/>
    <mergeCell ref="AS8:AV10"/>
    <mergeCell ref="AW8:AZ10"/>
    <mergeCell ref="BA8:BA10"/>
    <mergeCell ref="AG10:AK10"/>
    <mergeCell ref="AM10:AP10"/>
    <mergeCell ref="AG8:AP9"/>
    <mergeCell ref="O11:O13"/>
    <mergeCell ref="P11:P13"/>
    <mergeCell ref="Q11:Q13"/>
    <mergeCell ref="R11:T12"/>
    <mergeCell ref="U11:W12"/>
    <mergeCell ref="AX11:AX13"/>
    <mergeCell ref="AY11:AY13"/>
    <mergeCell ref="AZ11:AZ13"/>
    <mergeCell ref="BA11:BA13"/>
    <mergeCell ref="A11:A13"/>
    <mergeCell ref="B11:B13"/>
    <mergeCell ref="C11:C13"/>
    <mergeCell ref="D11:E12"/>
    <mergeCell ref="F11:G12"/>
    <mergeCell ref="A8:C10"/>
    <mergeCell ref="D8:M10"/>
    <mergeCell ref="N8:P10"/>
    <mergeCell ref="Q8:Y10"/>
    <mergeCell ref="Z8:AF10"/>
    <mergeCell ref="D7:I7"/>
    <mergeCell ref="D2:I2"/>
    <mergeCell ref="D3:I3"/>
    <mergeCell ref="D4:I4"/>
    <mergeCell ref="D5:I5"/>
    <mergeCell ref="D6:I6"/>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98"/>
  <sheetViews>
    <sheetView zoomScale="94" zoomScaleNormal="68" workbookViewId="0">
      <pane xSplit="1" topLeftCell="B1" activePane="topRight" state="frozen"/>
      <selection pane="topRight" activeCell="Y48" sqref="Y48"/>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3.1640625" bestFit="1" customWidth="1"/>
    <col min="32" max="32" width="41.1640625" bestFit="1" customWidth="1"/>
    <col min="33" max="33" width="8.83203125" customWidth="1"/>
    <col min="34" max="34" width="10.5" customWidth="1"/>
    <col min="35" max="35" width="7.6640625" bestFit="1" customWidth="1"/>
    <col min="36" max="36" width="6.5" bestFit="1" customWidth="1"/>
    <col min="37" max="37" width="7.6640625" bestFit="1" customWidth="1"/>
    <col min="38" max="38" width="16.33203125" bestFit="1" customWidth="1"/>
    <col min="39" max="39" width="12.5" bestFit="1" customWidth="1"/>
    <col min="40" max="42" width="7.6640625" bestFit="1" customWidth="1"/>
    <col min="43" max="43" width="37.1640625"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ht="23" x14ac:dyDescent="0.2">
      <c r="A1" s="209" t="s">
        <v>0</v>
      </c>
      <c r="B1" s="210"/>
      <c r="C1" s="210"/>
      <c r="D1" s="215" t="s">
        <v>1</v>
      </c>
      <c r="E1" s="215"/>
      <c r="F1" s="215"/>
      <c r="G1" s="215"/>
      <c r="H1" s="215"/>
      <c r="I1" s="215"/>
      <c r="J1" s="215"/>
      <c r="K1" s="215"/>
      <c r="L1" s="215"/>
      <c r="M1" s="215"/>
      <c r="N1" s="218" t="s">
        <v>2</v>
      </c>
      <c r="O1" s="218"/>
      <c r="P1" s="219"/>
      <c r="Q1" s="224" t="s">
        <v>3</v>
      </c>
      <c r="R1" s="225"/>
      <c r="S1" s="225"/>
      <c r="T1" s="225"/>
      <c r="U1" s="225"/>
      <c r="V1" s="225"/>
      <c r="W1" s="225"/>
      <c r="X1" s="225"/>
      <c r="Y1" s="226"/>
      <c r="Z1" s="230" t="s">
        <v>4</v>
      </c>
      <c r="AA1" s="231"/>
      <c r="AB1" s="231"/>
      <c r="AC1" s="231"/>
      <c r="AD1" s="231"/>
      <c r="AE1" s="231"/>
      <c r="AF1" s="232"/>
      <c r="AG1" s="271" t="s">
        <v>5</v>
      </c>
      <c r="AH1" s="271"/>
      <c r="AI1" s="271"/>
      <c r="AJ1" s="271"/>
      <c r="AK1" s="271"/>
      <c r="AL1" s="271"/>
      <c r="AM1" s="271"/>
      <c r="AN1" s="271"/>
      <c r="AO1" s="271"/>
      <c r="AP1" s="271"/>
      <c r="AQ1" s="1"/>
      <c r="AR1" s="2"/>
      <c r="AS1" s="251" t="s">
        <v>6</v>
      </c>
      <c r="AT1" s="252"/>
      <c r="AU1" s="252"/>
      <c r="AV1" s="252"/>
      <c r="AW1" s="257" t="s">
        <v>7</v>
      </c>
      <c r="AX1" s="258"/>
      <c r="AY1" s="258"/>
      <c r="AZ1" s="259"/>
      <c r="BA1" s="266" t="s">
        <v>8</v>
      </c>
    </row>
    <row r="2" spans="1:53" ht="23" x14ac:dyDescent="0.2">
      <c r="A2" s="211"/>
      <c r="B2" s="212"/>
      <c r="C2" s="212"/>
      <c r="D2" s="216"/>
      <c r="E2" s="216"/>
      <c r="F2" s="216"/>
      <c r="G2" s="216"/>
      <c r="H2" s="216"/>
      <c r="I2" s="216"/>
      <c r="J2" s="216"/>
      <c r="K2" s="216"/>
      <c r="L2" s="216"/>
      <c r="M2" s="216"/>
      <c r="N2" s="220"/>
      <c r="O2" s="220"/>
      <c r="P2" s="221"/>
      <c r="Q2" s="227"/>
      <c r="R2" s="228"/>
      <c r="S2" s="228"/>
      <c r="T2" s="228"/>
      <c r="U2" s="228"/>
      <c r="V2" s="228"/>
      <c r="W2" s="228"/>
      <c r="X2" s="228"/>
      <c r="Y2" s="229"/>
      <c r="Z2" s="233"/>
      <c r="AA2" s="234"/>
      <c r="AB2" s="234"/>
      <c r="AC2" s="234"/>
      <c r="AD2" s="234"/>
      <c r="AE2" s="234"/>
      <c r="AF2" s="235"/>
      <c r="AG2" s="272"/>
      <c r="AH2" s="272"/>
      <c r="AI2" s="272"/>
      <c r="AJ2" s="272"/>
      <c r="AK2" s="272"/>
      <c r="AL2" s="272"/>
      <c r="AM2" s="272"/>
      <c r="AN2" s="272"/>
      <c r="AO2" s="272"/>
      <c r="AP2" s="272"/>
      <c r="AQ2" s="3"/>
      <c r="AR2" s="4"/>
      <c r="AS2" s="253"/>
      <c r="AT2" s="254"/>
      <c r="AU2" s="254"/>
      <c r="AV2" s="254"/>
      <c r="AW2" s="260"/>
      <c r="AX2" s="261"/>
      <c r="AY2" s="261"/>
      <c r="AZ2" s="262"/>
      <c r="BA2" s="267"/>
    </row>
    <row r="3" spans="1:53" ht="21" thickBot="1" x14ac:dyDescent="0.25">
      <c r="A3" s="213"/>
      <c r="B3" s="214"/>
      <c r="C3" s="214"/>
      <c r="D3" s="217"/>
      <c r="E3" s="217"/>
      <c r="F3" s="217"/>
      <c r="G3" s="217"/>
      <c r="H3" s="217"/>
      <c r="I3" s="217"/>
      <c r="J3" s="217"/>
      <c r="K3" s="217"/>
      <c r="L3" s="217"/>
      <c r="M3" s="217"/>
      <c r="N3" s="222"/>
      <c r="O3" s="222"/>
      <c r="P3" s="223"/>
      <c r="Q3" s="227"/>
      <c r="R3" s="228"/>
      <c r="S3" s="228"/>
      <c r="T3" s="228"/>
      <c r="U3" s="228"/>
      <c r="V3" s="228"/>
      <c r="W3" s="228"/>
      <c r="X3" s="228"/>
      <c r="Y3" s="229"/>
      <c r="Z3" s="233"/>
      <c r="AA3" s="234"/>
      <c r="AB3" s="234"/>
      <c r="AC3" s="234"/>
      <c r="AD3" s="234"/>
      <c r="AE3" s="234"/>
      <c r="AF3" s="235"/>
      <c r="AG3" s="269" t="s">
        <v>9</v>
      </c>
      <c r="AH3" s="269"/>
      <c r="AI3" s="269"/>
      <c r="AJ3" s="269"/>
      <c r="AK3" s="270"/>
      <c r="AL3" s="5"/>
      <c r="AM3" s="269" t="s">
        <v>10</v>
      </c>
      <c r="AN3" s="269"/>
      <c r="AO3" s="269"/>
      <c r="AP3" s="270"/>
      <c r="AQ3" s="6"/>
      <c r="AR3" s="7"/>
      <c r="AS3" s="255"/>
      <c r="AT3" s="256"/>
      <c r="AU3" s="256"/>
      <c r="AV3" s="256"/>
      <c r="AW3" s="263"/>
      <c r="AX3" s="264"/>
      <c r="AY3" s="264"/>
      <c r="AZ3" s="265"/>
      <c r="BA3" s="268"/>
    </row>
    <row r="4" spans="1:53" x14ac:dyDescent="0.2">
      <c r="A4" s="236" t="s">
        <v>11</v>
      </c>
      <c r="B4" s="239" t="s">
        <v>12</v>
      </c>
      <c r="C4" s="239" t="s">
        <v>13</v>
      </c>
      <c r="D4" s="242" t="s">
        <v>14</v>
      </c>
      <c r="E4" s="243"/>
      <c r="F4" s="246" t="s">
        <v>15</v>
      </c>
      <c r="G4" s="243"/>
      <c r="H4" s="292" t="s">
        <v>16</v>
      </c>
      <c r="I4" s="293"/>
      <c r="J4" s="296" t="s">
        <v>17</v>
      </c>
      <c r="K4" s="299" t="s">
        <v>18</v>
      </c>
      <c r="L4" s="292" t="s">
        <v>19</v>
      </c>
      <c r="M4" s="303" t="s">
        <v>20</v>
      </c>
      <c r="N4" s="248" t="s">
        <v>21</v>
      </c>
      <c r="O4" s="248" t="s">
        <v>19</v>
      </c>
      <c r="P4" s="248" t="s">
        <v>20</v>
      </c>
      <c r="Q4" s="273" t="s">
        <v>22</v>
      </c>
      <c r="R4" s="276" t="s">
        <v>23</v>
      </c>
      <c r="S4" s="276"/>
      <c r="T4" s="277"/>
      <c r="U4" s="280" t="s">
        <v>24</v>
      </c>
      <c r="V4" s="280"/>
      <c r="W4" s="281"/>
      <c r="X4" s="353" t="s">
        <v>19</v>
      </c>
      <c r="Y4" s="330" t="s">
        <v>20</v>
      </c>
      <c r="Z4" s="333" t="s">
        <v>23</v>
      </c>
      <c r="AA4" s="334"/>
      <c r="AB4" s="335"/>
      <c r="AC4" s="339" t="s">
        <v>24</v>
      </c>
      <c r="AD4" s="339"/>
      <c r="AE4" s="339" t="s">
        <v>19</v>
      </c>
      <c r="AF4" s="342" t="s">
        <v>20</v>
      </c>
      <c r="AG4" s="351" t="s">
        <v>25</v>
      </c>
      <c r="AH4" s="318" t="s">
        <v>26</v>
      </c>
      <c r="AI4" s="321" t="s">
        <v>24</v>
      </c>
      <c r="AJ4" s="321"/>
      <c r="AK4" s="321"/>
      <c r="AL4" s="323" t="s">
        <v>27</v>
      </c>
      <c r="AM4" s="325" t="s">
        <v>25</v>
      </c>
      <c r="AN4" s="321" t="s">
        <v>24</v>
      </c>
      <c r="AO4" s="321"/>
      <c r="AP4" s="309"/>
      <c r="AQ4" s="327" t="s">
        <v>19</v>
      </c>
      <c r="AR4" s="309" t="s">
        <v>20</v>
      </c>
      <c r="AS4" s="312" t="s">
        <v>28</v>
      </c>
      <c r="AT4" s="315" t="s">
        <v>29</v>
      </c>
      <c r="AU4" s="315" t="s">
        <v>19</v>
      </c>
      <c r="AV4" s="315" t="s">
        <v>20</v>
      </c>
      <c r="AW4" s="348" t="s">
        <v>30</v>
      </c>
      <c r="AX4" s="284" t="s">
        <v>29</v>
      </c>
      <c r="AY4" s="284" t="s">
        <v>19</v>
      </c>
      <c r="AZ4" s="287" t="s">
        <v>20</v>
      </c>
      <c r="BA4" s="290" t="s">
        <v>31</v>
      </c>
    </row>
    <row r="5" spans="1:53" x14ac:dyDescent="0.2">
      <c r="A5" s="237"/>
      <c r="B5" s="240"/>
      <c r="C5" s="240"/>
      <c r="D5" s="244"/>
      <c r="E5" s="245"/>
      <c r="F5" s="247"/>
      <c r="G5" s="245"/>
      <c r="H5" s="294"/>
      <c r="I5" s="295"/>
      <c r="J5" s="297"/>
      <c r="K5" s="300"/>
      <c r="L5" s="294"/>
      <c r="M5" s="304"/>
      <c r="N5" s="249"/>
      <c r="O5" s="249"/>
      <c r="P5" s="249"/>
      <c r="Q5" s="274"/>
      <c r="R5" s="278"/>
      <c r="S5" s="278"/>
      <c r="T5" s="279"/>
      <c r="U5" s="282"/>
      <c r="V5" s="282"/>
      <c r="W5" s="283"/>
      <c r="X5" s="354"/>
      <c r="Y5" s="331"/>
      <c r="Z5" s="336"/>
      <c r="AA5" s="337"/>
      <c r="AB5" s="338"/>
      <c r="AC5" s="340"/>
      <c r="AD5" s="340"/>
      <c r="AE5" s="340"/>
      <c r="AF5" s="343"/>
      <c r="AG5" s="352"/>
      <c r="AH5" s="319"/>
      <c r="AI5" s="322"/>
      <c r="AJ5" s="322"/>
      <c r="AK5" s="322"/>
      <c r="AL5" s="324"/>
      <c r="AM5" s="326"/>
      <c r="AN5" s="322"/>
      <c r="AO5" s="322"/>
      <c r="AP5" s="310"/>
      <c r="AQ5" s="328"/>
      <c r="AR5" s="310"/>
      <c r="AS5" s="313"/>
      <c r="AT5" s="316"/>
      <c r="AU5" s="316"/>
      <c r="AV5" s="316"/>
      <c r="AW5" s="349"/>
      <c r="AX5" s="285"/>
      <c r="AY5" s="285"/>
      <c r="AZ5" s="288"/>
      <c r="BA5" s="290"/>
    </row>
    <row r="6" spans="1:53" ht="16" thickBot="1" x14ac:dyDescent="0.25">
      <c r="A6" s="238"/>
      <c r="B6" s="241"/>
      <c r="C6" s="241"/>
      <c r="D6" s="8" t="s">
        <v>32</v>
      </c>
      <c r="E6" s="9" t="s">
        <v>33</v>
      </c>
      <c r="F6" s="10" t="s">
        <v>32</v>
      </c>
      <c r="G6" s="9" t="s">
        <v>33</v>
      </c>
      <c r="H6" s="11" t="s">
        <v>32</v>
      </c>
      <c r="I6" s="12" t="s">
        <v>33</v>
      </c>
      <c r="J6" s="298"/>
      <c r="K6" s="301"/>
      <c r="L6" s="302"/>
      <c r="M6" s="305"/>
      <c r="N6" s="250"/>
      <c r="O6" s="250"/>
      <c r="P6" s="250"/>
      <c r="Q6" s="275"/>
      <c r="R6" s="13" t="s">
        <v>32</v>
      </c>
      <c r="S6" s="13" t="s">
        <v>34</v>
      </c>
      <c r="T6" s="14" t="s">
        <v>33</v>
      </c>
      <c r="U6" s="15" t="s">
        <v>32</v>
      </c>
      <c r="V6" s="15" t="s">
        <v>34</v>
      </c>
      <c r="W6" s="16" t="s">
        <v>33</v>
      </c>
      <c r="X6" s="355"/>
      <c r="Y6" s="332"/>
      <c r="Z6" s="17" t="s">
        <v>32</v>
      </c>
      <c r="AA6" s="18" t="s">
        <v>34</v>
      </c>
      <c r="AB6" s="19" t="s">
        <v>33</v>
      </c>
      <c r="AC6" s="20" t="s">
        <v>32</v>
      </c>
      <c r="AD6" s="20" t="s">
        <v>34</v>
      </c>
      <c r="AE6" s="341"/>
      <c r="AF6" s="344"/>
      <c r="AG6" s="21" t="s">
        <v>34</v>
      </c>
      <c r="AH6" s="320"/>
      <c r="AI6" s="22" t="s">
        <v>32</v>
      </c>
      <c r="AJ6" s="22" t="s">
        <v>34</v>
      </c>
      <c r="AK6" s="22" t="s">
        <v>33</v>
      </c>
      <c r="AL6" s="324"/>
      <c r="AM6" s="23" t="s">
        <v>33</v>
      </c>
      <c r="AN6" s="22" t="s">
        <v>32</v>
      </c>
      <c r="AO6" s="22" t="s">
        <v>34</v>
      </c>
      <c r="AP6" s="24" t="s">
        <v>33</v>
      </c>
      <c r="AQ6" s="329"/>
      <c r="AR6" s="311"/>
      <c r="AS6" s="314"/>
      <c r="AT6" s="317"/>
      <c r="AU6" s="317"/>
      <c r="AV6" s="317"/>
      <c r="AW6" s="350"/>
      <c r="AX6" s="286"/>
      <c r="AY6" s="286"/>
      <c r="AZ6" s="289"/>
      <c r="BA6" s="291"/>
    </row>
    <row r="7" spans="1:53" ht="16" thickBot="1" x14ac:dyDescent="0.25">
      <c r="A7" s="25">
        <v>0</v>
      </c>
      <c r="B7" s="26">
        <v>45184</v>
      </c>
      <c r="C7" s="27" t="s">
        <v>200</v>
      </c>
      <c r="D7" s="25"/>
      <c r="E7" s="28"/>
      <c r="F7" s="27"/>
      <c r="G7" s="28"/>
      <c r="H7" s="27"/>
      <c r="I7" s="28"/>
      <c r="J7" s="27">
        <v>4</v>
      </c>
      <c r="K7" s="29" t="s">
        <v>35</v>
      </c>
      <c r="L7" s="30" t="s">
        <v>36</v>
      </c>
      <c r="M7" s="153" t="s">
        <v>160</v>
      </c>
      <c r="N7" s="27"/>
      <c r="P7" s="32"/>
      <c r="Q7" s="25"/>
      <c r="R7" s="27"/>
      <c r="S7" s="27"/>
      <c r="T7" s="28"/>
      <c r="U7" s="27"/>
      <c r="V7" s="27"/>
      <c r="W7" s="28"/>
      <c r="X7" s="33"/>
      <c r="Y7" s="32"/>
      <c r="Z7" s="25"/>
      <c r="AA7" s="27"/>
      <c r="AB7" s="28"/>
      <c r="AC7" s="27"/>
      <c r="AD7" s="27"/>
      <c r="AE7" s="33"/>
      <c r="AG7" s="25"/>
      <c r="AH7" s="34"/>
      <c r="AI7" s="27"/>
      <c r="AJ7" s="27"/>
      <c r="AK7" s="27"/>
      <c r="AL7" s="25"/>
      <c r="AM7" s="35"/>
      <c r="AN7" s="27"/>
      <c r="AO7" s="27"/>
      <c r="AP7" s="36"/>
      <c r="AQ7" s="37"/>
      <c r="AR7" s="32"/>
      <c r="AS7" s="25"/>
      <c r="AT7" s="27"/>
      <c r="AU7" s="27"/>
      <c r="AW7" s="25"/>
      <c r="AX7" s="27"/>
      <c r="AY7" s="27"/>
      <c r="AZ7" s="32"/>
      <c r="BA7" s="38"/>
    </row>
    <row r="8" spans="1:53" ht="16" thickBot="1" x14ac:dyDescent="0.25">
      <c r="A8" s="25">
        <v>1</v>
      </c>
      <c r="B8" s="26">
        <v>45185</v>
      </c>
      <c r="C8" s="27"/>
      <c r="D8" s="25"/>
      <c r="E8" s="28"/>
      <c r="F8" s="27"/>
      <c r="G8" s="28"/>
      <c r="H8" s="27"/>
      <c r="I8" s="28"/>
      <c r="J8" s="27">
        <v>4</v>
      </c>
      <c r="K8" s="29" t="s">
        <v>35</v>
      </c>
      <c r="L8" s="39"/>
      <c r="M8" s="31"/>
      <c r="N8" s="27"/>
      <c r="P8" s="32"/>
      <c r="Q8" s="40"/>
      <c r="R8" s="27"/>
      <c r="S8" s="27"/>
      <c r="T8" s="28"/>
      <c r="U8" s="27"/>
      <c r="V8" s="27"/>
      <c r="W8" s="28"/>
      <c r="X8" s="33"/>
      <c r="Y8" s="32"/>
      <c r="Z8" s="25"/>
      <c r="AA8" s="27"/>
      <c r="AB8" s="28"/>
      <c r="AC8" s="27"/>
      <c r="AD8" s="27"/>
      <c r="AE8" s="33"/>
      <c r="AG8" s="25"/>
      <c r="AH8" s="34"/>
      <c r="AI8" s="27"/>
      <c r="AJ8" s="27"/>
      <c r="AK8" s="27"/>
      <c r="AL8" s="25"/>
      <c r="AM8" s="34"/>
      <c r="AN8" s="27"/>
      <c r="AO8" s="27"/>
      <c r="AP8" s="36"/>
      <c r="AQ8" s="37"/>
      <c r="AR8" s="32"/>
      <c r="AS8" s="25"/>
      <c r="AT8" s="27"/>
      <c r="AU8" s="27"/>
      <c r="AW8" s="25"/>
      <c r="AX8" s="27"/>
      <c r="AY8" s="27"/>
      <c r="AZ8" s="32"/>
      <c r="BA8" s="41"/>
    </row>
    <row r="9" spans="1:53" ht="16" thickBot="1" x14ac:dyDescent="0.25">
      <c r="A9" s="25">
        <v>2</v>
      </c>
      <c r="B9" s="26">
        <v>45186</v>
      </c>
      <c r="C9" s="27"/>
      <c r="D9" s="25"/>
      <c r="E9" s="28"/>
      <c r="F9" s="27"/>
      <c r="G9" s="28"/>
      <c r="H9" s="27"/>
      <c r="I9" s="28"/>
      <c r="J9" s="27">
        <v>4</v>
      </c>
      <c r="K9" s="29" t="s">
        <v>35</v>
      </c>
      <c r="L9" s="39"/>
      <c r="M9" s="31"/>
      <c r="N9" s="27"/>
      <c r="O9" s="42"/>
      <c r="Q9" s="43" t="s">
        <v>37</v>
      </c>
      <c r="R9" s="27"/>
      <c r="S9" s="27"/>
      <c r="T9" s="28"/>
      <c r="U9" s="27"/>
      <c r="V9" s="27"/>
      <c r="W9" s="28"/>
      <c r="X9" s="33"/>
      <c r="Y9" s="32"/>
      <c r="Z9" s="25"/>
      <c r="AA9" s="27"/>
      <c r="AB9" s="28"/>
      <c r="AC9" s="27"/>
      <c r="AD9" s="27"/>
      <c r="AE9" s="33"/>
      <c r="AG9" s="25"/>
      <c r="AH9" s="34"/>
      <c r="AI9" s="27"/>
      <c r="AJ9" s="27"/>
      <c r="AK9" s="27"/>
      <c r="AL9" s="25"/>
      <c r="AM9" s="34"/>
      <c r="AN9" s="27"/>
      <c r="AO9" s="27"/>
      <c r="AP9" s="36"/>
      <c r="AQ9" s="37"/>
      <c r="AR9" s="32"/>
      <c r="AS9" s="25"/>
      <c r="AT9" s="27"/>
      <c r="AU9" s="27"/>
      <c r="AW9" s="25"/>
      <c r="AX9" s="27"/>
      <c r="AY9" s="27"/>
      <c r="AZ9" s="32"/>
      <c r="BA9" s="41"/>
    </row>
    <row r="10" spans="1:53" ht="16" thickBot="1" x14ac:dyDescent="0.25">
      <c r="A10" s="25">
        <v>3</v>
      </c>
      <c r="B10" s="26">
        <v>45187</v>
      </c>
      <c r="C10" s="27"/>
      <c r="D10" s="25"/>
      <c r="E10" s="28"/>
      <c r="F10" s="27"/>
      <c r="G10" s="28"/>
      <c r="H10" s="27"/>
      <c r="I10" s="28"/>
      <c r="J10" s="27" t="s">
        <v>208</v>
      </c>
      <c r="K10" s="29" t="s">
        <v>35</v>
      </c>
      <c r="L10" s="44" t="s">
        <v>38</v>
      </c>
      <c r="M10" s="153" t="s">
        <v>161</v>
      </c>
      <c r="N10" s="27" t="s">
        <v>40</v>
      </c>
      <c r="O10" s="45" t="s">
        <v>41</v>
      </c>
      <c r="P10" s="46"/>
      <c r="Q10" s="25"/>
      <c r="R10" s="27"/>
      <c r="S10" s="27"/>
      <c r="T10" s="28"/>
      <c r="U10" s="27" t="s">
        <v>158</v>
      </c>
      <c r="V10" s="27"/>
      <c r="W10" s="28" t="s">
        <v>158</v>
      </c>
      <c r="X10" s="47" t="s">
        <v>43</v>
      </c>
      <c r="Y10" s="32" t="s">
        <v>44</v>
      </c>
      <c r="Z10" s="25"/>
      <c r="AA10" s="27"/>
      <c r="AB10" s="28"/>
      <c r="AC10" s="27" t="s">
        <v>158</v>
      </c>
      <c r="AD10" s="27"/>
      <c r="AE10" s="48" t="s">
        <v>45</v>
      </c>
      <c r="AG10" s="25"/>
      <c r="AH10" s="34"/>
      <c r="AI10" s="27"/>
      <c r="AJ10" s="27"/>
      <c r="AK10" s="27"/>
      <c r="AL10" s="25"/>
      <c r="AM10" s="34"/>
      <c r="AN10" s="27"/>
      <c r="AO10" s="27"/>
      <c r="AP10" s="36"/>
      <c r="AQ10" s="37"/>
      <c r="AR10" s="32"/>
      <c r="AS10" s="25"/>
      <c r="AT10" s="27"/>
      <c r="AU10" s="27"/>
      <c r="AW10" s="25"/>
      <c r="AX10" s="27"/>
      <c r="AY10" s="27"/>
      <c r="AZ10" s="32"/>
      <c r="BA10" s="41"/>
    </row>
    <row r="11" spans="1:53" x14ac:dyDescent="0.2">
      <c r="A11" s="25">
        <v>4</v>
      </c>
      <c r="B11" s="26">
        <v>45188</v>
      </c>
      <c r="C11" s="27"/>
      <c r="D11" s="25"/>
      <c r="E11" s="28"/>
      <c r="F11" s="27"/>
      <c r="G11" s="28"/>
      <c r="H11" s="27"/>
      <c r="I11" s="28"/>
      <c r="J11" s="27" t="s">
        <v>208</v>
      </c>
      <c r="K11" s="29" t="s">
        <v>35</v>
      </c>
      <c r="L11" s="39"/>
      <c r="M11" s="31"/>
      <c r="N11" s="27" t="s">
        <v>40</v>
      </c>
      <c r="O11" t="s">
        <v>46</v>
      </c>
      <c r="P11" s="32"/>
      <c r="Q11" s="25"/>
      <c r="R11" s="27"/>
      <c r="S11" s="27"/>
      <c r="T11" s="28"/>
      <c r="U11" s="27" t="s">
        <v>158</v>
      </c>
      <c r="V11" s="27"/>
      <c r="W11" s="28" t="s">
        <v>158</v>
      </c>
      <c r="X11" s="345" t="s">
        <v>47</v>
      </c>
      <c r="Y11" s="32"/>
      <c r="Z11" s="25"/>
      <c r="AA11" s="27"/>
      <c r="AB11" s="28"/>
      <c r="AC11" s="27" t="s">
        <v>158</v>
      </c>
      <c r="AD11" s="27"/>
      <c r="AE11" s="33"/>
      <c r="AG11" s="25"/>
      <c r="AH11" s="34"/>
      <c r="AI11" s="27"/>
      <c r="AJ11" s="27"/>
      <c r="AK11" s="27"/>
      <c r="AL11" s="25"/>
      <c r="AM11" s="34"/>
      <c r="AN11" s="27"/>
      <c r="AO11" s="27"/>
      <c r="AP11" s="36"/>
      <c r="AQ11" s="37"/>
      <c r="AR11" s="32"/>
      <c r="AS11" s="25"/>
      <c r="AT11" s="27"/>
      <c r="AU11" s="27"/>
      <c r="AW11" s="25"/>
      <c r="AX11" s="27"/>
      <c r="AY11" s="27"/>
      <c r="AZ11" s="32"/>
      <c r="BA11" s="41"/>
    </row>
    <row r="12" spans="1:53" x14ac:dyDescent="0.2">
      <c r="A12" s="25">
        <v>5</v>
      </c>
      <c r="B12" s="26">
        <v>45189</v>
      </c>
      <c r="C12" s="27"/>
      <c r="D12" s="25"/>
      <c r="E12" s="28"/>
      <c r="F12" s="27"/>
      <c r="G12" s="28"/>
      <c r="H12" s="27"/>
      <c r="I12" s="28"/>
      <c r="J12" s="27" t="s">
        <v>208</v>
      </c>
      <c r="K12" s="29" t="s">
        <v>35</v>
      </c>
      <c r="L12" s="39"/>
      <c r="M12" s="31"/>
      <c r="N12" s="27" t="s">
        <v>40</v>
      </c>
      <c r="P12" s="32"/>
      <c r="Q12" s="25"/>
      <c r="R12" s="27"/>
      <c r="S12" s="27"/>
      <c r="T12" s="28"/>
      <c r="U12" s="27" t="s">
        <v>158</v>
      </c>
      <c r="V12" s="27"/>
      <c r="W12" s="28" t="s">
        <v>158</v>
      </c>
      <c r="X12" s="346"/>
      <c r="Y12" s="32"/>
      <c r="Z12" s="25"/>
      <c r="AA12" s="27"/>
      <c r="AB12" s="28"/>
      <c r="AC12" s="27" t="s">
        <v>158</v>
      </c>
      <c r="AD12" s="27"/>
      <c r="AE12" s="33"/>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6</v>
      </c>
      <c r="B13" s="26">
        <v>45190</v>
      </c>
      <c r="C13" s="27"/>
      <c r="D13" s="25"/>
      <c r="E13" s="28"/>
      <c r="F13" s="27"/>
      <c r="G13" s="28"/>
      <c r="H13" s="27"/>
      <c r="I13" s="28"/>
      <c r="J13" s="27" t="s">
        <v>208</v>
      </c>
      <c r="K13" s="29" t="s">
        <v>35</v>
      </c>
      <c r="L13" s="39"/>
      <c r="M13" s="31"/>
      <c r="N13" s="27" t="s">
        <v>40</v>
      </c>
      <c r="P13" s="32"/>
      <c r="Q13" s="25"/>
      <c r="R13" s="27"/>
      <c r="S13" s="27"/>
      <c r="T13" s="28"/>
      <c r="U13" s="27" t="s">
        <v>158</v>
      </c>
      <c r="V13" s="27"/>
      <c r="W13" s="28" t="s">
        <v>158</v>
      </c>
      <c r="X13" s="346"/>
      <c r="Y13" s="32"/>
      <c r="Z13" s="25"/>
      <c r="AA13" s="27"/>
      <c r="AB13" s="28"/>
      <c r="AC13" s="27" t="s">
        <v>158</v>
      </c>
      <c r="AD13" s="27"/>
      <c r="AE13" s="33"/>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7</v>
      </c>
      <c r="B14" s="26">
        <v>45191</v>
      </c>
      <c r="C14" s="27"/>
      <c r="D14" s="25"/>
      <c r="E14" s="28"/>
      <c r="F14" s="27"/>
      <c r="G14" s="28"/>
      <c r="H14" s="27"/>
      <c r="I14" s="28"/>
      <c r="J14" s="27" t="s">
        <v>208</v>
      </c>
      <c r="K14" s="29" t="s">
        <v>35</v>
      </c>
      <c r="L14" s="39"/>
      <c r="M14" s="31"/>
      <c r="N14" s="27" t="s">
        <v>40</v>
      </c>
      <c r="P14" s="32"/>
      <c r="Q14" s="25"/>
      <c r="R14" s="27"/>
      <c r="S14" s="27"/>
      <c r="T14" s="28"/>
      <c r="U14" s="27" t="s">
        <v>158</v>
      </c>
      <c r="V14" s="27"/>
      <c r="W14" s="28" t="s">
        <v>158</v>
      </c>
      <c r="X14" s="346"/>
      <c r="Y14" s="32"/>
      <c r="Z14" s="25"/>
      <c r="AA14" s="27"/>
      <c r="AB14" s="28"/>
      <c r="AC14" s="27" t="s">
        <v>158</v>
      </c>
      <c r="AD14" s="27"/>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8</v>
      </c>
      <c r="B15" s="26">
        <v>45192</v>
      </c>
      <c r="C15" s="27"/>
      <c r="D15" s="25"/>
      <c r="E15" s="28"/>
      <c r="F15" s="27"/>
      <c r="G15" s="28"/>
      <c r="H15" s="27"/>
      <c r="I15" s="28"/>
      <c r="J15" s="27" t="s">
        <v>208</v>
      </c>
      <c r="K15" s="29" t="s">
        <v>35</v>
      </c>
      <c r="L15" s="39"/>
      <c r="M15" s="31"/>
      <c r="N15" s="27" t="s">
        <v>40</v>
      </c>
      <c r="P15" s="32"/>
      <c r="Q15" s="25"/>
      <c r="R15" s="27"/>
      <c r="S15" s="27"/>
      <c r="T15" s="28"/>
      <c r="U15" s="27" t="s">
        <v>158</v>
      </c>
      <c r="V15" s="27"/>
      <c r="W15" s="28" t="s">
        <v>158</v>
      </c>
      <c r="X15" s="346"/>
      <c r="Y15" s="32"/>
      <c r="Z15" s="25"/>
      <c r="AA15" s="27"/>
      <c r="AB15" s="28"/>
      <c r="AC15" s="27" t="s">
        <v>158</v>
      </c>
      <c r="AD15" s="27"/>
      <c r="AE15" s="33"/>
      <c r="AG15" s="25"/>
      <c r="AH15" s="34"/>
      <c r="AI15" s="27"/>
      <c r="AJ15" s="27"/>
      <c r="AK15" s="27"/>
      <c r="AL15" s="25"/>
      <c r="AM15" s="34"/>
      <c r="AN15" s="27"/>
      <c r="AO15" s="27"/>
      <c r="AP15" s="36"/>
      <c r="AQ15" s="37"/>
      <c r="AR15" s="32"/>
      <c r="AS15" s="25"/>
      <c r="AT15" s="27"/>
      <c r="AU15" s="27"/>
      <c r="AW15" s="25"/>
      <c r="AX15" s="27"/>
      <c r="AY15" s="27"/>
      <c r="AZ15" s="32"/>
      <c r="BA15" s="41"/>
    </row>
    <row r="16" spans="1:53" ht="16" thickBot="1" x14ac:dyDescent="0.25">
      <c r="A16" s="25">
        <v>9</v>
      </c>
      <c r="B16" s="26">
        <v>45193</v>
      </c>
      <c r="C16" s="27"/>
      <c r="D16" s="25"/>
      <c r="E16" s="28"/>
      <c r="F16" s="27"/>
      <c r="G16" s="28"/>
      <c r="H16" s="27"/>
      <c r="I16" s="28"/>
      <c r="J16" s="27" t="s">
        <v>208</v>
      </c>
      <c r="K16" s="29" t="s">
        <v>35</v>
      </c>
      <c r="L16" s="39"/>
      <c r="M16" s="31"/>
      <c r="N16" s="27" t="s">
        <v>40</v>
      </c>
      <c r="P16" s="32"/>
      <c r="Q16" s="25"/>
      <c r="R16" s="27"/>
      <c r="S16" s="27"/>
      <c r="T16" s="28"/>
      <c r="U16" s="27" t="s">
        <v>158</v>
      </c>
      <c r="V16" s="27"/>
      <c r="W16" s="28" t="s">
        <v>158</v>
      </c>
      <c r="X16" s="346"/>
      <c r="Y16" s="32"/>
      <c r="Z16" s="25"/>
      <c r="AA16" s="27"/>
      <c r="AB16" s="28"/>
      <c r="AC16" s="27" t="s">
        <v>158</v>
      </c>
      <c r="AD16" s="27"/>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10</v>
      </c>
      <c r="B17" s="26">
        <v>45194</v>
      </c>
      <c r="C17" s="27" t="s">
        <v>112</v>
      </c>
      <c r="D17" s="25"/>
      <c r="E17" s="28"/>
      <c r="F17" s="27"/>
      <c r="G17" s="28"/>
      <c r="H17" s="27"/>
      <c r="I17" s="28"/>
      <c r="J17" s="27" t="s">
        <v>208</v>
      </c>
      <c r="K17" s="29" t="s">
        <v>35</v>
      </c>
      <c r="L17" s="39"/>
      <c r="M17" s="153" t="s">
        <v>162</v>
      </c>
      <c r="N17" s="27" t="s">
        <v>40</v>
      </c>
      <c r="O17" s="49"/>
      <c r="P17" s="32"/>
      <c r="Q17" s="25"/>
      <c r="R17" s="27"/>
      <c r="S17" s="27"/>
      <c r="T17" s="28"/>
      <c r="U17" s="27" t="s">
        <v>158</v>
      </c>
      <c r="V17" s="27"/>
      <c r="W17" s="28" t="s">
        <v>158</v>
      </c>
      <c r="X17" s="346"/>
      <c r="Y17" s="32"/>
      <c r="Z17" s="25"/>
      <c r="AA17" s="27"/>
      <c r="AB17" s="28"/>
      <c r="AC17" s="27" t="s">
        <v>163</v>
      </c>
      <c r="AD17" s="27"/>
      <c r="AE17" s="50"/>
      <c r="AF17" s="51"/>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11</v>
      </c>
      <c r="B18" s="26">
        <v>45195</v>
      </c>
      <c r="C18" s="27"/>
      <c r="D18" s="25"/>
      <c r="E18" s="28"/>
      <c r="F18" s="27"/>
      <c r="G18" s="28"/>
      <c r="H18" s="27"/>
      <c r="I18" s="28"/>
      <c r="J18" s="27" t="s">
        <v>208</v>
      </c>
      <c r="K18" s="29" t="s">
        <v>35</v>
      </c>
      <c r="L18" s="52"/>
      <c r="M18" s="31"/>
      <c r="N18" s="27" t="s">
        <v>40</v>
      </c>
      <c r="P18" s="32"/>
      <c r="Q18" s="25"/>
      <c r="R18" s="27"/>
      <c r="S18" s="27"/>
      <c r="T18" s="28"/>
      <c r="U18" s="27" t="s">
        <v>158</v>
      </c>
      <c r="V18" s="27"/>
      <c r="W18" s="28" t="s">
        <v>158</v>
      </c>
      <c r="X18" s="347"/>
      <c r="Y18" s="32"/>
      <c r="Z18" s="25"/>
      <c r="AA18" s="27"/>
      <c r="AB18" s="28"/>
      <c r="AC18" s="27" t="s">
        <v>163</v>
      </c>
      <c r="AD18" s="27"/>
      <c r="AE18" s="33"/>
      <c r="AF18" s="46"/>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12</v>
      </c>
      <c r="B19" s="26">
        <v>45196</v>
      </c>
      <c r="C19" s="27"/>
      <c r="D19" s="25"/>
      <c r="E19" s="28"/>
      <c r="F19" s="27"/>
      <c r="G19" s="28"/>
      <c r="H19" s="27"/>
      <c r="I19" s="28"/>
      <c r="J19" s="27" t="s">
        <v>208</v>
      </c>
      <c r="K19" s="29" t="s">
        <v>35</v>
      </c>
      <c r="L19" s="53"/>
      <c r="M19" s="153" t="s">
        <v>164</v>
      </c>
      <c r="N19" s="27" t="s">
        <v>40</v>
      </c>
      <c r="P19" s="32"/>
      <c r="Q19" s="25"/>
      <c r="R19" s="27"/>
      <c r="S19" s="27"/>
      <c r="T19" s="28"/>
      <c r="U19" s="27">
        <v>1</v>
      </c>
      <c r="V19" s="27"/>
      <c r="W19" s="28">
        <v>1</v>
      </c>
      <c r="X19" s="54" t="s">
        <v>49</v>
      </c>
      <c r="Y19" s="32"/>
      <c r="Z19" s="25"/>
      <c r="AA19" s="27"/>
      <c r="AB19" s="28"/>
      <c r="AC19" s="27" t="s">
        <v>165</v>
      </c>
      <c r="AD19" s="27"/>
      <c r="AE19" s="33"/>
      <c r="AG19" s="25"/>
      <c r="AH19" s="34"/>
      <c r="AI19" s="27"/>
      <c r="AJ19" s="27"/>
      <c r="AK19" s="27"/>
      <c r="AL19" s="25"/>
      <c r="AM19" s="34"/>
      <c r="AN19" s="27"/>
      <c r="AO19" s="27"/>
      <c r="AP19" s="36"/>
      <c r="AQ19" s="37"/>
      <c r="AR19" s="32"/>
      <c r="AS19" s="25"/>
      <c r="AT19" s="27"/>
      <c r="AU19" s="27"/>
      <c r="AW19" s="25"/>
      <c r="AX19" s="27"/>
      <c r="AY19" s="27"/>
      <c r="AZ19" s="32"/>
      <c r="BA19" s="41"/>
    </row>
    <row r="20" spans="1:53" ht="16" thickBot="1" x14ac:dyDescent="0.25">
      <c r="A20" s="25">
        <v>13</v>
      </c>
      <c r="B20" s="26">
        <v>45197</v>
      </c>
      <c r="C20" s="27"/>
      <c r="D20" s="25"/>
      <c r="E20" s="28"/>
      <c r="F20" s="27"/>
      <c r="G20" s="28"/>
      <c r="H20" s="27"/>
      <c r="I20" s="28"/>
      <c r="J20" s="27" t="s">
        <v>208</v>
      </c>
      <c r="K20" s="29" t="s">
        <v>35</v>
      </c>
      <c r="L20" s="39"/>
      <c r="M20" s="31"/>
      <c r="N20" s="27" t="s">
        <v>40</v>
      </c>
      <c r="P20" s="32"/>
      <c r="Q20" s="25"/>
      <c r="R20" s="27"/>
      <c r="S20" s="27"/>
      <c r="T20" s="28"/>
      <c r="U20" s="27">
        <v>1</v>
      </c>
      <c r="V20" s="27"/>
      <c r="W20" s="28">
        <v>1</v>
      </c>
      <c r="X20" s="33">
        <v>1</v>
      </c>
      <c r="Y20" s="32"/>
      <c r="Z20" s="55"/>
      <c r="AA20" s="56"/>
      <c r="AB20" s="57"/>
      <c r="AC20" s="27" t="s">
        <v>165</v>
      </c>
      <c r="AD20" s="27"/>
      <c r="AE20" s="33"/>
      <c r="AG20" s="25"/>
      <c r="AH20" s="34"/>
      <c r="AI20" s="27"/>
      <c r="AJ20" s="27"/>
      <c r="AK20" s="27"/>
      <c r="AL20" s="25"/>
      <c r="AM20" s="34"/>
      <c r="AN20" s="27"/>
      <c r="AO20" s="27"/>
      <c r="AP20" s="36"/>
      <c r="AQ20" s="37"/>
      <c r="AR20" s="32"/>
      <c r="AS20" s="25"/>
      <c r="AT20" s="27"/>
      <c r="AU20" s="58"/>
      <c r="AW20" s="25"/>
      <c r="AX20" s="27"/>
      <c r="AY20" s="27"/>
      <c r="AZ20" s="32"/>
      <c r="BA20" s="41"/>
    </row>
    <row r="21" spans="1:53" ht="16" thickBot="1" x14ac:dyDescent="0.25">
      <c r="A21" s="25">
        <v>14</v>
      </c>
      <c r="B21" s="26">
        <v>45198</v>
      </c>
      <c r="C21" s="27"/>
      <c r="D21" s="25"/>
      <c r="E21" s="28"/>
      <c r="F21" s="27"/>
      <c r="G21" s="28"/>
      <c r="H21" s="27"/>
      <c r="I21" s="28"/>
      <c r="J21" s="27" t="s">
        <v>208</v>
      </c>
      <c r="K21" s="29" t="s">
        <v>35</v>
      </c>
      <c r="L21" s="39"/>
      <c r="M21" s="31"/>
      <c r="N21" s="27" t="s">
        <v>40</v>
      </c>
      <c r="P21" s="32"/>
      <c r="Q21" s="25"/>
      <c r="R21" s="27"/>
      <c r="S21" s="27"/>
      <c r="T21" s="28"/>
      <c r="U21" s="27">
        <v>1</v>
      </c>
      <c r="V21" s="27"/>
      <c r="W21" s="28">
        <v>1</v>
      </c>
      <c r="X21" s="33"/>
      <c r="Y21" s="32"/>
      <c r="Z21" s="59"/>
      <c r="AA21" s="60"/>
      <c r="AB21" s="61"/>
      <c r="AC21" s="27" t="s">
        <v>165</v>
      </c>
      <c r="AD21" s="27"/>
      <c r="AE21" s="33"/>
      <c r="AG21" s="25"/>
      <c r="AH21" s="34"/>
      <c r="AI21" s="27"/>
      <c r="AJ21" s="27"/>
      <c r="AK21" s="27"/>
      <c r="AL21" s="25"/>
      <c r="AM21" s="34"/>
      <c r="AN21" s="27"/>
      <c r="AO21" s="27"/>
      <c r="AP21" s="36"/>
      <c r="AQ21" s="37"/>
      <c r="AR21" s="32"/>
      <c r="AS21" s="25"/>
      <c r="AT21" s="27"/>
      <c r="AW21" s="25"/>
      <c r="AX21" s="27"/>
      <c r="AY21" s="27"/>
      <c r="AZ21" s="32"/>
      <c r="BA21" s="62"/>
    </row>
    <row r="22" spans="1:53" ht="16" thickBot="1" x14ac:dyDescent="0.25">
      <c r="A22" s="25">
        <v>15</v>
      </c>
      <c r="B22" s="26">
        <v>45199</v>
      </c>
      <c r="C22" s="27"/>
      <c r="D22" s="25"/>
      <c r="E22" s="28"/>
      <c r="F22" s="27"/>
      <c r="G22" s="28"/>
      <c r="H22" s="27"/>
      <c r="I22" s="28"/>
      <c r="J22" s="27" t="s">
        <v>208</v>
      </c>
      <c r="K22" s="29" t="s">
        <v>35</v>
      </c>
      <c r="L22" s="39"/>
      <c r="M22" s="31"/>
      <c r="N22" s="27" t="s">
        <v>40</v>
      </c>
      <c r="P22" s="32"/>
      <c r="Q22" s="25"/>
      <c r="R22" s="27"/>
      <c r="S22" s="27"/>
      <c r="T22" s="28"/>
      <c r="U22" s="27">
        <v>1</v>
      </c>
      <c r="V22" s="27"/>
      <c r="W22" s="28">
        <v>1</v>
      </c>
      <c r="X22" s="33"/>
      <c r="Y22" s="32"/>
      <c r="Z22" s="25"/>
      <c r="AA22" s="27"/>
      <c r="AB22" s="28"/>
      <c r="AC22" s="27" t="s">
        <v>165</v>
      </c>
      <c r="AD22" s="27"/>
      <c r="AE22" s="33"/>
      <c r="AG22" s="25"/>
      <c r="AH22" s="34"/>
      <c r="AI22" s="27"/>
      <c r="AJ22" s="27"/>
      <c r="AK22" s="27"/>
      <c r="AL22" s="25"/>
      <c r="AM22" s="34"/>
      <c r="AN22" s="27"/>
      <c r="AO22" s="27"/>
      <c r="AP22" s="36"/>
      <c r="AQ22" s="37"/>
      <c r="AR22" s="46"/>
      <c r="AS22" s="25"/>
      <c r="AT22" s="27"/>
      <c r="AU22" s="58"/>
      <c r="AW22" s="25"/>
      <c r="AX22" s="27"/>
      <c r="AY22" s="27"/>
      <c r="AZ22" s="32"/>
      <c r="BA22" s="41"/>
    </row>
    <row r="23" spans="1:53" ht="16" thickBot="1" x14ac:dyDescent="0.25">
      <c r="A23" s="25">
        <v>16</v>
      </c>
      <c r="B23" s="26">
        <v>45200</v>
      </c>
      <c r="C23" s="27"/>
      <c r="D23" s="25"/>
      <c r="E23" s="28"/>
      <c r="F23" s="27"/>
      <c r="G23" s="28"/>
      <c r="H23" s="27"/>
      <c r="I23" s="28"/>
      <c r="J23" s="27" t="s">
        <v>208</v>
      </c>
      <c r="K23" s="29" t="s">
        <v>35</v>
      </c>
      <c r="L23" s="44" t="s">
        <v>59</v>
      </c>
      <c r="M23" s="153" t="s">
        <v>166</v>
      </c>
      <c r="N23" s="27" t="s">
        <v>40</v>
      </c>
      <c r="P23" s="32"/>
      <c r="Q23" s="25"/>
      <c r="R23" s="27"/>
      <c r="S23" s="27"/>
      <c r="T23" s="28"/>
      <c r="U23" s="27">
        <v>1</v>
      </c>
      <c r="V23" s="27"/>
      <c r="W23" s="28">
        <v>1</v>
      </c>
      <c r="X23" s="63" t="s">
        <v>60</v>
      </c>
      <c r="Y23" s="46" t="s">
        <v>61</v>
      </c>
      <c r="AB23" s="28"/>
      <c r="AC23" s="27" t="s">
        <v>165</v>
      </c>
      <c r="AD23" s="27"/>
      <c r="AE23" s="33"/>
      <c r="AG23" s="25"/>
      <c r="AH23" s="34"/>
      <c r="AI23" s="27"/>
      <c r="AJ23" s="27"/>
      <c r="AK23" s="27"/>
      <c r="AL23" s="25"/>
      <c r="AM23" s="34"/>
      <c r="AN23" s="27"/>
      <c r="AO23" s="27"/>
      <c r="AP23" s="36"/>
      <c r="AQ23" s="64"/>
      <c r="AR23" s="65"/>
      <c r="AS23" s="25"/>
      <c r="AT23" s="27"/>
      <c r="AU23" s="27"/>
      <c r="AW23" s="25"/>
      <c r="AX23" s="27"/>
      <c r="AY23" s="27"/>
      <c r="AZ23" s="32"/>
      <c r="BA23" s="41"/>
    </row>
    <row r="24" spans="1:53" x14ac:dyDescent="0.2">
      <c r="A24" s="25">
        <v>17</v>
      </c>
      <c r="B24" s="26">
        <v>45201</v>
      </c>
      <c r="C24" s="27" t="s">
        <v>112</v>
      </c>
      <c r="D24" s="25"/>
      <c r="E24" s="28"/>
      <c r="F24" s="27"/>
      <c r="G24" s="28"/>
      <c r="H24" s="27"/>
      <c r="I24" s="28"/>
      <c r="J24" s="27" t="s">
        <v>208</v>
      </c>
      <c r="K24" s="29" t="s">
        <v>35</v>
      </c>
      <c r="L24" s="39" t="s">
        <v>209</v>
      </c>
      <c r="M24" s="31"/>
      <c r="N24" s="27" t="s">
        <v>40</v>
      </c>
      <c r="P24" s="32"/>
      <c r="Q24" s="25"/>
      <c r="R24" s="27"/>
      <c r="S24" s="27"/>
      <c r="T24" s="28"/>
      <c r="U24" s="27">
        <v>1</v>
      </c>
      <c r="V24" s="27"/>
      <c r="W24" s="28">
        <v>1</v>
      </c>
      <c r="X24" s="33"/>
      <c r="Y24" s="32"/>
      <c r="Z24" s="25"/>
      <c r="AA24" s="27"/>
      <c r="AB24" s="28"/>
      <c r="AC24" s="27" t="s">
        <v>165</v>
      </c>
      <c r="AD24" s="27"/>
      <c r="AE24" s="33"/>
      <c r="AG24" s="25"/>
      <c r="AH24" s="34"/>
      <c r="AI24" s="27"/>
      <c r="AJ24" s="27"/>
      <c r="AK24" s="27"/>
      <c r="AL24" s="25"/>
      <c r="AM24" s="34"/>
      <c r="AN24" s="27"/>
      <c r="AO24" s="27"/>
      <c r="AP24" s="36"/>
      <c r="AQ24" s="37"/>
      <c r="AR24" s="32"/>
      <c r="AS24" s="25"/>
      <c r="AT24" s="27"/>
      <c r="AU24" s="27"/>
      <c r="AW24" s="25"/>
      <c r="AX24" s="27"/>
      <c r="AY24" s="27"/>
      <c r="AZ24" s="32"/>
      <c r="BA24" s="41"/>
    </row>
    <row r="25" spans="1:53" ht="16" thickBot="1" x14ac:dyDescent="0.25">
      <c r="A25" s="25">
        <v>18</v>
      </c>
      <c r="B25" s="26">
        <v>45202</v>
      </c>
      <c r="C25" s="27"/>
      <c r="D25" s="25"/>
      <c r="E25" s="28"/>
      <c r="F25" s="27"/>
      <c r="G25" s="28"/>
      <c r="H25" s="27"/>
      <c r="I25" s="28"/>
      <c r="J25" s="27" t="s">
        <v>208</v>
      </c>
      <c r="K25" s="29" t="s">
        <v>35</v>
      </c>
      <c r="L25" s="39" t="s">
        <v>215</v>
      </c>
      <c r="M25" s="31"/>
      <c r="N25" s="27" t="s">
        <v>40</v>
      </c>
      <c r="P25" s="66"/>
      <c r="Q25" s="25"/>
      <c r="R25" s="27"/>
      <c r="S25" s="27"/>
      <c r="T25" s="28"/>
      <c r="U25" s="27">
        <v>1</v>
      </c>
      <c r="V25" s="27"/>
      <c r="W25" s="28">
        <v>1</v>
      </c>
      <c r="X25" s="33"/>
      <c r="Y25" s="32"/>
      <c r="Z25" s="25"/>
      <c r="AA25" s="27"/>
      <c r="AB25" s="28"/>
      <c r="AC25" s="27" t="s">
        <v>165</v>
      </c>
      <c r="AD25" s="27"/>
      <c r="AE25" s="33"/>
      <c r="AG25" s="25"/>
      <c r="AH25" s="34"/>
      <c r="AI25" s="27"/>
      <c r="AJ25" s="27"/>
      <c r="AK25" s="27"/>
      <c r="AL25" s="25"/>
      <c r="AM25" s="34"/>
      <c r="AN25" s="27"/>
      <c r="AO25" s="27"/>
      <c r="AP25" s="36"/>
      <c r="AQ25" s="67"/>
      <c r="AR25" s="46"/>
      <c r="AS25" s="25"/>
      <c r="AT25" s="27"/>
      <c r="AW25" s="25"/>
      <c r="AX25" s="27"/>
      <c r="AY25" s="27"/>
      <c r="AZ25" s="32"/>
      <c r="BA25" s="41"/>
    </row>
    <row r="26" spans="1:53" ht="16" thickBot="1" x14ac:dyDescent="0.25">
      <c r="A26" s="25">
        <v>19</v>
      </c>
      <c r="B26" s="26">
        <v>45203</v>
      </c>
      <c r="C26" s="27"/>
      <c r="D26" s="25"/>
      <c r="E26" s="28"/>
      <c r="F26" s="27"/>
      <c r="G26" s="28"/>
      <c r="H26" s="27"/>
      <c r="I26" s="28"/>
      <c r="J26" s="27" t="s">
        <v>208</v>
      </c>
      <c r="K26" s="29" t="s">
        <v>35</v>
      </c>
      <c r="L26" s="39" t="s">
        <v>214</v>
      </c>
      <c r="M26" s="31"/>
      <c r="N26" s="27" t="s">
        <v>40</v>
      </c>
      <c r="P26" s="32"/>
      <c r="Q26" s="25"/>
      <c r="R26" s="27"/>
      <c r="S26" s="27"/>
      <c r="T26" s="28"/>
      <c r="U26" s="27">
        <v>1</v>
      </c>
      <c r="V26" s="27"/>
      <c r="W26" s="28">
        <v>1</v>
      </c>
      <c r="X26" s="33"/>
      <c r="Y26" s="32"/>
      <c r="Z26" s="25"/>
      <c r="AA26" s="27"/>
      <c r="AB26" s="28"/>
      <c r="AC26" s="27" t="s">
        <v>165</v>
      </c>
      <c r="AD26" s="27"/>
      <c r="AE26" s="33"/>
      <c r="AG26" s="25"/>
      <c r="AH26" s="34"/>
      <c r="AI26" s="27">
        <v>2.5000000000000001E-2</v>
      </c>
      <c r="AJ26" s="27"/>
      <c r="AK26" s="27">
        <v>2.5000000000000001E-2</v>
      </c>
      <c r="AL26" s="25"/>
      <c r="AM26" s="34"/>
      <c r="AN26" s="27"/>
      <c r="AO26" s="27"/>
      <c r="AP26" s="36"/>
      <c r="AQ26" s="68" t="s">
        <v>211</v>
      </c>
      <c r="AR26" s="32" t="s">
        <v>64</v>
      </c>
      <c r="AS26" s="25"/>
      <c r="AT26" s="27"/>
      <c r="AU26" s="27"/>
      <c r="AW26" s="25"/>
      <c r="AX26" s="27"/>
      <c r="AY26" s="27"/>
      <c r="AZ26" s="32"/>
      <c r="BA26" s="62"/>
    </row>
    <row r="27" spans="1:53" x14ac:dyDescent="0.2">
      <c r="A27" s="25">
        <v>20</v>
      </c>
      <c r="B27" s="26">
        <v>45204</v>
      </c>
      <c r="C27" s="27"/>
      <c r="D27" s="25"/>
      <c r="E27" s="28"/>
      <c r="F27" s="27"/>
      <c r="G27" s="28"/>
      <c r="H27" s="27"/>
      <c r="I27" s="28"/>
      <c r="J27" s="174" t="s">
        <v>210</v>
      </c>
      <c r="K27" s="29" t="s">
        <v>35</v>
      </c>
      <c r="L27" s="39"/>
      <c r="M27" s="153" t="s">
        <v>167</v>
      </c>
      <c r="N27" s="27" t="s">
        <v>40</v>
      </c>
      <c r="O27" s="306" t="s">
        <v>66</v>
      </c>
      <c r="P27" s="32"/>
      <c r="Q27" s="25"/>
      <c r="R27" s="27"/>
      <c r="S27" s="27"/>
      <c r="T27" s="28"/>
      <c r="U27" s="27"/>
      <c r="V27" s="27"/>
      <c r="W27" s="28"/>
      <c r="X27" s="33" t="s">
        <v>62</v>
      </c>
      <c r="Y27" s="32"/>
      <c r="Z27" s="25"/>
      <c r="AA27" s="27"/>
      <c r="AB27" s="28"/>
      <c r="AC27" s="27" t="s">
        <v>165</v>
      </c>
      <c r="AD27" s="27"/>
      <c r="AE27" s="33"/>
      <c r="AG27" s="25"/>
      <c r="AH27" s="34"/>
      <c r="AI27" s="27">
        <v>2.5000000000000001E-2</v>
      </c>
      <c r="AJ27" s="27"/>
      <c r="AK27" s="27">
        <v>2.5000000000000001E-2</v>
      </c>
      <c r="AL27" s="25"/>
      <c r="AM27" s="34"/>
      <c r="AN27" s="27"/>
      <c r="AO27" s="27"/>
      <c r="AP27" s="36"/>
      <c r="AQ27" s="37"/>
      <c r="AR27" s="32"/>
      <c r="AS27" s="25"/>
      <c r="AT27" s="27"/>
      <c r="AU27" s="27"/>
      <c r="AW27" s="25"/>
      <c r="AX27" s="27"/>
      <c r="AY27" s="27"/>
      <c r="AZ27" s="32"/>
      <c r="BA27" s="41"/>
    </row>
    <row r="28" spans="1:53" ht="16" thickBot="1" x14ac:dyDescent="0.25">
      <c r="A28" s="70">
        <v>21</v>
      </c>
      <c r="B28" s="26">
        <v>45205</v>
      </c>
      <c r="C28" s="71" t="s">
        <v>216</v>
      </c>
      <c r="D28" s="70"/>
      <c r="E28" s="72"/>
      <c r="F28" s="71"/>
      <c r="G28" s="72"/>
      <c r="H28" s="71"/>
      <c r="I28" s="72"/>
      <c r="J28" s="174" t="s">
        <v>210</v>
      </c>
      <c r="K28" s="29" t="s">
        <v>35</v>
      </c>
      <c r="L28" s="39"/>
      <c r="M28" s="73"/>
      <c r="N28" s="27" t="s">
        <v>40</v>
      </c>
      <c r="O28" s="307"/>
      <c r="P28" s="74"/>
      <c r="Q28" s="70"/>
      <c r="R28" s="71"/>
      <c r="S28" s="71"/>
      <c r="T28" s="72"/>
      <c r="U28" s="71"/>
      <c r="V28" s="71"/>
      <c r="W28" s="72"/>
      <c r="X28" s="33"/>
      <c r="Y28" s="75"/>
      <c r="Z28" s="70"/>
      <c r="AA28" s="71"/>
      <c r="AB28" s="72"/>
      <c r="AC28" s="27" t="s">
        <v>165</v>
      </c>
      <c r="AD28" s="71"/>
      <c r="AE28" s="33"/>
      <c r="AF28" s="76"/>
      <c r="AG28" s="70"/>
      <c r="AH28" s="77"/>
      <c r="AI28" s="27">
        <v>2.5000000000000001E-2</v>
      </c>
      <c r="AJ28" s="71"/>
      <c r="AK28" s="27">
        <v>2.5000000000000001E-2</v>
      </c>
      <c r="AL28" s="70"/>
      <c r="AM28" s="77"/>
      <c r="AN28" s="27"/>
      <c r="AO28" s="71"/>
      <c r="AP28" s="78"/>
      <c r="AQ28" s="37"/>
      <c r="AR28" s="75"/>
      <c r="AS28" s="70"/>
      <c r="AT28" s="27"/>
      <c r="AU28" s="71"/>
      <c r="AV28" s="76"/>
      <c r="AW28" s="70"/>
      <c r="AX28" s="71"/>
      <c r="AY28" s="71"/>
      <c r="AZ28" s="75"/>
      <c r="BA28" s="79"/>
    </row>
    <row r="29" spans="1:53" ht="16" thickBot="1" x14ac:dyDescent="0.25">
      <c r="A29" s="25">
        <v>22</v>
      </c>
      <c r="B29" s="26">
        <v>45206</v>
      </c>
      <c r="C29" s="27"/>
      <c r="D29" s="25"/>
      <c r="E29" s="28"/>
      <c r="F29" s="27"/>
      <c r="G29" s="28"/>
      <c r="H29" s="27"/>
      <c r="I29" s="28"/>
      <c r="J29" s="174" t="s">
        <v>210</v>
      </c>
      <c r="K29" s="29" t="s">
        <v>35</v>
      </c>
      <c r="L29" s="39"/>
      <c r="M29" s="69"/>
      <c r="N29" s="27" t="s">
        <v>40</v>
      </c>
      <c r="O29" s="307"/>
      <c r="P29" s="46" t="s">
        <v>67</v>
      </c>
      <c r="Q29" s="43"/>
      <c r="R29" s="27"/>
      <c r="S29" s="27"/>
      <c r="T29" s="28"/>
      <c r="U29" s="27"/>
      <c r="V29" s="27"/>
      <c r="W29" s="28"/>
      <c r="X29" s="33"/>
      <c r="Y29" s="32"/>
      <c r="Z29" s="60"/>
      <c r="AA29" s="60"/>
      <c r="AB29" s="61"/>
      <c r="AC29" s="27" t="s">
        <v>165</v>
      </c>
      <c r="AD29" s="27"/>
      <c r="AE29" s="33"/>
      <c r="AG29" s="25"/>
      <c r="AH29" s="34"/>
      <c r="AI29" s="27">
        <v>2.5000000000000001E-2</v>
      </c>
      <c r="AJ29" s="27"/>
      <c r="AK29" s="27">
        <v>2.5000000000000001E-2</v>
      </c>
      <c r="AL29" s="25"/>
      <c r="AM29" s="34"/>
      <c r="AN29" s="27"/>
      <c r="AO29" s="27"/>
      <c r="AP29" s="36"/>
      <c r="AQ29" s="37"/>
      <c r="AR29" s="32"/>
      <c r="AS29" s="25"/>
      <c r="AT29" s="27"/>
      <c r="AU29" s="27"/>
      <c r="AW29" s="25"/>
      <c r="AX29" s="27"/>
      <c r="AY29" s="27"/>
      <c r="AZ29" s="32"/>
      <c r="BA29" s="80" t="s">
        <v>68</v>
      </c>
    </row>
    <row r="30" spans="1:53" ht="16" thickBot="1" x14ac:dyDescent="0.25">
      <c r="A30" s="25">
        <v>23</v>
      </c>
      <c r="B30" s="26">
        <v>45207</v>
      </c>
      <c r="C30" s="27"/>
      <c r="D30" s="25"/>
      <c r="E30" s="28"/>
      <c r="F30" s="27"/>
      <c r="G30" s="28"/>
      <c r="H30" s="27"/>
      <c r="I30" s="28"/>
      <c r="J30" s="174" t="s">
        <v>210</v>
      </c>
      <c r="K30" s="29" t="s">
        <v>35</v>
      </c>
      <c r="L30" s="39"/>
      <c r="M30" s="153" t="s">
        <v>168</v>
      </c>
      <c r="N30" s="27" t="s">
        <v>40</v>
      </c>
      <c r="O30" s="307"/>
      <c r="P30" s="32" t="s">
        <v>69</v>
      </c>
      <c r="Q30" s="25"/>
      <c r="R30" s="27"/>
      <c r="S30" s="27"/>
      <c r="T30" s="28"/>
      <c r="U30" s="27"/>
      <c r="V30" s="27"/>
      <c r="W30" s="28"/>
      <c r="X30" s="33"/>
      <c r="Y30" s="32"/>
      <c r="Z30" s="25"/>
      <c r="AA30" s="27"/>
      <c r="AB30" s="28"/>
      <c r="AC30" s="27" t="s">
        <v>165</v>
      </c>
      <c r="AD30" s="27"/>
      <c r="AE30" s="33"/>
      <c r="AG30" s="25"/>
      <c r="AH30" s="34"/>
      <c r="AI30" s="27">
        <v>2.5000000000000001E-2</v>
      </c>
      <c r="AJ30" s="27"/>
      <c r="AK30" s="27">
        <v>2.5000000000000001E-2</v>
      </c>
      <c r="AL30" s="25"/>
      <c r="AM30" s="34"/>
      <c r="AN30" s="27"/>
      <c r="AO30" s="27"/>
      <c r="AP30" s="36"/>
      <c r="AQ30" s="37"/>
      <c r="AR30" s="32"/>
      <c r="AS30" s="25"/>
      <c r="AT30" s="27"/>
      <c r="AU30" s="58"/>
      <c r="AW30" s="25"/>
      <c r="AX30" s="27"/>
      <c r="AY30" s="27"/>
      <c r="AZ30" s="32"/>
      <c r="BA30" s="41"/>
    </row>
    <row r="31" spans="1:53" ht="16" thickBot="1" x14ac:dyDescent="0.25">
      <c r="A31" s="25">
        <v>24</v>
      </c>
      <c r="B31" s="26">
        <v>45208</v>
      </c>
      <c r="C31" s="27" t="s">
        <v>112</v>
      </c>
      <c r="D31" s="25"/>
      <c r="E31" s="28"/>
      <c r="F31" s="27"/>
      <c r="G31" s="28"/>
      <c r="H31" s="27"/>
      <c r="I31" s="28"/>
      <c r="J31" s="174" t="s">
        <v>210</v>
      </c>
      <c r="K31" s="29" t="s">
        <v>35</v>
      </c>
      <c r="L31" s="44" t="s">
        <v>71</v>
      </c>
      <c r="M31" s="153" t="s">
        <v>169</v>
      </c>
      <c r="N31" s="27" t="s">
        <v>40</v>
      </c>
      <c r="O31" s="307"/>
      <c r="P31" s="32"/>
      <c r="Q31" s="25"/>
      <c r="R31" s="27"/>
      <c r="S31" s="27"/>
      <c r="T31" s="28"/>
      <c r="U31" s="27"/>
      <c r="V31" s="27"/>
      <c r="W31" s="28"/>
      <c r="X31" s="33"/>
      <c r="Y31" s="32"/>
      <c r="Z31" s="25"/>
      <c r="AA31" s="27"/>
      <c r="AB31" s="28"/>
      <c r="AC31" s="27" t="s">
        <v>165</v>
      </c>
      <c r="AD31" s="27"/>
      <c r="AE31" s="50"/>
      <c r="AF31" s="46"/>
      <c r="AG31" s="25"/>
      <c r="AH31" s="34"/>
      <c r="AI31" s="27">
        <v>2.5000000000000001E-2</v>
      </c>
      <c r="AJ31" s="27"/>
      <c r="AK31" s="27">
        <v>2.5000000000000001E-2</v>
      </c>
      <c r="AL31" s="25"/>
      <c r="AM31" s="34"/>
      <c r="AN31" s="27"/>
      <c r="AO31" s="27"/>
      <c r="AP31" s="36"/>
      <c r="AQ31" s="37"/>
      <c r="AR31" s="46"/>
      <c r="AS31" s="25"/>
      <c r="AT31" s="27"/>
      <c r="AU31" s="58"/>
      <c r="AW31" s="25"/>
      <c r="AX31" s="27"/>
      <c r="AY31" s="27"/>
      <c r="AZ31" s="32"/>
      <c r="BA31" s="41">
        <v>7</v>
      </c>
    </row>
    <row r="32" spans="1:53" ht="16" thickBot="1" x14ac:dyDescent="0.25">
      <c r="A32" s="25">
        <v>25</v>
      </c>
      <c r="B32" s="26">
        <v>45209</v>
      </c>
      <c r="C32" s="27"/>
      <c r="D32" s="25"/>
      <c r="E32" s="28"/>
      <c r="F32" s="27"/>
      <c r="G32" s="28"/>
      <c r="H32" s="27"/>
      <c r="I32" s="28"/>
      <c r="J32" s="174" t="s">
        <v>210</v>
      </c>
      <c r="K32" s="29" t="s">
        <v>35</v>
      </c>
      <c r="L32" s="39"/>
      <c r="M32" s="153" t="s">
        <v>170</v>
      </c>
      <c r="N32" s="27" t="s">
        <v>40</v>
      </c>
      <c r="O32" s="307"/>
      <c r="P32" s="81" t="s">
        <v>74</v>
      </c>
      <c r="Q32" s="43"/>
      <c r="R32" s="27"/>
      <c r="S32" s="27"/>
      <c r="T32" s="28"/>
      <c r="U32" s="27"/>
      <c r="V32" s="27"/>
      <c r="W32" s="28"/>
      <c r="X32" s="33"/>
      <c r="Y32" s="32"/>
      <c r="Z32" s="27"/>
      <c r="AA32" s="27"/>
      <c r="AB32" s="28"/>
      <c r="AC32" s="27"/>
      <c r="AD32" s="27"/>
      <c r="AE32" s="33"/>
      <c r="AG32" s="25"/>
      <c r="AH32" s="34"/>
      <c r="AI32" s="27">
        <v>2.5000000000000001E-2</v>
      </c>
      <c r="AJ32" s="27"/>
      <c r="AK32" s="27">
        <v>2.5000000000000001E-2</v>
      </c>
      <c r="AL32" s="25"/>
      <c r="AM32" s="34"/>
      <c r="AN32" s="27"/>
      <c r="AO32" s="27"/>
      <c r="AP32" s="36"/>
      <c r="AQ32" s="37"/>
      <c r="AR32" s="32" t="s">
        <v>64</v>
      </c>
      <c r="AS32" s="25" t="s">
        <v>72</v>
      </c>
      <c r="AT32" s="27" t="s">
        <v>52</v>
      </c>
      <c r="AU32" s="153" t="s">
        <v>170</v>
      </c>
      <c r="AW32" s="25"/>
      <c r="AX32" s="27"/>
      <c r="AY32" s="27"/>
      <c r="AZ32" s="32"/>
      <c r="BA32" s="41"/>
    </row>
    <row r="33" spans="1:53" ht="16" thickBot="1" x14ac:dyDescent="0.25">
      <c r="A33" s="25">
        <v>26</v>
      </c>
      <c r="B33" s="26">
        <v>45210</v>
      </c>
      <c r="C33" s="27" t="s">
        <v>200</v>
      </c>
      <c r="D33" s="25"/>
      <c r="E33" s="28"/>
      <c r="F33" s="27"/>
      <c r="G33" s="28"/>
      <c r="H33" s="27"/>
      <c r="I33" s="28"/>
      <c r="J33" s="174" t="s">
        <v>210</v>
      </c>
      <c r="K33" s="29" t="s">
        <v>35</v>
      </c>
      <c r="L33" s="39"/>
      <c r="M33" s="31"/>
      <c r="N33" s="27" t="s">
        <v>40</v>
      </c>
      <c r="O33" s="307"/>
      <c r="P33" s="32"/>
      <c r="Q33" s="25"/>
      <c r="R33" s="27"/>
      <c r="S33" s="27"/>
      <c r="T33" s="28"/>
      <c r="U33" s="27"/>
      <c r="V33" s="27"/>
      <c r="W33" s="28"/>
      <c r="X33" s="33"/>
      <c r="Y33" s="32"/>
      <c r="Z33" s="25"/>
      <c r="AA33" s="27"/>
      <c r="AB33" s="28"/>
      <c r="AC33" s="27"/>
      <c r="AD33" s="27"/>
      <c r="AE33" s="33"/>
      <c r="AG33" s="25"/>
      <c r="AH33" s="34"/>
      <c r="AI33" s="27">
        <v>2.5000000000000001E-2</v>
      </c>
      <c r="AJ33" s="27"/>
      <c r="AK33" s="27">
        <v>2.5000000000000001E-2</v>
      </c>
      <c r="AL33" s="25"/>
      <c r="AM33" s="34"/>
      <c r="AN33" s="27"/>
      <c r="AO33" s="27"/>
      <c r="AP33" s="36"/>
      <c r="AQ33" s="37"/>
      <c r="AR33" s="32" t="s">
        <v>64</v>
      </c>
      <c r="AS33" s="25" t="s">
        <v>72</v>
      </c>
      <c r="AT33" s="27" t="s">
        <v>52</v>
      </c>
      <c r="AW33" s="25"/>
      <c r="AX33" s="27"/>
      <c r="AY33" s="27"/>
      <c r="AZ33" s="32"/>
      <c r="BA33" s="41">
        <v>1</v>
      </c>
    </row>
    <row r="34" spans="1:53" ht="16" thickBot="1" x14ac:dyDescent="0.25">
      <c r="A34" s="25">
        <v>27</v>
      </c>
      <c r="B34" s="26">
        <v>45211</v>
      </c>
      <c r="C34" s="27" t="s">
        <v>200</v>
      </c>
      <c r="D34" s="25"/>
      <c r="E34" s="28"/>
      <c r="F34" s="27"/>
      <c r="G34" s="28"/>
      <c r="H34" s="27"/>
      <c r="I34" s="28"/>
      <c r="J34" s="174" t="s">
        <v>210</v>
      </c>
      <c r="K34" s="29" t="s">
        <v>35</v>
      </c>
      <c r="L34" s="39"/>
      <c r="M34" s="153" t="s">
        <v>171</v>
      </c>
      <c r="N34" s="27" t="s">
        <v>40</v>
      </c>
      <c r="O34" s="307"/>
      <c r="P34" s="32"/>
      <c r="Q34" s="25"/>
      <c r="R34" s="27"/>
      <c r="S34" s="27"/>
      <c r="T34" s="28"/>
      <c r="U34" s="27"/>
      <c r="V34" s="27"/>
      <c r="W34" s="28"/>
      <c r="X34" s="33"/>
      <c r="Y34" s="32"/>
      <c r="Z34" s="25"/>
      <c r="AA34" s="27"/>
      <c r="AB34" s="28"/>
      <c r="AC34" s="27"/>
      <c r="AD34" s="27"/>
      <c r="AE34" s="33"/>
      <c r="AG34" s="25"/>
      <c r="AH34" s="34"/>
      <c r="AI34" s="27"/>
      <c r="AJ34" s="27"/>
      <c r="AK34" s="27"/>
      <c r="AL34" s="25"/>
      <c r="AM34" s="34"/>
      <c r="AN34" s="27">
        <v>2.5000000000000001E-2</v>
      </c>
      <c r="AO34" s="27">
        <v>2.5000000000000001E-2</v>
      </c>
      <c r="AP34" s="36">
        <v>2.5000000000000001E-2</v>
      </c>
      <c r="AQ34" s="68" t="s">
        <v>212</v>
      </c>
      <c r="AR34" s="32" t="s">
        <v>75</v>
      </c>
      <c r="AS34" s="25" t="s">
        <v>72</v>
      </c>
      <c r="AT34" s="27" t="s">
        <v>52</v>
      </c>
      <c r="AU34" s="27"/>
      <c r="AW34" s="25"/>
      <c r="AX34" s="27"/>
      <c r="AY34" s="27"/>
      <c r="AZ34" s="32"/>
      <c r="BA34" s="41"/>
    </row>
    <row r="35" spans="1:53" x14ac:dyDescent="0.2">
      <c r="A35" s="25">
        <v>28</v>
      </c>
      <c r="B35" s="26">
        <v>45212</v>
      </c>
      <c r="C35" s="27" t="s">
        <v>216</v>
      </c>
      <c r="D35" s="25"/>
      <c r="E35" s="28"/>
      <c r="F35" s="27"/>
      <c r="G35" s="28"/>
      <c r="H35" s="27"/>
      <c r="I35" s="28"/>
      <c r="J35" s="174" t="s">
        <v>210</v>
      </c>
      <c r="K35" s="29" t="s">
        <v>35</v>
      </c>
      <c r="L35" s="39"/>
      <c r="M35" s="31"/>
      <c r="N35" s="27" t="s">
        <v>40</v>
      </c>
      <c r="O35" s="307"/>
      <c r="P35" s="32"/>
      <c r="Q35" s="25"/>
      <c r="R35" s="27"/>
      <c r="S35" s="27"/>
      <c r="T35" s="28"/>
      <c r="U35" s="27"/>
      <c r="V35" s="27"/>
      <c r="W35" s="28"/>
      <c r="Y35" s="32"/>
      <c r="Z35" s="25"/>
      <c r="AA35" s="27"/>
      <c r="AB35" s="28"/>
      <c r="AC35" s="27"/>
      <c r="AD35" s="27"/>
      <c r="AE35" s="33"/>
      <c r="AG35" s="25"/>
      <c r="AH35" s="34"/>
      <c r="AI35" s="27"/>
      <c r="AJ35" s="27"/>
      <c r="AK35" s="27"/>
      <c r="AL35" s="25"/>
      <c r="AM35" s="34"/>
      <c r="AN35" s="27">
        <v>2.5000000000000001E-2</v>
      </c>
      <c r="AO35" s="27">
        <v>2.5000000000000001E-2</v>
      </c>
      <c r="AP35" s="27">
        <v>2.5000000000000001E-2</v>
      </c>
      <c r="AR35" s="32" t="s">
        <v>75</v>
      </c>
      <c r="AS35" s="25" t="s">
        <v>72</v>
      </c>
      <c r="AT35" s="27" t="s">
        <v>52</v>
      </c>
      <c r="AU35" s="27"/>
      <c r="AW35" s="25"/>
      <c r="AX35" s="27"/>
      <c r="AY35" s="27"/>
      <c r="AZ35" s="32"/>
      <c r="BA35" s="41">
        <v>3</v>
      </c>
    </row>
    <row r="36" spans="1:53" ht="17.25" customHeight="1" thickBot="1" x14ac:dyDescent="0.25">
      <c r="A36" s="25">
        <v>29</v>
      </c>
      <c r="B36" s="26">
        <v>45213</v>
      </c>
      <c r="C36" s="27" t="s">
        <v>200</v>
      </c>
      <c r="D36" s="25"/>
      <c r="E36" s="28"/>
      <c r="F36" s="27"/>
      <c r="G36" s="28"/>
      <c r="H36" s="27"/>
      <c r="I36" s="28"/>
      <c r="J36" s="174" t="s">
        <v>210</v>
      </c>
      <c r="K36" s="29" t="s">
        <v>35</v>
      </c>
      <c r="L36" s="39"/>
      <c r="M36" s="31"/>
      <c r="N36" s="27" t="s">
        <v>40</v>
      </c>
      <c r="O36" s="307"/>
      <c r="P36" s="32"/>
      <c r="Q36" s="25"/>
      <c r="R36" s="27"/>
      <c r="S36" s="27"/>
      <c r="T36" s="28"/>
      <c r="U36" s="27"/>
      <c r="V36" s="27"/>
      <c r="W36" s="28"/>
      <c r="X36" s="33"/>
      <c r="Y36" s="32"/>
      <c r="Z36" s="25"/>
      <c r="AA36" s="27"/>
      <c r="AB36" s="28"/>
      <c r="AC36" s="27"/>
      <c r="AD36" s="27"/>
      <c r="AE36" s="33"/>
      <c r="AG36" s="25"/>
      <c r="AH36" s="34"/>
      <c r="AI36" s="27"/>
      <c r="AJ36" s="27"/>
      <c r="AK36" s="27"/>
      <c r="AL36" s="25"/>
      <c r="AM36" s="34"/>
      <c r="AN36" s="27">
        <v>2.5000000000000001E-2</v>
      </c>
      <c r="AO36" s="27">
        <v>2.5000000000000001E-2</v>
      </c>
      <c r="AP36" s="27">
        <v>2.5000000000000001E-2</v>
      </c>
      <c r="AQ36" s="37"/>
      <c r="AR36" s="32"/>
      <c r="AS36" s="25" t="s">
        <v>72</v>
      </c>
      <c r="AT36" s="27" t="s">
        <v>52</v>
      </c>
      <c r="AU36" s="27"/>
      <c r="AW36" s="25"/>
      <c r="AX36" s="27"/>
      <c r="AY36" s="27"/>
      <c r="AZ36" s="32"/>
      <c r="BA36" s="41"/>
    </row>
    <row r="37" spans="1:53" s="87" customFormat="1" ht="16" thickBot="1" x14ac:dyDescent="0.25">
      <c r="A37" s="83">
        <v>30</v>
      </c>
      <c r="B37" s="26">
        <v>45214</v>
      </c>
      <c r="C37" s="83"/>
      <c r="D37" s="83"/>
      <c r="E37" s="83"/>
      <c r="F37" s="83"/>
      <c r="G37" s="83"/>
      <c r="H37" s="83"/>
      <c r="I37" s="83"/>
      <c r="J37" s="174" t="s">
        <v>210</v>
      </c>
      <c r="K37" s="85" t="s">
        <v>35</v>
      </c>
      <c r="L37" s="86"/>
      <c r="M37" s="86"/>
      <c r="N37" s="83" t="s">
        <v>40</v>
      </c>
      <c r="O37" s="307"/>
      <c r="Q37" s="83"/>
      <c r="R37" s="83"/>
      <c r="S37" s="83"/>
      <c r="T37" s="83"/>
      <c r="U37" s="83"/>
      <c r="V37" s="83"/>
      <c r="W37" s="83"/>
      <c r="X37" s="83"/>
      <c r="Z37" s="83"/>
      <c r="AA37" s="83"/>
      <c r="AB37" s="83"/>
      <c r="AC37" s="83"/>
      <c r="AD37" s="83"/>
      <c r="AE37" s="83"/>
      <c r="AG37" s="83"/>
      <c r="AH37" s="83"/>
      <c r="AI37" s="83"/>
      <c r="AJ37" s="83"/>
      <c r="AK37" s="83"/>
      <c r="AL37" s="83"/>
      <c r="AM37" s="83"/>
      <c r="AN37" s="83">
        <v>0.2</v>
      </c>
      <c r="AO37" s="83">
        <v>0.2</v>
      </c>
      <c r="AP37" s="83">
        <v>0.2</v>
      </c>
      <c r="AQ37" s="87" t="s">
        <v>213</v>
      </c>
      <c r="AS37" s="83" t="s">
        <v>72</v>
      </c>
      <c r="AT37" s="83" t="s">
        <v>52</v>
      </c>
      <c r="AU37" s="83"/>
      <c r="AW37" s="83"/>
      <c r="AX37" s="83"/>
      <c r="AY37" s="83"/>
      <c r="BA37" s="83"/>
    </row>
    <row r="38" spans="1:53" x14ac:dyDescent="0.2">
      <c r="A38" s="25">
        <v>31</v>
      </c>
      <c r="B38" s="26">
        <v>45215</v>
      </c>
      <c r="C38" s="27" t="s">
        <v>112</v>
      </c>
      <c r="D38" s="25"/>
      <c r="E38" s="28"/>
      <c r="F38" s="27"/>
      <c r="G38" s="28"/>
      <c r="H38" s="27"/>
      <c r="I38" s="28"/>
      <c r="J38" s="174" t="s">
        <v>210</v>
      </c>
      <c r="K38" s="29" t="s">
        <v>35</v>
      </c>
      <c r="L38" s="39"/>
      <c r="M38" s="31"/>
      <c r="N38" s="27" t="s">
        <v>217</v>
      </c>
      <c r="O38" s="307"/>
      <c r="P38" s="32" t="s">
        <v>218</v>
      </c>
      <c r="Q38" s="25"/>
      <c r="R38" s="27"/>
      <c r="S38" s="27"/>
      <c r="T38" s="28"/>
      <c r="U38" s="27"/>
      <c r="V38" s="27"/>
      <c r="W38" s="28"/>
      <c r="X38" s="33"/>
      <c r="Y38" s="32"/>
      <c r="Z38" s="25"/>
      <c r="AA38" s="27"/>
      <c r="AB38" s="28"/>
      <c r="AC38" s="27"/>
      <c r="AD38" s="27"/>
      <c r="AE38" s="33"/>
      <c r="AG38" s="25"/>
      <c r="AH38" s="34"/>
      <c r="AI38" s="27"/>
      <c r="AJ38" s="27"/>
      <c r="AK38" s="27"/>
      <c r="AL38" s="25"/>
      <c r="AM38" s="34"/>
      <c r="AN38" s="27">
        <v>0.2</v>
      </c>
      <c r="AO38" s="27">
        <v>0.2</v>
      </c>
      <c r="AP38" s="36">
        <v>0.2</v>
      </c>
      <c r="AQ38" s="37"/>
      <c r="AR38" s="46"/>
      <c r="AS38" s="25" t="s">
        <v>72</v>
      </c>
      <c r="AT38" s="27" t="s">
        <v>52</v>
      </c>
      <c r="AU38" s="27"/>
      <c r="AW38" s="25"/>
      <c r="AX38" s="27"/>
      <c r="AY38" s="27"/>
      <c r="AZ38" s="32"/>
      <c r="BA38" s="41">
        <v>4</v>
      </c>
    </row>
    <row r="39" spans="1:53" x14ac:dyDescent="0.2">
      <c r="A39" s="25">
        <v>32</v>
      </c>
      <c r="B39" s="26">
        <v>45216</v>
      </c>
      <c r="C39" s="27"/>
      <c r="D39" s="25"/>
      <c r="E39" s="28"/>
      <c r="F39" s="27"/>
      <c r="G39" s="28"/>
      <c r="H39" s="27"/>
      <c r="I39" s="28"/>
      <c r="J39" s="174" t="s">
        <v>210</v>
      </c>
      <c r="K39" s="29" t="s">
        <v>35</v>
      </c>
      <c r="L39" s="39"/>
      <c r="M39" s="31"/>
      <c r="N39" s="27" t="s">
        <v>76</v>
      </c>
      <c r="O39" s="307"/>
      <c r="P39" s="32"/>
      <c r="Q39" s="25"/>
      <c r="R39" s="27"/>
      <c r="S39" s="27"/>
      <c r="T39" s="28"/>
      <c r="U39" s="27"/>
      <c r="V39" s="27"/>
      <c r="W39" s="28"/>
      <c r="X39" s="33"/>
      <c r="Y39" s="32"/>
      <c r="Z39" s="25"/>
      <c r="AA39" s="27"/>
      <c r="AB39" s="28"/>
      <c r="AC39" s="27"/>
      <c r="AD39" s="27"/>
      <c r="AE39" s="33"/>
      <c r="AG39" s="25"/>
      <c r="AH39" s="34"/>
      <c r="AI39" s="27"/>
      <c r="AJ39" s="27"/>
      <c r="AK39" s="27"/>
      <c r="AL39" s="25"/>
      <c r="AM39" s="34"/>
      <c r="AN39" s="27"/>
      <c r="AO39" s="27"/>
      <c r="AP39" s="36"/>
      <c r="AQ39" s="37"/>
      <c r="AR39" s="32"/>
      <c r="AS39" s="25" t="s">
        <v>72</v>
      </c>
      <c r="AT39" s="27" t="s">
        <v>52</v>
      </c>
      <c r="AU39" s="27"/>
      <c r="AW39" s="25"/>
      <c r="AX39" s="27"/>
      <c r="AY39" s="27"/>
      <c r="AZ39" s="32"/>
      <c r="BA39" s="41"/>
    </row>
    <row r="40" spans="1:53" x14ac:dyDescent="0.2">
      <c r="A40" s="25">
        <v>33</v>
      </c>
      <c r="B40" s="26">
        <v>45217</v>
      </c>
      <c r="C40" s="27"/>
      <c r="D40" s="25"/>
      <c r="E40" s="28"/>
      <c r="F40" s="27"/>
      <c r="G40" s="28"/>
      <c r="H40" s="27"/>
      <c r="I40" s="28"/>
      <c r="J40" s="174" t="s">
        <v>210</v>
      </c>
      <c r="K40" s="29" t="s">
        <v>35</v>
      </c>
      <c r="L40" s="39"/>
      <c r="M40" s="31"/>
      <c r="N40" s="27" t="s">
        <v>76</v>
      </c>
      <c r="O40" s="307"/>
      <c r="P40" s="32"/>
      <c r="Q40" s="25"/>
      <c r="R40" s="27"/>
      <c r="S40" s="27"/>
      <c r="T40" s="28"/>
      <c r="U40" s="27"/>
      <c r="V40" s="27"/>
      <c r="W40" s="28"/>
      <c r="X40" s="33"/>
      <c r="Y40" s="32"/>
      <c r="Z40" s="25"/>
      <c r="AA40" s="27"/>
      <c r="AB40" s="28"/>
      <c r="AC40" s="27"/>
      <c r="AD40" s="27"/>
      <c r="AE40" s="33"/>
      <c r="AG40" s="25"/>
      <c r="AH40" s="34"/>
      <c r="AI40" s="27"/>
      <c r="AJ40" s="27"/>
      <c r="AK40" s="27"/>
      <c r="AL40" s="25"/>
      <c r="AM40" s="34"/>
      <c r="AN40" s="27"/>
      <c r="AO40" s="27"/>
      <c r="AP40" s="36"/>
      <c r="AQ40" s="37"/>
      <c r="AR40" s="32"/>
      <c r="AS40" s="25" t="s">
        <v>72</v>
      </c>
      <c r="AT40" s="27" t="s">
        <v>52</v>
      </c>
      <c r="AW40" s="25"/>
      <c r="AX40" s="27"/>
      <c r="AY40" s="27"/>
      <c r="AZ40" s="32"/>
      <c r="BA40" s="41"/>
    </row>
    <row r="41" spans="1:53" ht="16" thickBot="1" x14ac:dyDescent="0.25">
      <c r="A41" s="25">
        <v>34</v>
      </c>
      <c r="B41" s="26">
        <v>45218</v>
      </c>
      <c r="C41" s="27"/>
      <c r="D41" s="25"/>
      <c r="E41" s="28"/>
      <c r="F41" s="27"/>
      <c r="G41" s="28"/>
      <c r="H41" s="27"/>
      <c r="I41" s="28"/>
      <c r="J41" s="174" t="s">
        <v>210</v>
      </c>
      <c r="K41" s="29" t="s">
        <v>35</v>
      </c>
      <c r="L41" s="39"/>
      <c r="M41" s="31"/>
      <c r="N41" s="27" t="s">
        <v>76</v>
      </c>
      <c r="O41" s="307"/>
      <c r="P41" s="32"/>
      <c r="Q41" s="25"/>
      <c r="R41" s="27"/>
      <c r="S41" s="27"/>
      <c r="T41" s="28"/>
      <c r="U41" s="27"/>
      <c r="V41" s="27"/>
      <c r="W41" s="28"/>
      <c r="X41" s="33"/>
      <c r="Y41" s="32"/>
      <c r="Z41" s="25"/>
      <c r="AA41" s="27"/>
      <c r="AB41" s="28"/>
      <c r="AC41" s="27"/>
      <c r="AD41" s="27"/>
      <c r="AE41" s="33"/>
      <c r="AG41" s="25"/>
      <c r="AH41" s="34"/>
      <c r="AI41" s="27"/>
      <c r="AJ41" s="27"/>
      <c r="AK41" s="27"/>
      <c r="AL41" s="25"/>
      <c r="AM41" s="34"/>
      <c r="AN41" s="27"/>
      <c r="AO41" s="27"/>
      <c r="AP41" s="36"/>
      <c r="AQ41" s="37"/>
      <c r="AR41" s="32"/>
      <c r="AS41" s="25" t="s">
        <v>72</v>
      </c>
      <c r="AT41" s="27" t="s">
        <v>52</v>
      </c>
      <c r="AU41" s="27"/>
      <c r="AW41" s="25"/>
      <c r="AX41" s="27"/>
      <c r="AY41" s="27"/>
      <c r="AZ41" s="32"/>
      <c r="BA41" s="41">
        <v>6</v>
      </c>
    </row>
    <row r="42" spans="1:53" ht="16" thickBot="1" x14ac:dyDescent="0.25">
      <c r="A42" s="25">
        <v>35</v>
      </c>
      <c r="B42" s="26">
        <v>45219</v>
      </c>
      <c r="C42" s="27" t="s">
        <v>112</v>
      </c>
      <c r="D42" s="25"/>
      <c r="E42" s="28"/>
      <c r="F42" s="27"/>
      <c r="G42" s="28"/>
      <c r="H42" s="27"/>
      <c r="I42" s="28"/>
      <c r="J42" s="174" t="s">
        <v>210</v>
      </c>
      <c r="K42" s="29" t="s">
        <v>35</v>
      </c>
      <c r="L42" s="39"/>
      <c r="M42" s="153" t="s">
        <v>172</v>
      </c>
      <c r="N42" s="27" t="s">
        <v>76</v>
      </c>
      <c r="O42" s="307"/>
      <c r="P42" s="32" t="s">
        <v>219</v>
      </c>
      <c r="Q42" s="25"/>
      <c r="R42" s="27"/>
      <c r="S42" s="27"/>
      <c r="T42" s="28"/>
      <c r="U42" s="27"/>
      <c r="V42" s="27"/>
      <c r="W42" s="28"/>
      <c r="X42" s="33"/>
      <c r="Y42" s="32"/>
      <c r="Z42" s="25"/>
      <c r="AA42" s="27"/>
      <c r="AB42" s="28"/>
      <c r="AC42" s="27"/>
      <c r="AD42" s="27"/>
      <c r="AE42" s="33"/>
      <c r="AG42" s="25"/>
      <c r="AH42" s="34"/>
      <c r="AI42" s="27"/>
      <c r="AJ42" s="27"/>
      <c r="AK42" s="27"/>
      <c r="AL42" s="25"/>
      <c r="AM42" s="34"/>
      <c r="AN42" s="27">
        <v>0.2</v>
      </c>
      <c r="AO42" s="27">
        <v>0.2</v>
      </c>
      <c r="AP42" s="36">
        <v>0.2</v>
      </c>
      <c r="AQ42" s="37"/>
      <c r="AR42" s="32"/>
      <c r="AS42" s="25" t="s">
        <v>72</v>
      </c>
      <c r="AT42" s="27" t="s">
        <v>52</v>
      </c>
      <c r="AU42" s="58" t="s">
        <v>77</v>
      </c>
      <c r="AW42" s="25"/>
      <c r="AX42" s="27"/>
      <c r="AY42" s="27"/>
      <c r="AZ42" s="32"/>
      <c r="BA42" s="41">
        <v>6</v>
      </c>
    </row>
    <row r="43" spans="1:53" ht="16" thickBot="1" x14ac:dyDescent="0.25">
      <c r="A43" s="25">
        <v>36</v>
      </c>
      <c r="B43" s="26">
        <v>45220</v>
      </c>
      <c r="C43" s="27" t="s">
        <v>200</v>
      </c>
      <c r="D43" s="25"/>
      <c r="E43" s="28"/>
      <c r="F43" s="27"/>
      <c r="G43" s="28"/>
      <c r="H43" s="27"/>
      <c r="I43" s="28"/>
      <c r="J43" s="174" t="s">
        <v>210</v>
      </c>
      <c r="K43" s="29" t="s">
        <v>35</v>
      </c>
      <c r="L43" s="53"/>
      <c r="M43" s="31"/>
      <c r="N43" s="27" t="s">
        <v>76</v>
      </c>
      <c r="O43" s="307"/>
      <c r="P43" s="32" t="s">
        <v>220</v>
      </c>
      <c r="Q43" s="25"/>
      <c r="R43" s="27"/>
      <c r="S43" s="27"/>
      <c r="T43" s="28"/>
      <c r="U43" s="27"/>
      <c r="V43" s="27"/>
      <c r="W43" s="28"/>
      <c r="X43" s="33"/>
      <c r="Y43" s="32"/>
      <c r="Z43" s="25"/>
      <c r="AA43" s="27"/>
      <c r="AB43" s="28"/>
      <c r="AC43" s="27"/>
      <c r="AD43" s="27"/>
      <c r="AE43" s="33"/>
      <c r="AG43" s="25"/>
      <c r="AH43" s="34"/>
      <c r="AI43" s="27"/>
      <c r="AJ43" s="27"/>
      <c r="AK43" s="27"/>
      <c r="AL43" s="25"/>
      <c r="AM43" s="34"/>
      <c r="AN43" s="27">
        <v>0.2</v>
      </c>
      <c r="AO43" s="27">
        <v>2</v>
      </c>
      <c r="AP43" s="36">
        <v>0.2</v>
      </c>
      <c r="AQ43" s="37"/>
      <c r="AR43" s="32"/>
      <c r="AS43" s="25" t="s">
        <v>78</v>
      </c>
      <c r="AT43" s="27" t="s">
        <v>52</v>
      </c>
      <c r="AW43" s="25"/>
      <c r="AX43" s="27"/>
      <c r="AY43" s="27"/>
      <c r="AZ43" s="32"/>
      <c r="BA43" s="41"/>
    </row>
    <row r="44" spans="1:53" ht="16" thickBot="1" x14ac:dyDescent="0.25">
      <c r="A44" s="25">
        <v>37</v>
      </c>
      <c r="B44" s="26">
        <v>45221</v>
      </c>
      <c r="C44" s="27"/>
      <c r="D44" s="25"/>
      <c r="E44" s="28"/>
      <c r="F44" s="27"/>
      <c r="G44" s="28"/>
      <c r="H44" s="27"/>
      <c r="I44" s="28"/>
      <c r="J44" s="174" t="s">
        <v>210</v>
      </c>
      <c r="K44" s="29" t="s">
        <v>35</v>
      </c>
      <c r="L44" s="53"/>
      <c r="M44" s="31"/>
      <c r="N44" s="27" t="s">
        <v>76</v>
      </c>
      <c r="O44" s="307"/>
      <c r="P44" s="32"/>
      <c r="Q44" s="25"/>
      <c r="R44" s="27"/>
      <c r="S44" s="27"/>
      <c r="T44" s="28"/>
      <c r="U44" s="27"/>
      <c r="V44" s="27"/>
      <c r="W44" s="28"/>
      <c r="X44" s="33"/>
      <c r="Y44" s="32"/>
      <c r="Z44" s="59"/>
      <c r="AA44" s="60"/>
      <c r="AB44" s="61"/>
      <c r="AC44" s="27"/>
      <c r="AD44" s="27"/>
      <c r="AE44" s="33"/>
      <c r="AG44" s="25"/>
      <c r="AH44" s="34"/>
      <c r="AI44" s="27"/>
      <c r="AJ44" s="27"/>
      <c r="AK44" s="27"/>
      <c r="AL44" s="25"/>
      <c r="AM44" s="34"/>
      <c r="AN44" s="27"/>
      <c r="AO44" s="27"/>
      <c r="AP44" s="36"/>
      <c r="AQ44" s="37"/>
      <c r="AR44" s="32"/>
      <c r="AS44" s="25" t="s">
        <v>78</v>
      </c>
      <c r="AT44" s="27" t="s">
        <v>52</v>
      </c>
      <c r="AU44" s="27"/>
      <c r="AW44" s="25"/>
      <c r="AX44" s="27"/>
      <c r="AY44" s="27"/>
      <c r="AZ44" s="32"/>
      <c r="BA44" s="41"/>
    </row>
    <row r="45" spans="1:53" x14ac:dyDescent="0.2">
      <c r="A45" s="25">
        <v>38</v>
      </c>
      <c r="B45" s="26">
        <v>45222</v>
      </c>
      <c r="C45" s="27" t="s">
        <v>200</v>
      </c>
      <c r="D45" s="25"/>
      <c r="E45" s="28"/>
      <c r="F45" s="27"/>
      <c r="G45" s="28"/>
      <c r="H45" s="27"/>
      <c r="I45" s="28"/>
      <c r="J45" s="174" t="s">
        <v>210</v>
      </c>
      <c r="K45" s="29" t="s">
        <v>35</v>
      </c>
      <c r="L45" s="39" t="s">
        <v>221</v>
      </c>
      <c r="M45" s="31"/>
      <c r="N45" s="27" t="s">
        <v>76</v>
      </c>
      <c r="O45" s="307"/>
      <c r="P45" s="32"/>
      <c r="Q45" s="25"/>
      <c r="R45" s="27"/>
      <c r="S45" s="27"/>
      <c r="T45" s="28"/>
      <c r="U45" s="27"/>
      <c r="V45" s="27"/>
      <c r="W45" s="28"/>
      <c r="X45" s="33"/>
      <c r="Y45" s="32"/>
      <c r="Z45" s="25"/>
      <c r="AA45" s="27"/>
      <c r="AB45" s="28"/>
      <c r="AC45" s="27"/>
      <c r="AD45" s="27"/>
      <c r="AE45" s="33"/>
      <c r="AG45" s="25"/>
      <c r="AH45" s="34"/>
      <c r="AI45" s="27"/>
      <c r="AJ45" s="27"/>
      <c r="AK45" s="27"/>
      <c r="AL45" s="25"/>
      <c r="AM45" s="34"/>
      <c r="AN45" s="27"/>
      <c r="AO45" s="27"/>
      <c r="AP45" s="36"/>
      <c r="AQ45" s="37"/>
      <c r="AR45" s="32"/>
      <c r="AS45" s="25" t="s">
        <v>78</v>
      </c>
      <c r="AT45" s="27" t="s">
        <v>52</v>
      </c>
      <c r="AU45" s="27"/>
      <c r="AW45" s="25"/>
      <c r="AX45" s="27"/>
      <c r="AY45" s="27"/>
      <c r="AZ45" s="32"/>
      <c r="BA45" s="41"/>
    </row>
    <row r="46" spans="1:53" ht="16" thickBot="1" x14ac:dyDescent="0.25">
      <c r="A46" s="25">
        <v>39</v>
      </c>
      <c r="B46" s="26">
        <v>45223</v>
      </c>
      <c r="C46" s="27"/>
      <c r="D46" s="25"/>
      <c r="E46" s="28"/>
      <c r="F46" s="27"/>
      <c r="G46" s="28"/>
      <c r="H46" s="27"/>
      <c r="I46" s="28"/>
      <c r="J46" s="174" t="s">
        <v>210</v>
      </c>
      <c r="K46" s="29" t="s">
        <v>35</v>
      </c>
      <c r="M46" s="31"/>
      <c r="N46" s="27" t="s">
        <v>76</v>
      </c>
      <c r="O46" s="307"/>
      <c r="P46" s="32"/>
      <c r="Q46" s="25"/>
      <c r="R46" s="27"/>
      <c r="S46" s="27"/>
      <c r="T46" s="28"/>
      <c r="U46" s="27"/>
      <c r="V46" s="27"/>
      <c r="W46" s="28"/>
      <c r="X46" s="33"/>
      <c r="Y46" s="32"/>
      <c r="Z46" s="25"/>
      <c r="AA46" s="27"/>
      <c r="AB46" s="28"/>
      <c r="AC46" s="27"/>
      <c r="AD46" s="27"/>
      <c r="AE46" s="33"/>
      <c r="AG46" s="25"/>
      <c r="AH46" s="34"/>
      <c r="AI46" s="27"/>
      <c r="AJ46" s="27"/>
      <c r="AK46" s="27"/>
      <c r="AL46" s="25"/>
      <c r="AM46" s="34"/>
      <c r="AN46" s="27"/>
      <c r="AO46" s="27"/>
      <c r="AP46" s="36"/>
      <c r="AQ46" s="37"/>
      <c r="AR46" s="32"/>
      <c r="AS46" s="25" t="s">
        <v>78</v>
      </c>
      <c r="AT46" s="27" t="s">
        <v>52</v>
      </c>
      <c r="AU46" s="27"/>
      <c r="AW46" s="25"/>
      <c r="AX46" s="27"/>
      <c r="AY46" s="27"/>
      <c r="AZ46" s="32"/>
      <c r="BA46" s="41"/>
    </row>
    <row r="47" spans="1:53" ht="16" thickBot="1" x14ac:dyDescent="0.25">
      <c r="A47" s="25">
        <v>40</v>
      </c>
      <c r="B47" s="26">
        <v>45224</v>
      </c>
      <c r="C47" s="27"/>
      <c r="D47" s="25"/>
      <c r="E47" s="28"/>
      <c r="F47" s="27"/>
      <c r="G47" s="28"/>
      <c r="H47" s="27"/>
      <c r="I47" s="28"/>
      <c r="J47" s="174" t="s">
        <v>210</v>
      </c>
      <c r="K47" s="29" t="s">
        <v>35</v>
      </c>
      <c r="L47" s="53"/>
      <c r="M47" s="153" t="s">
        <v>173</v>
      </c>
      <c r="N47" s="27" t="s">
        <v>76</v>
      </c>
      <c r="O47" s="308"/>
      <c r="Q47" s="25"/>
      <c r="R47" s="27"/>
      <c r="S47" s="27"/>
      <c r="T47" s="28"/>
      <c r="U47" s="27"/>
      <c r="V47" s="27"/>
      <c r="W47" s="28"/>
      <c r="X47" s="33"/>
      <c r="Y47" s="32"/>
      <c r="Z47" s="59"/>
      <c r="AA47" s="60"/>
      <c r="AB47" s="61"/>
      <c r="AC47" s="27"/>
      <c r="AD47" s="27"/>
      <c r="AE47" s="33"/>
      <c r="AG47" s="25"/>
      <c r="AH47" s="34"/>
      <c r="AI47" s="27"/>
      <c r="AJ47" s="27"/>
      <c r="AK47" s="27"/>
      <c r="AL47" s="25"/>
      <c r="AM47" s="34"/>
      <c r="AN47" s="27"/>
      <c r="AO47" s="27"/>
      <c r="AP47" s="36"/>
      <c r="AQ47" s="37"/>
      <c r="AR47" s="32"/>
      <c r="AS47" s="25" t="s">
        <v>79</v>
      </c>
      <c r="AT47" s="27" t="s">
        <v>52</v>
      </c>
      <c r="AU47" s="58" t="s">
        <v>80</v>
      </c>
      <c r="AW47" s="25"/>
      <c r="AX47" s="27"/>
      <c r="AY47" s="27"/>
      <c r="AZ47" s="32"/>
      <c r="BA47" s="41"/>
    </row>
    <row r="48" spans="1:53" x14ac:dyDescent="0.2">
      <c r="A48" s="25">
        <v>41</v>
      </c>
      <c r="B48" s="26">
        <v>45225</v>
      </c>
      <c r="C48" s="27" t="s">
        <v>186</v>
      </c>
      <c r="D48" s="25"/>
      <c r="E48" s="28"/>
      <c r="F48" s="27"/>
      <c r="G48" s="28"/>
      <c r="H48" s="27"/>
      <c r="I48" s="28"/>
      <c r="J48" s="174" t="s">
        <v>210</v>
      </c>
      <c r="K48" s="29" t="s">
        <v>35</v>
      </c>
      <c r="M48" s="31"/>
      <c r="N48" s="27" t="s">
        <v>76</v>
      </c>
      <c r="P48" s="32"/>
      <c r="Q48" s="25"/>
      <c r="R48" s="27"/>
      <c r="S48" s="27"/>
      <c r="T48" s="28"/>
      <c r="U48" s="27"/>
      <c r="V48" s="27"/>
      <c r="W48" s="28"/>
      <c r="X48" s="33"/>
      <c r="Y48" s="32"/>
      <c r="Z48" s="25"/>
      <c r="AA48" s="27"/>
      <c r="AB48" s="28"/>
      <c r="AC48" s="27"/>
      <c r="AD48" s="27"/>
      <c r="AE48" s="33"/>
      <c r="AG48" s="25"/>
      <c r="AH48" s="34"/>
      <c r="AI48" s="27"/>
      <c r="AJ48" s="27"/>
      <c r="AK48" s="27"/>
      <c r="AL48" s="25"/>
      <c r="AM48" s="34"/>
      <c r="AN48" s="27"/>
      <c r="AO48" s="27"/>
      <c r="AP48" s="36"/>
      <c r="AQ48" s="37"/>
      <c r="AR48" s="32"/>
      <c r="AS48" s="25" t="s">
        <v>79</v>
      </c>
      <c r="AT48" s="27" t="s">
        <v>52</v>
      </c>
      <c r="AU48" s="27"/>
      <c r="AW48" s="25"/>
      <c r="AX48" s="27"/>
      <c r="AY48" s="27"/>
      <c r="AZ48" s="32"/>
      <c r="BA48" s="41"/>
    </row>
    <row r="49" spans="1:53" x14ac:dyDescent="0.2">
      <c r="A49" s="25">
        <v>42</v>
      </c>
      <c r="B49" s="26">
        <v>45226</v>
      </c>
      <c r="C49" s="27"/>
      <c r="D49" s="25"/>
      <c r="E49" s="28"/>
      <c r="F49" s="27"/>
      <c r="G49" s="28"/>
      <c r="H49" s="27"/>
      <c r="I49" s="28"/>
      <c r="J49" s="174" t="s">
        <v>210</v>
      </c>
      <c r="K49" s="29" t="s">
        <v>35</v>
      </c>
      <c r="L49" s="39"/>
      <c r="M49" s="31"/>
      <c r="N49" s="27" t="s">
        <v>76</v>
      </c>
      <c r="P49" s="32"/>
      <c r="Q49" s="25"/>
      <c r="R49" s="27"/>
      <c r="S49" s="27"/>
      <c r="T49" s="28"/>
      <c r="U49" s="27"/>
      <c r="V49" s="27"/>
      <c r="W49" s="28"/>
      <c r="X49" s="33"/>
      <c r="Y49" s="32"/>
      <c r="Z49" s="25"/>
      <c r="AA49" s="27"/>
      <c r="AB49" s="28"/>
      <c r="AC49" s="27"/>
      <c r="AD49" s="27"/>
      <c r="AE49" s="33"/>
      <c r="AG49" s="25"/>
      <c r="AH49" s="34"/>
      <c r="AI49" s="27"/>
      <c r="AJ49" s="27"/>
      <c r="AK49" s="27"/>
      <c r="AL49" s="25"/>
      <c r="AM49" s="34"/>
      <c r="AN49" s="27"/>
      <c r="AO49" s="27"/>
      <c r="AP49" s="36"/>
      <c r="AQ49" s="37"/>
      <c r="AR49" s="32"/>
      <c r="AS49" s="25" t="s">
        <v>79</v>
      </c>
      <c r="AT49" s="27" t="s">
        <v>52</v>
      </c>
      <c r="AU49" s="27"/>
      <c r="AW49" s="25"/>
      <c r="AX49" s="27"/>
      <c r="AY49" s="27"/>
      <c r="AZ49" s="32"/>
      <c r="BA49" s="41"/>
    </row>
    <row r="50" spans="1:53" ht="16" thickBot="1" x14ac:dyDescent="0.25">
      <c r="A50" s="25">
        <v>43</v>
      </c>
      <c r="B50" s="26">
        <v>45227</v>
      </c>
      <c r="C50" s="27"/>
      <c r="D50" s="25"/>
      <c r="E50" s="28"/>
      <c r="F50" s="27"/>
      <c r="G50" s="28"/>
      <c r="H50" s="27"/>
      <c r="I50" s="28"/>
      <c r="J50" s="174" t="s">
        <v>210</v>
      </c>
      <c r="K50" s="29" t="s">
        <v>35</v>
      </c>
      <c r="L50" s="39"/>
      <c r="M50" s="31"/>
      <c r="N50" s="27" t="s">
        <v>76</v>
      </c>
      <c r="P50" s="32"/>
      <c r="Q50" s="25"/>
      <c r="R50" s="27"/>
      <c r="S50" s="27"/>
      <c r="T50" s="28"/>
      <c r="U50" s="27"/>
      <c r="V50" s="27"/>
      <c r="W50" s="28"/>
      <c r="X50" s="33"/>
      <c r="Y50" s="32"/>
      <c r="Z50" s="25"/>
      <c r="AA50" s="27"/>
      <c r="AB50" s="28"/>
      <c r="AC50" s="27"/>
      <c r="AD50" s="27"/>
      <c r="AE50" s="33"/>
      <c r="AG50" s="25"/>
      <c r="AH50" s="34"/>
      <c r="AI50" s="27"/>
      <c r="AJ50" s="27"/>
      <c r="AK50" s="27"/>
      <c r="AL50" s="25"/>
      <c r="AM50" s="34"/>
      <c r="AN50" s="27"/>
      <c r="AO50" s="27"/>
      <c r="AP50" s="36"/>
      <c r="AQ50" s="37"/>
      <c r="AR50" s="32"/>
      <c r="AS50" s="25" t="s">
        <v>79</v>
      </c>
      <c r="AT50" s="27" t="s">
        <v>52</v>
      </c>
      <c r="AU50" s="27"/>
      <c r="AW50" s="25"/>
      <c r="AX50" s="27"/>
      <c r="AY50" s="27"/>
      <c r="AZ50" s="32"/>
      <c r="BA50" s="41"/>
    </row>
    <row r="51" spans="1:53" ht="16" thickBot="1" x14ac:dyDescent="0.25">
      <c r="A51" s="25">
        <v>44</v>
      </c>
      <c r="B51" s="26">
        <v>45228</v>
      </c>
      <c r="C51" s="27"/>
      <c r="D51" s="25"/>
      <c r="E51" s="28"/>
      <c r="F51" s="27"/>
      <c r="G51" s="28"/>
      <c r="H51" s="27"/>
      <c r="I51" s="28"/>
      <c r="J51" s="174" t="s">
        <v>210</v>
      </c>
      <c r="K51" s="29" t="s">
        <v>35</v>
      </c>
      <c r="L51" s="39"/>
      <c r="M51" s="153" t="s">
        <v>81</v>
      </c>
      <c r="N51" s="27" t="s">
        <v>76</v>
      </c>
      <c r="P51" s="32"/>
      <c r="Q51" s="27"/>
      <c r="R51" s="27"/>
      <c r="S51" s="27"/>
      <c r="T51" s="28"/>
      <c r="U51" s="27"/>
      <c r="V51" s="27"/>
      <c r="W51" s="28"/>
      <c r="X51" s="33"/>
      <c r="Y51" s="32"/>
      <c r="Z51" s="59"/>
      <c r="AA51" s="60"/>
      <c r="AB51" s="61"/>
      <c r="AC51" s="27"/>
      <c r="AD51" s="27"/>
      <c r="AE51" s="33"/>
      <c r="AG51" s="25"/>
      <c r="AH51" s="34"/>
      <c r="AI51" s="27"/>
      <c r="AJ51" s="27"/>
      <c r="AK51" s="27"/>
      <c r="AL51" s="25"/>
      <c r="AM51" s="34"/>
      <c r="AN51" s="27"/>
      <c r="AO51" s="27"/>
      <c r="AP51" s="36"/>
      <c r="AQ51" s="37"/>
      <c r="AR51" s="32"/>
      <c r="AS51" s="25" t="s">
        <v>79</v>
      </c>
      <c r="AT51" s="27" t="s">
        <v>52</v>
      </c>
      <c r="AU51" s="58" t="s">
        <v>81</v>
      </c>
      <c r="AW51" s="25"/>
      <c r="AX51" s="27"/>
      <c r="AY51" s="27"/>
      <c r="AZ51" s="32"/>
      <c r="BA51" s="41"/>
    </row>
    <row r="52" spans="1:53" x14ac:dyDescent="0.2">
      <c r="A52" s="25">
        <v>45</v>
      </c>
      <c r="B52" s="26">
        <v>45229</v>
      </c>
      <c r="C52" s="27"/>
      <c r="D52" s="25"/>
      <c r="E52" s="28"/>
      <c r="F52" s="27"/>
      <c r="G52" s="28"/>
      <c r="H52" s="27"/>
      <c r="I52" s="28"/>
      <c r="J52" s="174" t="s">
        <v>210</v>
      </c>
      <c r="K52" s="29" t="s">
        <v>35</v>
      </c>
      <c r="L52" s="39"/>
      <c r="M52" s="31"/>
      <c r="N52" s="27" t="s">
        <v>76</v>
      </c>
      <c r="P52" s="32"/>
      <c r="Q52" s="25"/>
      <c r="R52" s="27"/>
      <c r="S52" s="27"/>
      <c r="T52" s="28"/>
      <c r="U52" s="27"/>
      <c r="V52" s="27"/>
      <c r="W52" s="28"/>
      <c r="X52" s="33"/>
      <c r="Y52" s="32"/>
      <c r="Z52" s="25"/>
      <c r="AA52" s="27"/>
      <c r="AB52" s="28"/>
      <c r="AC52" s="27"/>
      <c r="AD52" s="27"/>
      <c r="AE52" s="33"/>
      <c r="AG52" s="25"/>
      <c r="AH52" s="34"/>
      <c r="AI52" s="27"/>
      <c r="AJ52" s="27"/>
      <c r="AK52" s="27"/>
      <c r="AL52" s="25"/>
      <c r="AM52" s="34"/>
      <c r="AN52" s="27"/>
      <c r="AO52" s="27"/>
      <c r="AP52" s="36"/>
      <c r="AQ52" s="37"/>
      <c r="AR52" s="32"/>
      <c r="AS52" s="25" t="s">
        <v>82</v>
      </c>
      <c r="AT52" s="27" t="s">
        <v>52</v>
      </c>
      <c r="AW52" s="25"/>
      <c r="AX52" s="27"/>
      <c r="AY52" s="27"/>
      <c r="AZ52" s="32"/>
      <c r="BA52" s="41"/>
    </row>
    <row r="53" spans="1:53" x14ac:dyDescent="0.2">
      <c r="A53" s="25">
        <v>46</v>
      </c>
      <c r="B53" s="26">
        <v>45230</v>
      </c>
      <c r="C53" s="27"/>
      <c r="D53" s="25"/>
      <c r="E53" s="28"/>
      <c r="F53" s="27"/>
      <c r="G53" s="28"/>
      <c r="H53" s="27"/>
      <c r="I53" s="28"/>
      <c r="J53" s="174" t="s">
        <v>210</v>
      </c>
      <c r="K53" s="29" t="s">
        <v>35</v>
      </c>
      <c r="L53" s="39"/>
      <c r="M53" s="31"/>
      <c r="N53" s="27" t="s">
        <v>76</v>
      </c>
      <c r="P53" s="32"/>
      <c r="Q53" s="25"/>
      <c r="R53" s="27"/>
      <c r="S53" s="27"/>
      <c r="T53" s="28"/>
      <c r="U53" s="27"/>
      <c r="V53" s="27"/>
      <c r="W53" s="28"/>
      <c r="X53" s="33"/>
      <c r="Y53" s="32"/>
      <c r="Z53" s="25"/>
      <c r="AA53" s="27"/>
      <c r="AB53" s="28"/>
      <c r="AC53" s="27"/>
      <c r="AD53" s="27"/>
      <c r="AE53" s="33"/>
      <c r="AG53" s="25"/>
      <c r="AH53" s="34"/>
      <c r="AI53" s="27"/>
      <c r="AJ53" s="27"/>
      <c r="AK53" s="27"/>
      <c r="AL53" s="25"/>
      <c r="AM53" s="34"/>
      <c r="AN53" s="27"/>
      <c r="AO53" s="27"/>
      <c r="AP53" s="36"/>
      <c r="AQ53" s="37"/>
      <c r="AR53" s="32"/>
      <c r="AS53" s="25" t="s">
        <v>82</v>
      </c>
      <c r="AT53" s="27" t="s">
        <v>52</v>
      </c>
      <c r="AU53" s="27"/>
      <c r="AW53" s="25"/>
      <c r="AX53" s="27"/>
      <c r="AY53" s="27"/>
      <c r="AZ53" s="32"/>
      <c r="BA53" s="41"/>
    </row>
    <row r="54" spans="1:53" x14ac:dyDescent="0.2">
      <c r="A54" s="25">
        <v>47</v>
      </c>
      <c r="B54" s="26">
        <v>45231</v>
      </c>
      <c r="C54" s="27"/>
      <c r="D54" s="25"/>
      <c r="E54" s="28"/>
      <c r="F54" s="27"/>
      <c r="G54" s="28"/>
      <c r="H54" s="27"/>
      <c r="I54" s="28"/>
      <c r="J54" s="174" t="s">
        <v>210</v>
      </c>
      <c r="K54" s="29" t="s">
        <v>35</v>
      </c>
      <c r="L54" s="39"/>
      <c r="M54" s="31"/>
      <c r="N54" s="27" t="s">
        <v>76</v>
      </c>
      <c r="P54" s="32"/>
      <c r="Q54" s="25"/>
      <c r="R54" s="27"/>
      <c r="S54" s="27"/>
      <c r="T54" s="28"/>
      <c r="U54" s="27"/>
      <c r="V54" s="27"/>
      <c r="W54" s="28"/>
      <c r="X54" s="33"/>
      <c r="Y54" s="32"/>
      <c r="Z54" s="25"/>
      <c r="AA54" s="27"/>
      <c r="AB54" s="28"/>
      <c r="AC54" s="27"/>
      <c r="AD54" s="27"/>
      <c r="AE54" s="33"/>
      <c r="AG54" s="25"/>
      <c r="AH54" s="34"/>
      <c r="AI54" s="27"/>
      <c r="AJ54" s="27"/>
      <c r="AK54" s="27"/>
      <c r="AL54" s="25"/>
      <c r="AM54" s="34"/>
      <c r="AN54" s="27"/>
      <c r="AO54" s="27"/>
      <c r="AP54" s="36"/>
      <c r="AQ54" s="37"/>
      <c r="AR54" s="32"/>
      <c r="AS54" s="25" t="s">
        <v>82</v>
      </c>
      <c r="AT54" s="27" t="s">
        <v>52</v>
      </c>
      <c r="AU54" s="27"/>
      <c r="AW54" s="25"/>
      <c r="AX54" s="27"/>
      <c r="AY54" s="27"/>
      <c r="AZ54" s="32"/>
      <c r="BA54" s="41"/>
    </row>
    <row r="55" spans="1:53" x14ac:dyDescent="0.2">
      <c r="A55" s="25">
        <v>48</v>
      </c>
      <c r="B55" s="26">
        <v>45232</v>
      </c>
      <c r="C55" s="27"/>
      <c r="D55" s="25"/>
      <c r="E55" s="28"/>
      <c r="F55" s="27"/>
      <c r="G55" s="28"/>
      <c r="H55" s="27"/>
      <c r="I55" s="28"/>
      <c r="J55" s="174" t="s">
        <v>210</v>
      </c>
      <c r="K55" s="29" t="s">
        <v>35</v>
      </c>
      <c r="M55" s="31"/>
      <c r="N55" s="27" t="s">
        <v>76</v>
      </c>
      <c r="P55" s="32"/>
      <c r="Q55" s="25"/>
      <c r="R55" s="27"/>
      <c r="S55" s="27"/>
      <c r="T55" s="28"/>
      <c r="U55" s="27"/>
      <c r="V55" s="27"/>
      <c r="W55" s="28"/>
      <c r="X55" s="33"/>
      <c r="Y55" s="32"/>
      <c r="Z55" s="25"/>
      <c r="AA55" s="27"/>
      <c r="AB55" s="28"/>
      <c r="AC55" s="27"/>
      <c r="AD55" s="27"/>
      <c r="AE55" s="33"/>
      <c r="AG55" s="25"/>
      <c r="AH55" s="34"/>
      <c r="AI55" s="27"/>
      <c r="AJ55" s="27"/>
      <c r="AK55" s="27"/>
      <c r="AL55" s="25"/>
      <c r="AM55" s="34"/>
      <c r="AN55" s="27"/>
      <c r="AO55" s="27"/>
      <c r="AP55" s="36"/>
      <c r="AQ55" s="37"/>
      <c r="AR55" s="32"/>
      <c r="AS55" s="25" t="s">
        <v>82</v>
      </c>
      <c r="AT55" s="27" t="s">
        <v>52</v>
      </c>
      <c r="AU55" s="27"/>
      <c r="AW55" s="25"/>
      <c r="AX55" s="27"/>
      <c r="AY55" s="27"/>
      <c r="AZ55" s="32"/>
      <c r="BA55" s="41"/>
    </row>
    <row r="56" spans="1:53" ht="16" thickBot="1" x14ac:dyDescent="0.25">
      <c r="A56" s="25">
        <v>49</v>
      </c>
      <c r="B56" s="26">
        <v>45233</v>
      </c>
      <c r="C56" s="27"/>
      <c r="D56" s="25"/>
      <c r="E56" s="28"/>
      <c r="F56" s="27"/>
      <c r="G56" s="28"/>
      <c r="H56" s="27"/>
      <c r="I56" s="28"/>
      <c r="J56" s="174" t="s">
        <v>210</v>
      </c>
      <c r="K56" s="29" t="s">
        <v>35</v>
      </c>
      <c r="L56" s="39"/>
      <c r="M56" s="31"/>
      <c r="N56" s="27" t="s">
        <v>76</v>
      </c>
      <c r="P56" s="32"/>
      <c r="Q56" s="25"/>
      <c r="R56" s="27"/>
      <c r="S56" s="27"/>
      <c r="T56" s="28"/>
      <c r="U56" s="27"/>
      <c r="V56" s="27"/>
      <c r="W56" s="28"/>
      <c r="X56" s="33"/>
      <c r="Y56" s="32"/>
      <c r="Z56" s="25"/>
      <c r="AA56" s="27"/>
      <c r="AB56" s="28"/>
      <c r="AC56" s="27"/>
      <c r="AD56" s="27"/>
      <c r="AE56" s="33"/>
      <c r="AG56" s="25"/>
      <c r="AH56" s="34"/>
      <c r="AI56" s="27"/>
      <c r="AJ56" s="27"/>
      <c r="AK56" s="27"/>
      <c r="AL56" s="25"/>
      <c r="AM56" s="34"/>
      <c r="AN56" s="27"/>
      <c r="AO56" s="27"/>
      <c r="AP56" s="36"/>
      <c r="AQ56" s="37"/>
      <c r="AR56" s="32"/>
      <c r="AS56" s="25" t="s">
        <v>82</v>
      </c>
      <c r="AT56" s="27" t="s">
        <v>52</v>
      </c>
      <c r="AU56" s="27"/>
      <c r="AW56" s="25"/>
      <c r="AX56" s="27"/>
      <c r="AY56" s="27"/>
      <c r="AZ56" s="32"/>
      <c r="BA56" s="41"/>
    </row>
    <row r="57" spans="1:53" ht="16" thickBot="1" x14ac:dyDescent="0.25">
      <c r="A57" s="25">
        <v>50</v>
      </c>
      <c r="B57" s="26">
        <v>45234</v>
      </c>
      <c r="C57" s="27"/>
      <c r="D57" s="25"/>
      <c r="E57" s="28"/>
      <c r="F57" s="27"/>
      <c r="G57" s="28"/>
      <c r="H57" s="27"/>
      <c r="I57" s="28"/>
      <c r="J57" s="174" t="s">
        <v>210</v>
      </c>
      <c r="K57" s="29" t="s">
        <v>35</v>
      </c>
      <c r="L57" s="44" t="s">
        <v>83</v>
      </c>
      <c r="M57" s="153" t="s">
        <v>174</v>
      </c>
      <c r="N57" s="27" t="s">
        <v>76</v>
      </c>
      <c r="O57" s="45" t="s">
        <v>84</v>
      </c>
      <c r="P57" s="46" t="s">
        <v>85</v>
      </c>
      <c r="Q57" s="25"/>
      <c r="R57" s="27"/>
      <c r="S57" s="27"/>
      <c r="T57" s="28"/>
      <c r="U57" s="27"/>
      <c r="V57" s="27"/>
      <c r="W57" s="28"/>
      <c r="X57" s="33"/>
      <c r="Y57" s="32"/>
      <c r="Z57" s="25"/>
      <c r="AA57" s="27"/>
      <c r="AB57" s="28"/>
      <c r="AC57" s="27"/>
      <c r="AD57" s="27"/>
      <c r="AE57" s="33"/>
      <c r="AG57" s="25"/>
      <c r="AH57" s="34"/>
      <c r="AI57" s="27"/>
      <c r="AJ57" s="27"/>
      <c r="AK57" s="27"/>
      <c r="AL57" s="25"/>
      <c r="AM57" s="34"/>
      <c r="AN57" s="27"/>
      <c r="AO57" s="27"/>
      <c r="AP57" s="36"/>
      <c r="AQ57" s="37"/>
      <c r="AR57" s="32"/>
      <c r="AS57" s="25" t="s">
        <v>86</v>
      </c>
      <c r="AT57" s="27" t="s">
        <v>87</v>
      </c>
      <c r="AU57" s="58" t="s">
        <v>88</v>
      </c>
      <c r="AW57" s="25"/>
      <c r="AX57" s="27"/>
      <c r="AY57" s="27"/>
      <c r="AZ57" s="32"/>
      <c r="BA57" s="41"/>
    </row>
    <row r="58" spans="1:53" ht="16" thickBot="1" x14ac:dyDescent="0.25">
      <c r="A58" s="25">
        <v>51</v>
      </c>
      <c r="B58" s="26">
        <v>45235</v>
      </c>
      <c r="C58" s="27"/>
      <c r="D58" s="25"/>
      <c r="E58" s="28"/>
      <c r="F58" s="27"/>
      <c r="G58" s="28"/>
      <c r="H58" s="27"/>
      <c r="I58" s="28"/>
      <c r="J58" s="27">
        <v>8</v>
      </c>
      <c r="K58" s="29" t="s">
        <v>35</v>
      </c>
      <c r="L58" s="88" t="s">
        <v>89</v>
      </c>
      <c r="M58" s="31"/>
      <c r="N58" s="27"/>
      <c r="P58" s="46"/>
      <c r="Q58" s="27"/>
      <c r="R58" s="27"/>
      <c r="S58" s="27"/>
      <c r="T58" s="28"/>
      <c r="U58" s="27"/>
      <c r="V58" s="27"/>
      <c r="W58" s="28"/>
      <c r="X58" s="33"/>
      <c r="Y58" s="32"/>
      <c r="Z58" s="25"/>
      <c r="AA58" s="27"/>
      <c r="AB58" s="28"/>
      <c r="AC58" s="27"/>
      <c r="AD58" s="27"/>
      <c r="AE58" s="33"/>
      <c r="AG58" s="25"/>
      <c r="AH58" s="34"/>
      <c r="AI58" s="27"/>
      <c r="AJ58" s="27"/>
      <c r="AK58" s="27"/>
      <c r="AL58" s="25"/>
      <c r="AM58" s="34"/>
      <c r="AN58" s="27"/>
      <c r="AO58" s="27"/>
      <c r="AP58" s="36"/>
      <c r="AQ58" s="37"/>
      <c r="AR58" s="32"/>
      <c r="AS58" s="25" t="s">
        <v>86</v>
      </c>
      <c r="AT58" s="27" t="s">
        <v>87</v>
      </c>
      <c r="AU58" s="27"/>
      <c r="AW58" s="25"/>
      <c r="AX58" s="27"/>
      <c r="AY58" s="27"/>
      <c r="AZ58" s="32"/>
      <c r="BA58" s="41"/>
    </row>
    <row r="59" spans="1:53" ht="16" thickBot="1" x14ac:dyDescent="0.25">
      <c r="A59" s="25">
        <v>52</v>
      </c>
      <c r="B59" s="26">
        <v>45236</v>
      </c>
      <c r="C59" s="27"/>
      <c r="D59" s="25"/>
      <c r="E59" s="28"/>
      <c r="F59" s="27"/>
      <c r="G59" s="28"/>
      <c r="H59" s="27"/>
      <c r="I59" s="28"/>
      <c r="J59" s="27">
        <v>8</v>
      </c>
      <c r="K59" s="29" t="s">
        <v>35</v>
      </c>
      <c r="L59" s="39"/>
      <c r="M59" s="31"/>
      <c r="N59" s="27"/>
      <c r="P59" s="32"/>
      <c r="Q59" s="25"/>
      <c r="R59" s="27"/>
      <c r="S59" s="27"/>
      <c r="T59" s="28"/>
      <c r="U59" s="27"/>
      <c r="V59" s="27"/>
      <c r="W59" s="28"/>
      <c r="X59" s="33"/>
      <c r="Y59" s="32"/>
      <c r="Z59" s="25"/>
      <c r="AA59" s="27"/>
      <c r="AB59" s="28"/>
      <c r="AC59" s="27"/>
      <c r="AD59" s="27"/>
      <c r="AE59" s="33"/>
      <c r="AG59" s="25"/>
      <c r="AH59" s="34"/>
      <c r="AI59" s="27"/>
      <c r="AJ59" s="27"/>
      <c r="AK59" s="27"/>
      <c r="AL59" s="25"/>
      <c r="AM59" s="34"/>
      <c r="AN59" s="27"/>
      <c r="AO59" s="27"/>
      <c r="AP59" s="36"/>
      <c r="AQ59" s="37"/>
      <c r="AR59" s="32"/>
      <c r="AS59" s="25" t="s">
        <v>86</v>
      </c>
      <c r="AT59" s="27" t="s">
        <v>87</v>
      </c>
      <c r="AW59" s="25"/>
      <c r="AX59" s="27"/>
      <c r="AY59" s="27"/>
      <c r="AZ59" s="32"/>
      <c r="BA59" s="41"/>
    </row>
    <row r="60" spans="1:53" ht="16" thickBot="1" x14ac:dyDescent="0.25">
      <c r="A60" s="25">
        <v>53</v>
      </c>
      <c r="B60" s="26">
        <v>45237</v>
      </c>
      <c r="C60" s="27"/>
      <c r="D60" s="25"/>
      <c r="E60" s="28"/>
      <c r="F60" s="27"/>
      <c r="G60" s="28"/>
      <c r="H60" s="27"/>
      <c r="I60" s="28"/>
      <c r="J60" s="27">
        <v>8</v>
      </c>
      <c r="K60" s="29" t="s">
        <v>35</v>
      </c>
      <c r="L60" s="39"/>
      <c r="M60" s="153" t="s">
        <v>175</v>
      </c>
      <c r="N60" s="27"/>
      <c r="P60" s="32"/>
      <c r="Q60" s="25"/>
      <c r="R60" s="27"/>
      <c r="S60" s="27"/>
      <c r="T60" s="28"/>
      <c r="U60" s="27"/>
      <c r="V60" s="27"/>
      <c r="W60" s="28"/>
      <c r="X60" s="33"/>
      <c r="Y60" s="32"/>
      <c r="Z60" s="25"/>
      <c r="AA60" s="27"/>
      <c r="AB60" s="28"/>
      <c r="AC60" s="27"/>
      <c r="AD60" s="27"/>
      <c r="AE60" s="33"/>
      <c r="AG60" s="25"/>
      <c r="AH60" s="34"/>
      <c r="AI60" s="27"/>
      <c r="AJ60" s="27"/>
      <c r="AK60" s="27"/>
      <c r="AL60" s="25"/>
      <c r="AM60" s="34"/>
      <c r="AN60" s="27"/>
      <c r="AO60" s="27"/>
      <c r="AP60" s="36"/>
      <c r="AQ60" s="37"/>
      <c r="AR60" s="32"/>
      <c r="AS60" s="25" t="s">
        <v>86</v>
      </c>
      <c r="AT60" s="27" t="s">
        <v>87</v>
      </c>
      <c r="AU60" s="27"/>
      <c r="AW60" s="25" t="s">
        <v>90</v>
      </c>
      <c r="AX60" s="27" t="s">
        <v>91</v>
      </c>
      <c r="AY60" s="89" t="s">
        <v>92</v>
      </c>
      <c r="AZ60" s="32"/>
      <c r="BA60" s="41"/>
    </row>
    <row r="61" spans="1:53" ht="16" thickBot="1" x14ac:dyDescent="0.25">
      <c r="A61" s="25">
        <v>54</v>
      </c>
      <c r="B61" s="26">
        <v>45238</v>
      </c>
      <c r="C61" s="27"/>
      <c r="D61" s="25"/>
      <c r="E61" s="28"/>
      <c r="F61" s="27"/>
      <c r="G61" s="28"/>
      <c r="H61" s="27"/>
      <c r="I61" s="28"/>
      <c r="J61" s="27">
        <v>8</v>
      </c>
      <c r="K61" s="29" t="s">
        <v>35</v>
      </c>
      <c r="L61" s="39"/>
      <c r="M61" s="31"/>
      <c r="N61" s="27"/>
      <c r="P61" s="32"/>
      <c r="Q61" s="25"/>
      <c r="R61" s="27"/>
      <c r="S61" s="27"/>
      <c r="T61" s="28"/>
      <c r="U61" s="27"/>
      <c r="V61" s="27"/>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U61" s="27"/>
      <c r="AW61" s="25" t="s">
        <v>90</v>
      </c>
      <c r="AX61" s="27" t="s">
        <v>91</v>
      </c>
      <c r="AY61" s="27"/>
      <c r="AZ61" s="32"/>
      <c r="BA61" s="41"/>
    </row>
    <row r="62" spans="1:53" ht="16" thickBot="1" x14ac:dyDescent="0.25">
      <c r="A62" s="25">
        <v>55</v>
      </c>
      <c r="B62" s="26">
        <v>45239</v>
      </c>
      <c r="C62" s="27"/>
      <c r="D62" s="25"/>
      <c r="E62" s="28"/>
      <c r="F62" s="27"/>
      <c r="G62" s="28"/>
      <c r="H62" s="27"/>
      <c r="I62" s="28"/>
      <c r="J62" s="27">
        <v>8</v>
      </c>
      <c r="K62" s="29" t="s">
        <v>35</v>
      </c>
      <c r="L62" s="39"/>
      <c r="M62" s="31"/>
      <c r="N62" s="27"/>
      <c r="P62" s="32"/>
      <c r="Q62" s="25"/>
      <c r="R62" s="27"/>
      <c r="S62" s="27"/>
      <c r="T62" s="28"/>
      <c r="U62" s="27"/>
      <c r="V62" s="27"/>
      <c r="W62" s="28"/>
      <c r="X62" s="33"/>
      <c r="Y62" s="32"/>
      <c r="Z62" s="25"/>
      <c r="AA62" s="27"/>
      <c r="AB62" s="28"/>
      <c r="AC62" s="27"/>
      <c r="AD62" s="27"/>
      <c r="AE62" s="33"/>
      <c r="AG62" s="25"/>
      <c r="AH62" s="34"/>
      <c r="AI62" s="27"/>
      <c r="AJ62" s="27"/>
      <c r="AK62" s="27"/>
      <c r="AL62" s="25"/>
      <c r="AM62" s="34"/>
      <c r="AN62" s="27"/>
      <c r="AO62" s="27"/>
      <c r="AP62" s="36"/>
      <c r="AQ62" s="82" t="s">
        <v>93</v>
      </c>
      <c r="AR62" s="32"/>
      <c r="AS62" s="25" t="s">
        <v>86</v>
      </c>
      <c r="AT62" s="27" t="s">
        <v>87</v>
      </c>
      <c r="AW62" s="25" t="s">
        <v>90</v>
      </c>
      <c r="AX62" s="27" t="s">
        <v>91</v>
      </c>
      <c r="AY62" s="27"/>
      <c r="AZ62" s="32"/>
      <c r="BA62" s="41"/>
    </row>
    <row r="63" spans="1:53" x14ac:dyDescent="0.2">
      <c r="A63" s="25">
        <v>56</v>
      </c>
      <c r="B63" s="26">
        <v>45240</v>
      </c>
      <c r="C63" s="27"/>
      <c r="D63" s="25"/>
      <c r="E63" s="28"/>
      <c r="F63" s="27"/>
      <c r="G63" s="28"/>
      <c r="H63" s="27"/>
      <c r="I63" s="28"/>
      <c r="J63" s="27">
        <v>8</v>
      </c>
      <c r="K63" s="29" t="s">
        <v>35</v>
      </c>
      <c r="L63" s="39"/>
      <c r="M63" s="31"/>
      <c r="N63" s="27"/>
      <c r="P63" s="32"/>
      <c r="Q63" s="25"/>
      <c r="R63" s="27"/>
      <c r="S63" s="27"/>
      <c r="T63" s="28"/>
      <c r="U63" s="27"/>
      <c r="V63" s="27"/>
      <c r="W63" s="28"/>
      <c r="X63" s="33"/>
      <c r="Y63" s="32"/>
      <c r="Z63" s="25"/>
      <c r="AA63" s="27"/>
      <c r="AB63" s="28"/>
      <c r="AC63" s="27"/>
      <c r="AD63" s="27"/>
      <c r="AE63" s="33"/>
      <c r="AG63" s="25"/>
      <c r="AH63" s="34"/>
      <c r="AI63" s="27"/>
      <c r="AJ63" s="27"/>
      <c r="AK63" s="27"/>
      <c r="AL63" s="25"/>
      <c r="AM63" s="34"/>
      <c r="AN63" s="27"/>
      <c r="AO63" s="27"/>
      <c r="AP63" s="36"/>
      <c r="AQ63" s="37"/>
      <c r="AR63" s="32"/>
      <c r="AS63" s="25" t="s">
        <v>86</v>
      </c>
      <c r="AT63" s="27" t="s">
        <v>87</v>
      </c>
      <c r="AU63" s="27"/>
      <c r="AW63" s="25" t="s">
        <v>90</v>
      </c>
      <c r="AX63" s="27" t="s">
        <v>91</v>
      </c>
      <c r="AY63" s="27"/>
      <c r="AZ63" s="32"/>
      <c r="BA63" s="41"/>
    </row>
    <row r="64" spans="1:53" ht="16" thickBot="1" x14ac:dyDescent="0.25">
      <c r="A64" s="25">
        <v>57</v>
      </c>
      <c r="B64" s="26">
        <v>45241</v>
      </c>
      <c r="C64" s="27"/>
      <c r="D64" s="25"/>
      <c r="E64" s="28"/>
      <c r="F64" s="27"/>
      <c r="G64" s="28"/>
      <c r="H64" s="27"/>
      <c r="I64" s="28"/>
      <c r="J64" s="27">
        <v>8</v>
      </c>
      <c r="K64" s="29" t="s">
        <v>35</v>
      </c>
      <c r="L64" s="39"/>
      <c r="M64" s="31"/>
      <c r="N64" s="27"/>
      <c r="P64" s="32"/>
      <c r="Q64" s="25"/>
      <c r="R64" s="27"/>
      <c r="S64" s="27"/>
      <c r="T64" s="28"/>
      <c r="U64" s="27"/>
      <c r="V64" s="27"/>
      <c r="W64" s="28"/>
      <c r="X64" s="33"/>
      <c r="Y64" s="32"/>
      <c r="Z64" s="25"/>
      <c r="AA64" s="27"/>
      <c r="AB64" s="28"/>
      <c r="AC64" s="27"/>
      <c r="AD64" s="27"/>
      <c r="AE64" s="33"/>
      <c r="AG64" s="25"/>
      <c r="AH64" s="34"/>
      <c r="AI64" s="27"/>
      <c r="AJ64" s="27"/>
      <c r="AK64" s="27"/>
      <c r="AL64" s="25"/>
      <c r="AM64" s="34"/>
      <c r="AN64" s="27"/>
      <c r="AO64" s="27"/>
      <c r="AP64" s="36"/>
      <c r="AQ64" s="37"/>
      <c r="AR64" s="32"/>
      <c r="AS64" s="25" t="s">
        <v>86</v>
      </c>
      <c r="AT64" s="27" t="s">
        <v>87</v>
      </c>
      <c r="AU64" s="27"/>
      <c r="AW64" s="25" t="s">
        <v>90</v>
      </c>
      <c r="AX64" s="27" t="s">
        <v>91</v>
      </c>
      <c r="AY64" s="27"/>
      <c r="AZ64" s="32"/>
      <c r="BA64" s="41"/>
    </row>
    <row r="65" spans="1:53" ht="16" thickBot="1" x14ac:dyDescent="0.25">
      <c r="A65" s="25">
        <v>58</v>
      </c>
      <c r="B65" s="26">
        <v>45242</v>
      </c>
      <c r="C65" s="27"/>
      <c r="D65" s="25"/>
      <c r="E65" s="28"/>
      <c r="F65" s="27"/>
      <c r="G65" s="28"/>
      <c r="H65" s="27"/>
      <c r="I65" s="28"/>
      <c r="J65" s="27">
        <v>8</v>
      </c>
      <c r="K65" s="29" t="s">
        <v>35</v>
      </c>
      <c r="L65" s="39"/>
      <c r="M65" s="31"/>
      <c r="N65" s="27"/>
      <c r="P65" s="32"/>
      <c r="Q65" s="25"/>
      <c r="R65" s="27"/>
      <c r="S65" s="27"/>
      <c r="T65" s="28"/>
      <c r="U65" s="27"/>
      <c r="V65" s="27"/>
      <c r="W65" s="28"/>
      <c r="X65" s="33"/>
      <c r="Y65" s="32"/>
      <c r="Z65" s="25"/>
      <c r="AA65" s="27"/>
      <c r="AB65" s="28"/>
      <c r="AC65" s="27"/>
      <c r="AD65" s="27"/>
      <c r="AE65" s="33"/>
      <c r="AG65" s="25"/>
      <c r="AH65" s="34"/>
      <c r="AI65" s="27"/>
      <c r="AJ65" s="27"/>
      <c r="AK65" s="27"/>
      <c r="AL65" s="25"/>
      <c r="AM65" s="34"/>
      <c r="AN65" s="27"/>
      <c r="AO65" s="27"/>
      <c r="AP65" s="36"/>
      <c r="AQ65" s="37"/>
      <c r="AR65" s="32"/>
      <c r="AS65" s="25" t="s">
        <v>86</v>
      </c>
      <c r="AT65" s="27" t="s">
        <v>87</v>
      </c>
      <c r="AU65" s="27"/>
      <c r="AW65" s="25" t="s">
        <v>90</v>
      </c>
      <c r="AX65" s="27" t="s">
        <v>91</v>
      </c>
      <c r="AY65" s="89" t="s">
        <v>94</v>
      </c>
      <c r="AZ65" s="32"/>
      <c r="BA65" s="41"/>
    </row>
    <row r="66" spans="1:53" ht="16" thickBot="1" x14ac:dyDescent="0.25">
      <c r="A66" s="25">
        <v>59</v>
      </c>
      <c r="B66" s="26">
        <v>45243</v>
      </c>
      <c r="C66" s="27"/>
      <c r="D66" s="25"/>
      <c r="E66" s="28"/>
      <c r="F66" s="27"/>
      <c r="G66" s="28"/>
      <c r="H66" s="27"/>
      <c r="I66" s="28"/>
      <c r="J66" s="27">
        <v>8</v>
      </c>
      <c r="K66" s="29" t="s">
        <v>35</v>
      </c>
      <c r="L66" s="39"/>
      <c r="M66" s="31"/>
      <c r="N66" s="27"/>
      <c r="P66" s="32"/>
      <c r="Q66" s="25"/>
      <c r="R66" s="27"/>
      <c r="S66" s="27"/>
      <c r="T66" s="28"/>
      <c r="U66" s="27"/>
      <c r="V66" s="27"/>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27"/>
      <c r="AW66" s="25" t="s">
        <v>90</v>
      </c>
      <c r="AX66" s="27" t="s">
        <v>95</v>
      </c>
      <c r="AY66" s="27"/>
      <c r="AZ66" s="32"/>
      <c r="BA66" s="41"/>
    </row>
    <row r="67" spans="1:53" ht="16" thickBot="1" x14ac:dyDescent="0.25">
      <c r="A67" s="25">
        <v>60</v>
      </c>
      <c r="B67" s="26">
        <v>45244</v>
      </c>
      <c r="C67" s="27"/>
      <c r="D67" s="25"/>
      <c r="E67" s="28"/>
      <c r="F67" s="27"/>
      <c r="G67" s="28"/>
      <c r="H67" s="27"/>
      <c r="I67" s="28"/>
      <c r="J67" s="27">
        <v>8</v>
      </c>
      <c r="K67" s="29" t="s">
        <v>35</v>
      </c>
      <c r="L67" s="39"/>
      <c r="M67" s="31"/>
      <c r="N67" s="27"/>
      <c r="P67" s="32"/>
      <c r="Q67" s="25"/>
      <c r="R67" s="27"/>
      <c r="S67" s="27"/>
      <c r="T67" s="28"/>
      <c r="U67" s="27"/>
      <c r="V67" s="27"/>
      <c r="W67" s="28"/>
      <c r="X67" s="33"/>
      <c r="Y67" s="32"/>
      <c r="Z67" s="25"/>
      <c r="AA67" s="27"/>
      <c r="AB67" s="28"/>
      <c r="AC67" s="27"/>
      <c r="AD67" s="27"/>
      <c r="AE67" s="33"/>
      <c r="AG67" s="25"/>
      <c r="AH67" s="34"/>
      <c r="AI67" s="27"/>
      <c r="AJ67" s="27"/>
      <c r="AK67" s="27"/>
      <c r="AL67" s="25"/>
      <c r="AM67" s="34"/>
      <c r="AN67" s="27"/>
      <c r="AO67" s="27"/>
      <c r="AP67" s="36"/>
      <c r="AQ67" s="37"/>
      <c r="AR67" s="32"/>
      <c r="AS67" s="25" t="s">
        <v>96</v>
      </c>
      <c r="AT67" s="27" t="s">
        <v>87</v>
      </c>
      <c r="AU67" s="58" t="s">
        <v>97</v>
      </c>
      <c r="AW67" s="25" t="s">
        <v>90</v>
      </c>
      <c r="AX67" s="27" t="s">
        <v>95</v>
      </c>
      <c r="AY67" s="27"/>
      <c r="AZ67" s="32"/>
      <c r="BA67" s="41"/>
    </row>
    <row r="68" spans="1:53" x14ac:dyDescent="0.2">
      <c r="A68" s="25">
        <v>61</v>
      </c>
      <c r="B68" s="26">
        <v>45245</v>
      </c>
      <c r="C68" s="27"/>
      <c r="D68" s="25"/>
      <c r="E68" s="28"/>
      <c r="F68" s="27"/>
      <c r="G68" s="28"/>
      <c r="H68" s="27"/>
      <c r="I68" s="28"/>
      <c r="J68" s="27">
        <v>8</v>
      </c>
      <c r="K68" s="29" t="s">
        <v>35</v>
      </c>
      <c r="L68" s="39"/>
      <c r="M68" s="31"/>
      <c r="N68" s="27"/>
      <c r="P68" s="32"/>
      <c r="Q68" s="25"/>
      <c r="R68" s="27"/>
      <c r="S68" s="27"/>
      <c r="T68" s="28"/>
      <c r="U68" s="27"/>
      <c r="V68" s="27"/>
      <c r="W68" s="28"/>
      <c r="X68" s="33"/>
      <c r="Y68" s="32"/>
      <c r="Z68" s="25"/>
      <c r="AA68" s="27"/>
      <c r="AB68" s="28"/>
      <c r="AC68" s="27"/>
      <c r="AD68" s="27"/>
      <c r="AE68" s="33"/>
      <c r="AG68" s="25"/>
      <c r="AH68" s="34"/>
      <c r="AI68" s="27"/>
      <c r="AJ68" s="27"/>
      <c r="AK68" s="27"/>
      <c r="AL68" s="25"/>
      <c r="AM68" s="34"/>
      <c r="AN68" s="27"/>
      <c r="AO68" s="27"/>
      <c r="AP68" s="36"/>
      <c r="AQ68" s="37"/>
      <c r="AR68" s="32"/>
      <c r="AS68" s="25" t="s">
        <v>96</v>
      </c>
      <c r="AT68" s="27" t="s">
        <v>87</v>
      </c>
      <c r="AU68" s="27"/>
      <c r="AW68" s="25" t="s">
        <v>90</v>
      </c>
      <c r="AX68" s="27" t="s">
        <v>95</v>
      </c>
      <c r="AY68" s="27"/>
      <c r="AZ68" s="32"/>
      <c r="BA68" s="41"/>
    </row>
    <row r="69" spans="1:53" x14ac:dyDescent="0.2">
      <c r="A69" s="25">
        <v>62</v>
      </c>
      <c r="B69" s="26">
        <v>45246</v>
      </c>
      <c r="C69" s="27"/>
      <c r="D69" s="25"/>
      <c r="E69" s="28"/>
      <c r="F69" s="27"/>
      <c r="G69" s="28"/>
      <c r="H69" s="27"/>
      <c r="I69" s="28"/>
      <c r="J69" s="27">
        <v>8</v>
      </c>
      <c r="K69" s="29" t="s">
        <v>35</v>
      </c>
      <c r="L69" s="39"/>
      <c r="M69" s="31"/>
      <c r="N69" s="27"/>
      <c r="P69" s="32"/>
      <c r="Q69" s="25"/>
      <c r="R69" s="27"/>
      <c r="S69" s="27"/>
      <c r="T69" s="28"/>
      <c r="U69" s="27"/>
      <c r="V69" s="27"/>
      <c r="W69" s="28"/>
      <c r="X69" s="33"/>
      <c r="Y69" s="32"/>
      <c r="Z69" s="25"/>
      <c r="AA69" s="27"/>
      <c r="AB69" s="28"/>
      <c r="AC69" s="27"/>
      <c r="AD69" s="27"/>
      <c r="AE69" s="33"/>
      <c r="AG69" s="25"/>
      <c r="AH69" s="34"/>
      <c r="AI69" s="27"/>
      <c r="AJ69" s="27"/>
      <c r="AK69" s="27"/>
      <c r="AL69" s="25"/>
      <c r="AM69" s="34"/>
      <c r="AN69" s="27"/>
      <c r="AO69" s="27"/>
      <c r="AP69" s="36"/>
      <c r="AQ69" s="37"/>
      <c r="AR69" s="32"/>
      <c r="AS69" s="25" t="s">
        <v>96</v>
      </c>
      <c r="AT69" s="27" t="s">
        <v>87</v>
      </c>
      <c r="AU69" s="27"/>
      <c r="AW69" s="25" t="s">
        <v>90</v>
      </c>
      <c r="AX69" s="27" t="s">
        <v>95</v>
      </c>
      <c r="AY69" s="27"/>
      <c r="AZ69" s="32"/>
      <c r="BA69" s="41"/>
    </row>
    <row r="70" spans="1:53" x14ac:dyDescent="0.2">
      <c r="A70" s="25">
        <v>63</v>
      </c>
      <c r="B70" s="26">
        <v>45247</v>
      </c>
      <c r="C70" s="27"/>
      <c r="D70" s="25"/>
      <c r="E70" s="28"/>
      <c r="F70" s="27"/>
      <c r="G70" s="28"/>
      <c r="H70" s="27"/>
      <c r="I70" s="28"/>
      <c r="J70" s="27">
        <v>8</v>
      </c>
      <c r="K70" s="29" t="s">
        <v>35</v>
      </c>
      <c r="L70" s="39"/>
      <c r="M70" s="31"/>
      <c r="N70" s="27"/>
      <c r="P70" s="32"/>
      <c r="Q70" s="25"/>
      <c r="R70" s="27"/>
      <c r="S70" s="27"/>
      <c r="T70" s="28"/>
      <c r="U70" s="27"/>
      <c r="V70" s="27"/>
      <c r="W70" s="28"/>
      <c r="X70" s="33"/>
      <c r="Y70" s="32"/>
      <c r="Z70" s="25"/>
      <c r="AA70" s="27"/>
      <c r="AB70" s="28"/>
      <c r="AC70" s="27"/>
      <c r="AD70" s="27"/>
      <c r="AE70" s="33"/>
      <c r="AG70" s="25"/>
      <c r="AH70" s="34"/>
      <c r="AI70" s="27"/>
      <c r="AJ70" s="27"/>
      <c r="AK70" s="27"/>
      <c r="AL70" s="25"/>
      <c r="AM70" s="34"/>
      <c r="AN70" s="27"/>
      <c r="AO70" s="27"/>
      <c r="AP70" s="36"/>
      <c r="AQ70" s="37"/>
      <c r="AR70" s="32"/>
      <c r="AS70" s="25" t="s">
        <v>96</v>
      </c>
      <c r="AT70" s="27" t="s">
        <v>87</v>
      </c>
      <c r="AU70" s="27"/>
      <c r="AW70" s="25" t="s">
        <v>90</v>
      </c>
      <c r="AX70" s="27" t="s">
        <v>95</v>
      </c>
      <c r="AY70" s="27"/>
      <c r="AZ70" s="32"/>
      <c r="BA70" s="41"/>
    </row>
    <row r="71" spans="1:53" x14ac:dyDescent="0.2">
      <c r="A71" s="25">
        <v>64</v>
      </c>
      <c r="B71" s="26">
        <v>45248</v>
      </c>
      <c r="C71" s="27"/>
      <c r="D71" s="25"/>
      <c r="E71" s="28"/>
      <c r="F71" s="27"/>
      <c r="G71" s="28"/>
      <c r="H71" s="27"/>
      <c r="I71" s="28"/>
      <c r="J71" s="27">
        <v>8</v>
      </c>
      <c r="K71" s="29" t="s">
        <v>35</v>
      </c>
      <c r="L71" s="39"/>
      <c r="M71" s="31"/>
      <c r="N71" s="27"/>
      <c r="P71" s="32"/>
      <c r="Q71" s="25"/>
      <c r="R71" s="27"/>
      <c r="S71" s="27"/>
      <c r="T71" s="28"/>
      <c r="U71" s="27"/>
      <c r="V71" s="27"/>
      <c r="W71" s="28"/>
      <c r="X71" s="33"/>
      <c r="Y71" s="32"/>
      <c r="Z71" s="25"/>
      <c r="AA71" s="27"/>
      <c r="AB71" s="28"/>
      <c r="AC71" s="27"/>
      <c r="AD71" s="27"/>
      <c r="AE71" s="33"/>
      <c r="AG71" s="25"/>
      <c r="AH71" s="34"/>
      <c r="AI71" s="27"/>
      <c r="AJ71" s="27"/>
      <c r="AK71" s="27"/>
      <c r="AL71" s="25"/>
      <c r="AM71" s="34"/>
      <c r="AN71" s="27"/>
      <c r="AO71" s="27"/>
      <c r="AP71" s="36"/>
      <c r="AQ71" s="37"/>
      <c r="AR71" s="32"/>
      <c r="AS71" s="25" t="s">
        <v>96</v>
      </c>
      <c r="AT71" s="27" t="s">
        <v>87</v>
      </c>
      <c r="AU71" s="27"/>
      <c r="AW71" s="25" t="s">
        <v>90</v>
      </c>
      <c r="AX71" s="27" t="s">
        <v>95</v>
      </c>
      <c r="AY71" s="27"/>
      <c r="AZ71" s="32"/>
      <c r="BA71" s="41"/>
    </row>
    <row r="72" spans="1:53" x14ac:dyDescent="0.2">
      <c r="A72" s="25">
        <v>65</v>
      </c>
      <c r="B72" s="26">
        <v>45249</v>
      </c>
      <c r="C72" s="27"/>
      <c r="D72" s="25"/>
      <c r="E72" s="28"/>
      <c r="F72" s="27"/>
      <c r="G72" s="28"/>
      <c r="H72" s="27"/>
      <c r="I72" s="28"/>
      <c r="J72" s="27">
        <v>8</v>
      </c>
      <c r="K72" s="29" t="s">
        <v>35</v>
      </c>
      <c r="L72" s="39"/>
      <c r="M72" s="31"/>
      <c r="N72" s="27"/>
      <c r="P72" s="32"/>
      <c r="Q72" s="25"/>
      <c r="R72" s="27"/>
      <c r="S72" s="27"/>
      <c r="T72" s="28"/>
      <c r="U72" s="27"/>
      <c r="V72" s="27"/>
      <c r="W72" s="28"/>
      <c r="X72" s="33"/>
      <c r="Y72" s="32"/>
      <c r="Z72" s="25"/>
      <c r="AA72" s="27"/>
      <c r="AB72" s="28"/>
      <c r="AC72" s="27"/>
      <c r="AD72" s="27"/>
      <c r="AE72" s="33"/>
      <c r="AG72" s="25"/>
      <c r="AH72" s="34"/>
      <c r="AI72" s="27"/>
      <c r="AJ72" s="27"/>
      <c r="AK72" s="27"/>
      <c r="AL72" s="25"/>
      <c r="AM72" s="34"/>
      <c r="AN72" s="27"/>
      <c r="AO72" s="27"/>
      <c r="AP72" s="36"/>
      <c r="AQ72" s="37"/>
      <c r="AR72" s="32"/>
      <c r="AS72" s="25" t="s">
        <v>96</v>
      </c>
      <c r="AT72" s="27" t="s">
        <v>87</v>
      </c>
      <c r="AU72" s="27"/>
      <c r="AW72" s="25" t="s">
        <v>90</v>
      </c>
      <c r="AX72" s="27" t="s">
        <v>95</v>
      </c>
      <c r="AY72" s="27"/>
      <c r="AZ72" s="32"/>
      <c r="BA72" s="41"/>
    </row>
    <row r="73" spans="1:53" x14ac:dyDescent="0.2">
      <c r="A73" s="25">
        <v>66</v>
      </c>
      <c r="B73" s="26">
        <v>45250</v>
      </c>
      <c r="C73" s="27"/>
      <c r="D73" s="25"/>
      <c r="E73" s="28"/>
      <c r="F73" s="27"/>
      <c r="G73" s="28"/>
      <c r="H73" s="27"/>
      <c r="I73" s="28"/>
      <c r="J73" s="27">
        <v>8</v>
      </c>
      <c r="K73" s="29" t="s">
        <v>35</v>
      </c>
      <c r="L73" s="39"/>
      <c r="M73" s="31"/>
      <c r="N73" s="27"/>
      <c r="P73" s="32"/>
      <c r="Q73" s="25"/>
      <c r="R73" s="27"/>
      <c r="S73" s="27"/>
      <c r="T73" s="28"/>
      <c r="U73" s="27"/>
      <c r="V73" s="27"/>
      <c r="W73" s="28"/>
      <c r="X73" s="33"/>
      <c r="Y73" s="32"/>
      <c r="Z73" s="25"/>
      <c r="AA73" s="27"/>
      <c r="AB73" s="28"/>
      <c r="AC73" s="27"/>
      <c r="AD73" s="27"/>
      <c r="AE73" s="33"/>
      <c r="AG73" s="25"/>
      <c r="AH73" s="34"/>
      <c r="AI73" s="27"/>
      <c r="AJ73" s="27"/>
      <c r="AK73" s="27"/>
      <c r="AL73" s="25"/>
      <c r="AM73" s="34"/>
      <c r="AN73" s="27"/>
      <c r="AO73" s="27"/>
      <c r="AP73" s="36"/>
      <c r="AQ73" s="37"/>
      <c r="AR73" s="32"/>
      <c r="AS73" s="25" t="s">
        <v>96</v>
      </c>
      <c r="AT73" s="27" t="s">
        <v>87</v>
      </c>
      <c r="AU73" s="27"/>
      <c r="AW73" s="25" t="s">
        <v>90</v>
      </c>
      <c r="AX73" s="27" t="s">
        <v>95</v>
      </c>
      <c r="AY73" s="27"/>
      <c r="AZ73" s="32"/>
      <c r="BA73" s="41"/>
    </row>
    <row r="74" spans="1:53" x14ac:dyDescent="0.2">
      <c r="A74" s="25">
        <v>67</v>
      </c>
      <c r="B74" s="26">
        <v>45251</v>
      </c>
      <c r="C74" s="27"/>
      <c r="D74" s="25"/>
      <c r="E74" s="28"/>
      <c r="F74" s="27"/>
      <c r="G74" s="28"/>
      <c r="H74" s="27"/>
      <c r="I74" s="28"/>
      <c r="J74" s="27">
        <v>8</v>
      </c>
      <c r="K74" s="29" t="s">
        <v>35</v>
      </c>
      <c r="L74" s="39"/>
      <c r="M74" s="31"/>
      <c r="N74" s="27"/>
      <c r="P74" s="32"/>
      <c r="Q74" s="25"/>
      <c r="R74" s="27"/>
      <c r="S74" s="27"/>
      <c r="T74" s="28"/>
      <c r="U74" s="27"/>
      <c r="V74" s="27"/>
      <c r="W74" s="28"/>
      <c r="X74" s="33"/>
      <c r="Y74" s="32"/>
      <c r="Z74" s="25"/>
      <c r="AA74" s="27"/>
      <c r="AB74" s="28"/>
      <c r="AC74" s="27"/>
      <c r="AD74" s="27"/>
      <c r="AE74" s="33"/>
      <c r="AG74" s="25"/>
      <c r="AH74" s="34"/>
      <c r="AI74" s="27"/>
      <c r="AJ74" s="27"/>
      <c r="AK74" s="27"/>
      <c r="AL74" s="25"/>
      <c r="AM74" s="34"/>
      <c r="AN74" s="27"/>
      <c r="AO74" s="27"/>
      <c r="AP74" s="36"/>
      <c r="AQ74" s="37"/>
      <c r="AR74" s="32"/>
      <c r="AS74" s="25" t="s">
        <v>96</v>
      </c>
      <c r="AT74" s="27" t="s">
        <v>87</v>
      </c>
      <c r="AU74" s="27"/>
      <c r="AW74" s="25" t="s">
        <v>90</v>
      </c>
      <c r="AX74" s="27" t="s">
        <v>95</v>
      </c>
      <c r="AY74" s="27"/>
      <c r="AZ74" s="32"/>
      <c r="BA74" s="41"/>
    </row>
    <row r="75" spans="1:53" x14ac:dyDescent="0.2">
      <c r="A75" s="25">
        <v>68</v>
      </c>
      <c r="B75" s="26">
        <v>45252</v>
      </c>
      <c r="C75" s="27"/>
      <c r="D75" s="25"/>
      <c r="E75" s="28"/>
      <c r="F75" s="27"/>
      <c r="G75" s="28"/>
      <c r="H75" s="27"/>
      <c r="I75" s="28"/>
      <c r="J75" s="27">
        <v>8</v>
      </c>
      <c r="K75" s="29" t="s">
        <v>35</v>
      </c>
      <c r="L75" s="39"/>
      <c r="M75" s="31"/>
      <c r="N75" s="27"/>
      <c r="P75" s="32"/>
      <c r="Q75" s="25"/>
      <c r="R75" s="27"/>
      <c r="S75" s="27"/>
      <c r="T75" s="28"/>
      <c r="U75" s="27"/>
      <c r="V75" s="27"/>
      <c r="W75" s="28"/>
      <c r="X75" s="33"/>
      <c r="Y75" s="32"/>
      <c r="Z75" s="25"/>
      <c r="AA75" s="27"/>
      <c r="AB75" s="28"/>
      <c r="AC75" s="27"/>
      <c r="AD75" s="27"/>
      <c r="AE75" s="33"/>
      <c r="AG75" s="25"/>
      <c r="AH75" s="34"/>
      <c r="AI75" s="27"/>
      <c r="AJ75" s="27"/>
      <c r="AK75" s="27"/>
      <c r="AL75" s="25"/>
      <c r="AM75" s="34"/>
      <c r="AN75" s="27"/>
      <c r="AO75" s="27"/>
      <c r="AP75" s="36"/>
      <c r="AQ75" s="37"/>
      <c r="AR75" s="32"/>
      <c r="AS75" s="25" t="s">
        <v>96</v>
      </c>
      <c r="AT75" s="27" t="s">
        <v>87</v>
      </c>
      <c r="AU75" s="27"/>
      <c r="AW75" s="25" t="s">
        <v>90</v>
      </c>
      <c r="AX75" s="27" t="s">
        <v>95</v>
      </c>
      <c r="AY75" s="27"/>
      <c r="AZ75" s="32"/>
      <c r="BA75" s="41"/>
    </row>
    <row r="76" spans="1:53" x14ac:dyDescent="0.2">
      <c r="A76" s="25">
        <v>69</v>
      </c>
      <c r="B76" s="26">
        <v>45253</v>
      </c>
      <c r="C76" s="27"/>
      <c r="D76" s="25"/>
      <c r="E76" s="28"/>
      <c r="F76" s="27"/>
      <c r="G76" s="28"/>
      <c r="H76" s="27"/>
      <c r="I76" s="28"/>
      <c r="J76" s="27">
        <v>8</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27"/>
      <c r="AW76" s="25" t="s">
        <v>90</v>
      </c>
      <c r="AX76" s="27" t="s">
        <v>95</v>
      </c>
      <c r="AY76" s="27"/>
      <c r="AZ76" s="32"/>
      <c r="BA76" s="41"/>
    </row>
    <row r="77" spans="1:53" x14ac:dyDescent="0.2">
      <c r="A77" s="25">
        <v>70</v>
      </c>
      <c r="B77" s="26">
        <v>45254</v>
      </c>
      <c r="C77" s="27"/>
      <c r="D77" s="25"/>
      <c r="E77" s="28"/>
      <c r="F77" s="27"/>
      <c r="G77" s="28"/>
      <c r="H77" s="27"/>
      <c r="I77" s="28"/>
      <c r="J77" s="27">
        <v>8</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71</v>
      </c>
      <c r="B78" s="26">
        <v>45255</v>
      </c>
      <c r="C78" s="27"/>
      <c r="D78" s="25"/>
      <c r="E78" s="28"/>
      <c r="F78" s="27"/>
      <c r="G78" s="28"/>
      <c r="H78" s="27"/>
      <c r="I78" s="28"/>
      <c r="J78" s="27">
        <v>8</v>
      </c>
      <c r="K78" s="29" t="s">
        <v>35</v>
      </c>
      <c r="L78" s="39"/>
      <c r="M78" s="31"/>
      <c r="N78" s="27"/>
      <c r="P78" s="32"/>
      <c r="Q78" s="25"/>
      <c r="R78" s="27"/>
      <c r="S78" s="27"/>
      <c r="T78" s="28"/>
      <c r="U78" s="27"/>
      <c r="V78" s="27"/>
      <c r="W78" s="28"/>
      <c r="X78" s="33"/>
      <c r="Y78" s="32"/>
      <c r="Z78" s="25"/>
      <c r="AA78" s="27"/>
      <c r="AB78" s="28"/>
      <c r="AC78" s="27"/>
      <c r="AD78" s="27"/>
      <c r="AE78" s="33"/>
      <c r="AF78" s="32"/>
      <c r="AG78" s="90"/>
      <c r="AH78" s="91"/>
      <c r="AI78" s="27"/>
      <c r="AJ78" s="27"/>
      <c r="AK78" s="28"/>
      <c r="AL78" s="27"/>
      <c r="AM78" s="27"/>
      <c r="AN78" s="27"/>
      <c r="AO78" s="27"/>
      <c r="AP78" s="36"/>
      <c r="AQ78" s="37"/>
      <c r="AS78" s="25"/>
      <c r="AT78" s="27"/>
      <c r="AU78" s="27"/>
      <c r="AW78" s="25" t="s">
        <v>90</v>
      </c>
      <c r="AX78" s="27" t="s">
        <v>95</v>
      </c>
      <c r="AY78" s="27"/>
      <c r="AZ78" s="32"/>
      <c r="BA78" s="41"/>
    </row>
    <row r="79" spans="1:53" x14ac:dyDescent="0.2">
      <c r="A79" s="25">
        <v>72</v>
      </c>
      <c r="B79" s="26">
        <v>45256</v>
      </c>
      <c r="C79" s="27"/>
      <c r="D79" s="25"/>
      <c r="E79" s="28"/>
      <c r="F79" s="27"/>
      <c r="G79" s="28"/>
      <c r="H79" s="27"/>
      <c r="I79" s="28"/>
      <c r="J79" s="27">
        <v>8</v>
      </c>
      <c r="K79" s="29" t="s">
        <v>35</v>
      </c>
      <c r="L79" s="39"/>
      <c r="M79" s="31"/>
      <c r="N79" s="27"/>
      <c r="P79" s="32"/>
      <c r="Q79" s="25"/>
      <c r="R79" s="27"/>
      <c r="S79" s="27"/>
      <c r="T79" s="28"/>
      <c r="U79" s="27"/>
      <c r="V79" s="27"/>
      <c r="W79" s="28"/>
      <c r="X79" s="33"/>
      <c r="Y79" s="32"/>
      <c r="Z79" s="25"/>
      <c r="AA79" s="27"/>
      <c r="AB79" s="28"/>
      <c r="AC79" s="27"/>
      <c r="AD79" s="27"/>
      <c r="AE79" s="33"/>
      <c r="AF79" s="32"/>
      <c r="AG79" s="90"/>
      <c r="AH79" s="91"/>
      <c r="AI79" s="27"/>
      <c r="AJ79" s="27"/>
      <c r="AK79" s="28"/>
      <c r="AL79" s="27"/>
      <c r="AM79" s="27"/>
      <c r="AN79" s="27"/>
      <c r="AO79" s="27"/>
      <c r="AP79" s="36"/>
      <c r="AQ79" s="37"/>
      <c r="AS79" s="25"/>
      <c r="AT79" s="27"/>
      <c r="AU79" s="27"/>
      <c r="AW79" s="25"/>
      <c r="AX79" s="27"/>
      <c r="AY79" s="27"/>
      <c r="AZ79" s="32"/>
      <c r="BA79" s="41"/>
    </row>
    <row r="80" spans="1:53" x14ac:dyDescent="0.2">
      <c r="A80" s="25">
        <v>73</v>
      </c>
      <c r="B80" s="26">
        <v>45257</v>
      </c>
      <c r="C80" s="27"/>
      <c r="D80" s="25"/>
      <c r="E80" s="28"/>
      <c r="F80" s="27"/>
      <c r="G80" s="28"/>
      <c r="H80" s="27"/>
      <c r="I80" s="28"/>
      <c r="J80" s="27">
        <v>8</v>
      </c>
      <c r="K80" s="29" t="s">
        <v>35</v>
      </c>
      <c r="L80" s="39"/>
      <c r="M80" s="31"/>
      <c r="N80" s="27"/>
      <c r="P80" s="32"/>
      <c r="Q80" s="25"/>
      <c r="R80" s="27"/>
      <c r="S80" s="27"/>
      <c r="T80" s="28"/>
      <c r="U80" s="27"/>
      <c r="V80" s="27"/>
      <c r="W80" s="28"/>
      <c r="X80" s="33"/>
      <c r="Y80" s="32"/>
      <c r="Z80" s="25"/>
      <c r="AA80" s="27"/>
      <c r="AB80" s="28"/>
      <c r="AC80" s="27"/>
      <c r="AD80" s="27"/>
      <c r="AE80" s="33"/>
      <c r="AF80" s="32"/>
      <c r="AG80" s="90"/>
      <c r="AH80" s="91"/>
      <c r="AI80" s="27"/>
      <c r="AJ80" s="27"/>
      <c r="AK80" s="28"/>
      <c r="AL80" s="27"/>
      <c r="AM80" s="27"/>
      <c r="AN80" s="27"/>
      <c r="AO80" s="27"/>
      <c r="AP80" s="36"/>
      <c r="AQ80" s="37"/>
      <c r="AS80" s="25"/>
      <c r="AT80" s="27"/>
      <c r="AU80" s="27"/>
      <c r="AW80" s="25"/>
      <c r="AX80" s="27"/>
      <c r="AY80" s="27"/>
      <c r="AZ80" s="32"/>
      <c r="BA80" s="41"/>
    </row>
    <row r="81" spans="1:53" x14ac:dyDescent="0.2">
      <c r="A81" s="25">
        <v>74</v>
      </c>
      <c r="B81" s="26">
        <v>45258</v>
      </c>
      <c r="C81" s="27"/>
      <c r="D81" s="25"/>
      <c r="E81" s="28"/>
      <c r="F81" s="27"/>
      <c r="G81" s="28"/>
      <c r="H81" s="27"/>
      <c r="I81" s="28"/>
      <c r="J81" s="27">
        <v>8</v>
      </c>
      <c r="K81" s="29" t="s">
        <v>35</v>
      </c>
      <c r="L81" s="39"/>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c r="AO81" s="27"/>
      <c r="AP81" s="36"/>
      <c r="AQ81" s="37"/>
      <c r="AS81" s="25"/>
      <c r="AT81" s="27"/>
      <c r="AU81" s="27"/>
      <c r="AW81" s="25"/>
      <c r="AX81" s="27"/>
      <c r="AY81" s="27"/>
      <c r="AZ81" s="32"/>
      <c r="BA81" s="41"/>
    </row>
    <row r="82" spans="1:53" x14ac:dyDescent="0.2">
      <c r="A82" s="25">
        <v>75</v>
      </c>
      <c r="B82" s="26">
        <v>45259</v>
      </c>
      <c r="C82" s="27"/>
      <c r="D82" s="25"/>
      <c r="E82" s="28"/>
      <c r="F82" s="27"/>
      <c r="G82" s="28"/>
      <c r="H82" s="27"/>
      <c r="I82" s="28"/>
      <c r="J82" s="27">
        <v>8</v>
      </c>
      <c r="K82" s="29" t="s">
        <v>35</v>
      </c>
      <c r="L82" s="39"/>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c r="AO82" s="27"/>
      <c r="AP82" s="36"/>
      <c r="AQ82" s="37"/>
      <c r="AR82" s="32"/>
      <c r="AS82" s="25"/>
      <c r="AT82" s="27"/>
      <c r="AU82" s="27"/>
      <c r="AW82" s="25"/>
      <c r="AX82" s="27"/>
      <c r="AY82" s="27"/>
      <c r="AZ82" s="32"/>
      <c r="BA82" s="41"/>
    </row>
    <row r="83" spans="1:53" x14ac:dyDescent="0.2">
      <c r="A83" s="25">
        <v>76</v>
      </c>
      <c r="B83" s="26">
        <v>45260</v>
      </c>
      <c r="C83" s="27"/>
      <c r="D83" s="25"/>
      <c r="E83" s="28"/>
      <c r="F83" s="27"/>
      <c r="G83" s="28"/>
      <c r="H83" s="27"/>
      <c r="I83" s="28"/>
      <c r="J83" s="27">
        <v>8</v>
      </c>
      <c r="K83" s="29" t="s">
        <v>35</v>
      </c>
      <c r="L83" s="39"/>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c r="AO83" s="27"/>
      <c r="AP83" s="36"/>
      <c r="AQ83" s="37"/>
      <c r="AR83" s="32"/>
      <c r="AS83" s="25"/>
      <c r="AT83" s="27"/>
      <c r="AU83" s="27"/>
      <c r="AW83" s="25"/>
      <c r="AX83" s="27"/>
      <c r="AY83" s="27"/>
      <c r="AZ83" s="32"/>
      <c r="BA83" s="41"/>
    </row>
    <row r="84" spans="1:53" x14ac:dyDescent="0.2">
      <c r="A84" s="25">
        <v>77</v>
      </c>
      <c r="B84" s="26">
        <v>45261</v>
      </c>
      <c r="C84" s="27"/>
      <c r="D84" s="25"/>
      <c r="E84" s="28"/>
      <c r="F84" s="27"/>
      <c r="G84" s="28"/>
      <c r="H84" s="27"/>
      <c r="I84" s="28"/>
      <c r="J84" s="27">
        <v>8</v>
      </c>
      <c r="K84" s="29" t="s">
        <v>35</v>
      </c>
      <c r="L84" s="39"/>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c r="AO84" s="27"/>
      <c r="AP84" s="36"/>
      <c r="AQ84" s="37"/>
      <c r="AR84" s="32"/>
      <c r="AS84" s="25"/>
      <c r="AT84" s="27"/>
      <c r="AU84" s="27"/>
      <c r="AW84" s="25"/>
      <c r="AX84" s="27"/>
      <c r="AY84" s="27"/>
      <c r="AZ84" s="32"/>
      <c r="BA84" s="41"/>
    </row>
    <row r="85" spans="1:53" x14ac:dyDescent="0.2">
      <c r="A85" s="25">
        <v>78</v>
      </c>
      <c r="B85" s="26">
        <v>45262</v>
      </c>
      <c r="C85" s="27"/>
      <c r="D85" s="25"/>
      <c r="E85" s="28"/>
      <c r="F85" s="27"/>
      <c r="G85" s="28"/>
      <c r="H85" s="27"/>
      <c r="I85" s="28"/>
      <c r="J85" s="27">
        <v>8</v>
      </c>
      <c r="K85" s="29" t="s">
        <v>35</v>
      </c>
      <c r="L85" s="39"/>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c r="AO85" s="27"/>
      <c r="AP85" s="36"/>
      <c r="AQ85" s="37"/>
      <c r="AR85" s="32"/>
      <c r="AS85" s="25"/>
      <c r="AT85" s="27"/>
      <c r="AU85" s="27"/>
      <c r="AW85" s="25"/>
      <c r="AX85" s="27"/>
      <c r="AY85" s="27"/>
      <c r="AZ85" s="32"/>
      <c r="BA85" s="41"/>
    </row>
    <row r="86" spans="1:53" x14ac:dyDescent="0.2">
      <c r="A86" s="25">
        <v>79</v>
      </c>
      <c r="B86" s="26">
        <v>45263</v>
      </c>
      <c r="C86" s="27"/>
      <c r="D86" s="25"/>
      <c r="E86" s="28"/>
      <c r="F86" s="27"/>
      <c r="G86" s="28"/>
      <c r="H86" s="27"/>
      <c r="I86" s="28"/>
      <c r="J86" s="27">
        <v>8</v>
      </c>
      <c r="K86" s="29" t="s">
        <v>35</v>
      </c>
      <c r="L86" s="39"/>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c r="AO86" s="27"/>
      <c r="AP86" s="36"/>
      <c r="AQ86" s="37"/>
      <c r="AR86" s="32"/>
      <c r="AS86" s="25"/>
      <c r="AT86" s="27"/>
      <c r="AU86" s="27"/>
      <c r="AW86" s="25"/>
      <c r="AX86" s="27"/>
      <c r="AY86" s="27"/>
      <c r="AZ86" s="32"/>
      <c r="BA86" s="41"/>
    </row>
    <row r="87" spans="1:53" x14ac:dyDescent="0.2">
      <c r="A87" s="25">
        <v>80</v>
      </c>
      <c r="B87" s="26">
        <v>45264</v>
      </c>
      <c r="C87" s="27"/>
      <c r="D87" s="25"/>
      <c r="E87" s="28"/>
      <c r="F87" s="27"/>
      <c r="G87" s="28"/>
      <c r="H87" s="27"/>
      <c r="I87" s="28"/>
      <c r="J87" s="27">
        <v>8</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R87" s="32"/>
      <c r="AS87" s="25"/>
      <c r="AT87" s="27"/>
      <c r="AU87" s="27"/>
      <c r="AW87" s="25"/>
      <c r="AX87" s="27"/>
      <c r="AY87" s="27"/>
      <c r="AZ87" s="32"/>
      <c r="BA87" s="41"/>
    </row>
    <row r="88" spans="1:53" x14ac:dyDescent="0.2">
      <c r="A88" s="25">
        <v>81</v>
      </c>
      <c r="B88" s="26">
        <v>45265</v>
      </c>
      <c r="C88" s="27"/>
      <c r="D88" s="25"/>
      <c r="E88" s="28"/>
      <c r="F88" s="27"/>
      <c r="G88" s="28"/>
      <c r="H88" s="27"/>
      <c r="I88" s="28"/>
      <c r="J88" s="27">
        <v>8</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R88" s="32"/>
      <c r="AS88" s="25"/>
      <c r="AT88" s="27"/>
      <c r="AU88" s="27"/>
      <c r="AW88" s="25"/>
      <c r="AX88" s="27"/>
      <c r="AY88" s="27"/>
      <c r="AZ88" s="32"/>
      <c r="BA88" s="41"/>
    </row>
    <row r="89" spans="1:53" x14ac:dyDescent="0.2">
      <c r="A89" s="25">
        <v>82</v>
      </c>
      <c r="B89" s="26">
        <v>45266</v>
      </c>
      <c r="C89" s="27"/>
      <c r="D89" s="25"/>
      <c r="E89" s="28"/>
      <c r="F89" s="27"/>
      <c r="G89" s="28"/>
      <c r="H89" s="27"/>
      <c r="I89" s="28"/>
      <c r="J89" s="27">
        <v>8</v>
      </c>
      <c r="K89" s="29" t="s">
        <v>35</v>
      </c>
      <c r="L89" s="39"/>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R89" s="32"/>
      <c r="AS89" s="25"/>
      <c r="AT89" s="27"/>
      <c r="AU89" s="27"/>
      <c r="AW89" s="25"/>
      <c r="AX89" s="27"/>
      <c r="AY89" s="27"/>
      <c r="AZ89" s="32"/>
      <c r="BA89" s="41"/>
    </row>
    <row r="90" spans="1:53" x14ac:dyDescent="0.2">
      <c r="A90" s="25">
        <v>83</v>
      </c>
      <c r="B90" s="26">
        <v>45267</v>
      </c>
      <c r="C90" s="27"/>
      <c r="D90" s="25"/>
      <c r="E90" s="28"/>
      <c r="F90" s="27"/>
      <c r="G90" s="28"/>
      <c r="H90" s="27"/>
      <c r="I90" s="28"/>
      <c r="J90" s="27">
        <v>8</v>
      </c>
      <c r="K90" s="29" t="s">
        <v>35</v>
      </c>
      <c r="L90" s="39"/>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R90" s="32"/>
      <c r="AS90" s="25"/>
      <c r="AT90" s="27"/>
      <c r="AU90" s="27"/>
      <c r="AW90" s="25"/>
      <c r="AX90" s="27"/>
      <c r="AY90" s="27"/>
      <c r="AZ90" s="32"/>
      <c r="BA90" s="41"/>
    </row>
    <row r="91" spans="1:53" x14ac:dyDescent="0.2">
      <c r="A91" s="25">
        <v>84</v>
      </c>
      <c r="B91" s="26">
        <v>45268</v>
      </c>
      <c r="C91" s="27"/>
      <c r="D91" s="25"/>
      <c r="E91" s="28"/>
      <c r="F91" s="27"/>
      <c r="G91" s="28"/>
      <c r="H91" s="27"/>
      <c r="I91" s="28"/>
      <c r="J91" s="27">
        <v>8</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c r="AT91" s="27"/>
      <c r="AU91" s="27"/>
      <c r="AW91" s="25"/>
      <c r="AX91" s="27"/>
      <c r="AY91" s="27"/>
      <c r="AZ91" s="32"/>
      <c r="BA91" s="41"/>
    </row>
    <row r="92" spans="1:53" x14ac:dyDescent="0.2">
      <c r="A92" s="25">
        <v>85</v>
      </c>
      <c r="B92" s="26">
        <v>45269</v>
      </c>
      <c r="C92" s="27"/>
      <c r="D92" s="25"/>
      <c r="E92" s="28"/>
      <c r="F92" s="27"/>
      <c r="G92" s="28"/>
      <c r="H92" s="27"/>
      <c r="I92" s="28"/>
      <c r="J92" s="27">
        <v>8</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c r="AT92" s="27"/>
      <c r="AU92" s="27"/>
      <c r="AW92" s="25"/>
      <c r="AX92" s="27"/>
      <c r="AY92" s="27"/>
      <c r="AZ92" s="32"/>
      <c r="BA92" s="41"/>
    </row>
    <row r="93" spans="1:53" x14ac:dyDescent="0.2">
      <c r="A93" s="25">
        <v>86</v>
      </c>
      <c r="B93" s="26">
        <v>45270</v>
      </c>
      <c r="C93" s="27"/>
      <c r="D93" s="25"/>
      <c r="E93" s="28"/>
      <c r="F93" s="27"/>
      <c r="G93" s="28"/>
      <c r="H93" s="27"/>
      <c r="I93" s="28"/>
      <c r="J93" s="27">
        <v>8</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c r="AT93" s="27"/>
      <c r="AU93" s="27"/>
      <c r="AW93" s="25"/>
      <c r="AX93" s="27"/>
      <c r="AY93" s="27"/>
      <c r="AZ93" s="32"/>
      <c r="BA93" s="41"/>
    </row>
    <row r="94" spans="1:53" x14ac:dyDescent="0.2">
      <c r="A94" s="25">
        <v>87</v>
      </c>
      <c r="B94" s="26">
        <v>45271</v>
      </c>
      <c r="C94" s="27"/>
      <c r="D94" s="25"/>
      <c r="E94" s="28"/>
      <c r="F94" s="27"/>
      <c r="G94" s="28"/>
      <c r="H94" s="27"/>
      <c r="I94" s="28"/>
      <c r="J94" s="27">
        <v>8</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c r="AT94" s="27"/>
      <c r="AU94" s="27"/>
      <c r="AW94" s="25"/>
      <c r="AX94" s="27"/>
      <c r="AY94" s="27"/>
      <c r="AZ94" s="32"/>
      <c r="BA94" s="41"/>
    </row>
    <row r="95" spans="1:53" x14ac:dyDescent="0.2">
      <c r="A95" s="25">
        <v>88</v>
      </c>
      <c r="B95" s="26">
        <v>45272</v>
      </c>
      <c r="C95" s="27"/>
      <c r="D95" s="25"/>
      <c r="E95" s="28"/>
      <c r="F95" s="27"/>
      <c r="G95" s="28"/>
      <c r="H95" s="27"/>
      <c r="I95" s="28"/>
      <c r="J95" s="27">
        <v>8</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c r="AT95" s="27"/>
      <c r="AU95" s="27"/>
      <c r="AW95" s="25"/>
      <c r="AX95" s="27"/>
      <c r="AY95" s="27"/>
      <c r="AZ95" s="32"/>
      <c r="BA95" s="41"/>
    </row>
    <row r="96" spans="1:53" x14ac:dyDescent="0.2">
      <c r="A96" s="25">
        <v>89</v>
      </c>
      <c r="B96" s="26">
        <v>45273</v>
      </c>
      <c r="C96" s="27"/>
      <c r="D96" s="25"/>
      <c r="E96" s="28"/>
      <c r="F96" s="27"/>
      <c r="G96" s="28"/>
      <c r="H96" s="27"/>
      <c r="I96" s="28"/>
      <c r="J96" s="27">
        <v>8</v>
      </c>
      <c r="K96" s="29" t="s">
        <v>35</v>
      </c>
      <c r="L96" s="39"/>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c r="AT96" s="27"/>
      <c r="AU96" s="27"/>
      <c r="AW96" s="25"/>
      <c r="AX96" s="27"/>
      <c r="AY96" s="27"/>
      <c r="AZ96" s="32"/>
      <c r="BA96" s="41"/>
    </row>
    <row r="97" spans="1:53" x14ac:dyDescent="0.2">
      <c r="A97" s="25">
        <v>90</v>
      </c>
      <c r="B97" s="26">
        <v>45274</v>
      </c>
      <c r="C97" s="27"/>
      <c r="D97" s="25"/>
      <c r="E97" s="28"/>
      <c r="F97" s="27"/>
      <c r="G97" s="28"/>
      <c r="H97" s="27"/>
      <c r="I97" s="28"/>
      <c r="J97" s="27">
        <v>8</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c r="AT97" s="27"/>
      <c r="AU97" s="27"/>
      <c r="AW97" s="25"/>
      <c r="AX97" s="27"/>
      <c r="AY97" s="27"/>
      <c r="AZ97" s="32"/>
      <c r="BA97" s="41"/>
    </row>
    <row r="98" spans="1:53" x14ac:dyDescent="0.2">
      <c r="B98" s="26"/>
    </row>
  </sheetData>
  <mergeCells count="52">
    <mergeCell ref="X11:X18"/>
    <mergeCell ref="AV4:AV6"/>
    <mergeCell ref="AW4:AW6"/>
    <mergeCell ref="AG4:AG5"/>
    <mergeCell ref="X4:X6"/>
    <mergeCell ref="O27:O47"/>
    <mergeCell ref="AR4:AR6"/>
    <mergeCell ref="AS4:AS6"/>
    <mergeCell ref="AT4:AT6"/>
    <mergeCell ref="AU4:AU6"/>
    <mergeCell ref="AH4:AH6"/>
    <mergeCell ref="AI4:AK5"/>
    <mergeCell ref="AL4:AL6"/>
    <mergeCell ref="AM4:AM5"/>
    <mergeCell ref="AN4:AP5"/>
    <mergeCell ref="AQ4:AQ6"/>
    <mergeCell ref="Y4:Y6"/>
    <mergeCell ref="Z4:AB5"/>
    <mergeCell ref="AC4:AD5"/>
    <mergeCell ref="AE4:AE6"/>
    <mergeCell ref="AF4:AF6"/>
    <mergeCell ref="H4:I5"/>
    <mergeCell ref="J4:J6"/>
    <mergeCell ref="K4:K6"/>
    <mergeCell ref="L4:L6"/>
    <mergeCell ref="M4:M6"/>
    <mergeCell ref="N4:N6"/>
    <mergeCell ref="AS1:AV3"/>
    <mergeCell ref="AW1:AZ3"/>
    <mergeCell ref="BA1:BA3"/>
    <mergeCell ref="AG3:AK3"/>
    <mergeCell ref="AM3:AP3"/>
    <mergeCell ref="AG1:AP2"/>
    <mergeCell ref="O4:O6"/>
    <mergeCell ref="P4:P6"/>
    <mergeCell ref="Q4:Q6"/>
    <mergeCell ref="R4:T5"/>
    <mergeCell ref="U4:W5"/>
    <mergeCell ref="AX4:AX6"/>
    <mergeCell ref="AY4:AY6"/>
    <mergeCell ref="AZ4:AZ6"/>
    <mergeCell ref="BA4:BA6"/>
    <mergeCell ref="A4:A6"/>
    <mergeCell ref="B4:B6"/>
    <mergeCell ref="C4:C6"/>
    <mergeCell ref="D4:E5"/>
    <mergeCell ref="F4:G5"/>
    <mergeCell ref="A1:C3"/>
    <mergeCell ref="D1:M3"/>
    <mergeCell ref="N1:P3"/>
    <mergeCell ref="Q1:Y3"/>
    <mergeCell ref="Z1:AF3"/>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114"/>
  <sheetViews>
    <sheetView workbookViewId="0">
      <pane xSplit="1" topLeftCell="B1" activePane="topRight" state="frozen"/>
      <selection pane="topRight" activeCell="M48" sqref="M48"/>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3.1640625" bestFit="1"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ht="23" x14ac:dyDescent="0.2">
      <c r="A1" s="209" t="s">
        <v>0</v>
      </c>
      <c r="B1" s="210"/>
      <c r="C1" s="210"/>
      <c r="D1" s="215" t="s">
        <v>1</v>
      </c>
      <c r="E1" s="215"/>
      <c r="F1" s="215"/>
      <c r="G1" s="215"/>
      <c r="H1" s="215"/>
      <c r="I1" s="215"/>
      <c r="J1" s="215"/>
      <c r="K1" s="215"/>
      <c r="L1" s="215"/>
      <c r="M1" s="215"/>
      <c r="N1" s="218" t="s">
        <v>2</v>
      </c>
      <c r="O1" s="218"/>
      <c r="P1" s="219"/>
      <c r="Q1" s="224" t="s">
        <v>3</v>
      </c>
      <c r="R1" s="225"/>
      <c r="S1" s="225"/>
      <c r="T1" s="225"/>
      <c r="U1" s="225"/>
      <c r="V1" s="225"/>
      <c r="W1" s="225"/>
      <c r="X1" s="225"/>
      <c r="Y1" s="226"/>
      <c r="Z1" s="230" t="s">
        <v>4</v>
      </c>
      <c r="AA1" s="231"/>
      <c r="AB1" s="231"/>
      <c r="AC1" s="231"/>
      <c r="AD1" s="231"/>
      <c r="AE1" s="231"/>
      <c r="AF1" s="232"/>
      <c r="AG1" s="271" t="s">
        <v>5</v>
      </c>
      <c r="AH1" s="271"/>
      <c r="AI1" s="271"/>
      <c r="AJ1" s="271"/>
      <c r="AK1" s="271"/>
      <c r="AL1" s="271"/>
      <c r="AM1" s="271"/>
      <c r="AN1" s="271"/>
      <c r="AO1" s="271"/>
      <c r="AP1" s="271"/>
      <c r="AQ1" s="1"/>
      <c r="AR1" s="2"/>
      <c r="AS1" s="251" t="s">
        <v>6</v>
      </c>
      <c r="AT1" s="252"/>
      <c r="AU1" s="252"/>
      <c r="AV1" s="252"/>
      <c r="AW1" s="257" t="s">
        <v>7</v>
      </c>
      <c r="AX1" s="258"/>
      <c r="AY1" s="258"/>
      <c r="AZ1" s="259"/>
      <c r="BA1" s="266" t="s">
        <v>8</v>
      </c>
    </row>
    <row r="2" spans="1:53" ht="23" x14ac:dyDescent="0.2">
      <c r="A2" s="211"/>
      <c r="B2" s="212"/>
      <c r="C2" s="212"/>
      <c r="D2" s="216"/>
      <c r="E2" s="216"/>
      <c r="F2" s="216"/>
      <c r="G2" s="216"/>
      <c r="H2" s="216"/>
      <c r="I2" s="216"/>
      <c r="J2" s="216"/>
      <c r="K2" s="216"/>
      <c r="L2" s="216"/>
      <c r="M2" s="216"/>
      <c r="N2" s="220"/>
      <c r="O2" s="220"/>
      <c r="P2" s="221"/>
      <c r="Q2" s="227"/>
      <c r="R2" s="228"/>
      <c r="S2" s="228"/>
      <c r="T2" s="228"/>
      <c r="U2" s="228"/>
      <c r="V2" s="228"/>
      <c r="W2" s="228"/>
      <c r="X2" s="228"/>
      <c r="Y2" s="229"/>
      <c r="Z2" s="233"/>
      <c r="AA2" s="234"/>
      <c r="AB2" s="234"/>
      <c r="AC2" s="234"/>
      <c r="AD2" s="234"/>
      <c r="AE2" s="234"/>
      <c r="AF2" s="235"/>
      <c r="AG2" s="272"/>
      <c r="AH2" s="272"/>
      <c r="AI2" s="272"/>
      <c r="AJ2" s="272"/>
      <c r="AK2" s="272"/>
      <c r="AL2" s="272"/>
      <c r="AM2" s="272"/>
      <c r="AN2" s="272"/>
      <c r="AO2" s="272"/>
      <c r="AP2" s="272"/>
      <c r="AQ2" s="3"/>
      <c r="AR2" s="4"/>
      <c r="AS2" s="253"/>
      <c r="AT2" s="254"/>
      <c r="AU2" s="254"/>
      <c r="AV2" s="254"/>
      <c r="AW2" s="260"/>
      <c r="AX2" s="261"/>
      <c r="AY2" s="261"/>
      <c r="AZ2" s="262"/>
      <c r="BA2" s="267"/>
    </row>
    <row r="3" spans="1:53" ht="21" thickBot="1" x14ac:dyDescent="0.25">
      <c r="A3" s="213"/>
      <c r="B3" s="214"/>
      <c r="C3" s="214"/>
      <c r="D3" s="217"/>
      <c r="E3" s="217"/>
      <c r="F3" s="217"/>
      <c r="G3" s="217"/>
      <c r="H3" s="217"/>
      <c r="I3" s="217"/>
      <c r="J3" s="217"/>
      <c r="K3" s="217"/>
      <c r="L3" s="217"/>
      <c r="M3" s="217"/>
      <c r="N3" s="222"/>
      <c r="O3" s="222"/>
      <c r="P3" s="223"/>
      <c r="Q3" s="227"/>
      <c r="R3" s="228"/>
      <c r="S3" s="228"/>
      <c r="T3" s="228"/>
      <c r="U3" s="228"/>
      <c r="V3" s="228"/>
      <c r="W3" s="228"/>
      <c r="X3" s="228"/>
      <c r="Y3" s="229"/>
      <c r="Z3" s="233"/>
      <c r="AA3" s="234"/>
      <c r="AB3" s="234"/>
      <c r="AC3" s="234"/>
      <c r="AD3" s="234"/>
      <c r="AE3" s="234"/>
      <c r="AF3" s="235"/>
      <c r="AG3" s="269" t="s">
        <v>9</v>
      </c>
      <c r="AH3" s="269"/>
      <c r="AI3" s="269"/>
      <c r="AJ3" s="269"/>
      <c r="AK3" s="270"/>
      <c r="AL3" s="5"/>
      <c r="AM3" s="269" t="s">
        <v>10</v>
      </c>
      <c r="AN3" s="269"/>
      <c r="AO3" s="269"/>
      <c r="AP3" s="270"/>
      <c r="AQ3" s="6"/>
      <c r="AR3" s="7"/>
      <c r="AS3" s="255"/>
      <c r="AT3" s="256"/>
      <c r="AU3" s="256"/>
      <c r="AV3" s="256"/>
      <c r="AW3" s="263"/>
      <c r="AX3" s="264"/>
      <c r="AY3" s="264"/>
      <c r="AZ3" s="265"/>
      <c r="BA3" s="268"/>
    </row>
    <row r="4" spans="1:53" x14ac:dyDescent="0.2">
      <c r="A4" s="236" t="s">
        <v>11</v>
      </c>
      <c r="B4" s="239" t="s">
        <v>12</v>
      </c>
      <c r="C4" s="239" t="s">
        <v>13</v>
      </c>
      <c r="D4" s="242" t="s">
        <v>14</v>
      </c>
      <c r="E4" s="243"/>
      <c r="F4" s="246" t="s">
        <v>15</v>
      </c>
      <c r="G4" s="243"/>
      <c r="H4" s="292" t="s">
        <v>16</v>
      </c>
      <c r="I4" s="293"/>
      <c r="J4" s="296" t="s">
        <v>17</v>
      </c>
      <c r="K4" s="299" t="s">
        <v>18</v>
      </c>
      <c r="L4" s="292" t="s">
        <v>19</v>
      </c>
      <c r="M4" s="303" t="s">
        <v>20</v>
      </c>
      <c r="N4" s="248" t="s">
        <v>21</v>
      </c>
      <c r="O4" s="248" t="s">
        <v>19</v>
      </c>
      <c r="P4" s="248" t="s">
        <v>20</v>
      </c>
      <c r="Q4" s="273" t="s">
        <v>22</v>
      </c>
      <c r="R4" s="276" t="s">
        <v>23</v>
      </c>
      <c r="S4" s="276"/>
      <c r="T4" s="277"/>
      <c r="U4" s="280" t="s">
        <v>24</v>
      </c>
      <c r="V4" s="280"/>
      <c r="W4" s="281"/>
      <c r="X4" s="353" t="s">
        <v>19</v>
      </c>
      <c r="Y4" s="330" t="s">
        <v>20</v>
      </c>
      <c r="Z4" s="333" t="s">
        <v>23</v>
      </c>
      <c r="AA4" s="334"/>
      <c r="AB4" s="335"/>
      <c r="AC4" s="339" t="s">
        <v>24</v>
      </c>
      <c r="AD4" s="339"/>
      <c r="AE4" s="339" t="s">
        <v>19</v>
      </c>
      <c r="AF4" s="342" t="s">
        <v>20</v>
      </c>
      <c r="AG4" s="351" t="s">
        <v>25</v>
      </c>
      <c r="AH4" s="318" t="s">
        <v>26</v>
      </c>
      <c r="AI4" s="321" t="s">
        <v>24</v>
      </c>
      <c r="AJ4" s="321"/>
      <c r="AK4" s="321"/>
      <c r="AL4" s="323" t="s">
        <v>27</v>
      </c>
      <c r="AM4" s="325" t="s">
        <v>25</v>
      </c>
      <c r="AN4" s="321" t="s">
        <v>24</v>
      </c>
      <c r="AO4" s="321"/>
      <c r="AP4" s="309"/>
      <c r="AQ4" s="327" t="s">
        <v>19</v>
      </c>
      <c r="AR4" s="309" t="s">
        <v>20</v>
      </c>
      <c r="AS4" s="312" t="s">
        <v>28</v>
      </c>
      <c r="AT4" s="315" t="s">
        <v>29</v>
      </c>
      <c r="AU4" s="315" t="s">
        <v>19</v>
      </c>
      <c r="AV4" s="315" t="s">
        <v>20</v>
      </c>
      <c r="AW4" s="348" t="s">
        <v>30</v>
      </c>
      <c r="AX4" s="284" t="s">
        <v>29</v>
      </c>
      <c r="AY4" s="284" t="s">
        <v>19</v>
      </c>
      <c r="AZ4" s="287" t="s">
        <v>20</v>
      </c>
      <c r="BA4" s="290" t="s">
        <v>31</v>
      </c>
    </row>
    <row r="5" spans="1:53" x14ac:dyDescent="0.2">
      <c r="A5" s="237"/>
      <c r="B5" s="240"/>
      <c r="C5" s="240"/>
      <c r="D5" s="244"/>
      <c r="E5" s="245"/>
      <c r="F5" s="247"/>
      <c r="G5" s="245"/>
      <c r="H5" s="294"/>
      <c r="I5" s="295"/>
      <c r="J5" s="297"/>
      <c r="K5" s="300"/>
      <c r="L5" s="294"/>
      <c r="M5" s="304"/>
      <c r="N5" s="249"/>
      <c r="O5" s="249"/>
      <c r="P5" s="249"/>
      <c r="Q5" s="274"/>
      <c r="R5" s="278"/>
      <c r="S5" s="278"/>
      <c r="T5" s="279"/>
      <c r="U5" s="282"/>
      <c r="V5" s="282"/>
      <c r="W5" s="283"/>
      <c r="X5" s="354"/>
      <c r="Y5" s="331"/>
      <c r="Z5" s="336"/>
      <c r="AA5" s="337"/>
      <c r="AB5" s="338"/>
      <c r="AC5" s="340"/>
      <c r="AD5" s="340"/>
      <c r="AE5" s="340"/>
      <c r="AF5" s="343"/>
      <c r="AG5" s="352"/>
      <c r="AH5" s="319"/>
      <c r="AI5" s="322"/>
      <c r="AJ5" s="322"/>
      <c r="AK5" s="322"/>
      <c r="AL5" s="324"/>
      <c r="AM5" s="326"/>
      <c r="AN5" s="322"/>
      <c r="AO5" s="322"/>
      <c r="AP5" s="310"/>
      <c r="AQ5" s="328"/>
      <c r="AR5" s="310"/>
      <c r="AS5" s="313"/>
      <c r="AT5" s="316"/>
      <c r="AU5" s="316"/>
      <c r="AV5" s="316"/>
      <c r="AW5" s="349"/>
      <c r="AX5" s="285"/>
      <c r="AY5" s="285"/>
      <c r="AZ5" s="288"/>
      <c r="BA5" s="290"/>
    </row>
    <row r="6" spans="1:53" ht="16" thickBot="1" x14ac:dyDescent="0.25">
      <c r="A6" s="238"/>
      <c r="B6" s="241"/>
      <c r="C6" s="241"/>
      <c r="D6" s="8" t="s">
        <v>32</v>
      </c>
      <c r="E6" s="9" t="s">
        <v>33</v>
      </c>
      <c r="F6" s="10" t="s">
        <v>32</v>
      </c>
      <c r="G6" s="9" t="s">
        <v>33</v>
      </c>
      <c r="H6" s="11" t="s">
        <v>32</v>
      </c>
      <c r="I6" s="12" t="s">
        <v>33</v>
      </c>
      <c r="J6" s="298"/>
      <c r="K6" s="301"/>
      <c r="L6" s="302"/>
      <c r="M6" s="305"/>
      <c r="N6" s="250"/>
      <c r="O6" s="250"/>
      <c r="P6" s="250"/>
      <c r="Q6" s="275"/>
      <c r="R6" s="13" t="s">
        <v>32</v>
      </c>
      <c r="S6" s="13" t="s">
        <v>34</v>
      </c>
      <c r="T6" s="14" t="s">
        <v>33</v>
      </c>
      <c r="U6" s="15" t="s">
        <v>32</v>
      </c>
      <c r="V6" s="15" t="s">
        <v>34</v>
      </c>
      <c r="W6" s="16" t="s">
        <v>33</v>
      </c>
      <c r="X6" s="355"/>
      <c r="Y6" s="332"/>
      <c r="Z6" s="17" t="s">
        <v>32</v>
      </c>
      <c r="AA6" s="18" t="s">
        <v>34</v>
      </c>
      <c r="AB6" s="19" t="s">
        <v>33</v>
      </c>
      <c r="AC6" s="20" t="s">
        <v>32</v>
      </c>
      <c r="AD6" s="20" t="s">
        <v>34</v>
      </c>
      <c r="AE6" s="341"/>
      <c r="AF6" s="344"/>
      <c r="AG6" s="21" t="s">
        <v>34</v>
      </c>
      <c r="AH6" s="320"/>
      <c r="AI6" s="22" t="s">
        <v>32</v>
      </c>
      <c r="AJ6" s="22" t="s">
        <v>34</v>
      </c>
      <c r="AK6" s="22" t="s">
        <v>33</v>
      </c>
      <c r="AL6" s="324"/>
      <c r="AM6" s="23" t="s">
        <v>33</v>
      </c>
      <c r="AN6" s="22" t="s">
        <v>32</v>
      </c>
      <c r="AO6" s="22" t="s">
        <v>34</v>
      </c>
      <c r="AP6" s="24" t="s">
        <v>33</v>
      </c>
      <c r="AQ6" s="329"/>
      <c r="AR6" s="311"/>
      <c r="AS6" s="314"/>
      <c r="AT6" s="317"/>
      <c r="AU6" s="317"/>
      <c r="AV6" s="317"/>
      <c r="AW6" s="350"/>
      <c r="AX6" s="286"/>
      <c r="AY6" s="286"/>
      <c r="AZ6" s="289"/>
      <c r="BA6" s="291"/>
    </row>
    <row r="7" spans="1:53" ht="16" thickBot="1" x14ac:dyDescent="0.25">
      <c r="A7" s="25">
        <v>0</v>
      </c>
      <c r="B7" s="26">
        <v>45110</v>
      </c>
      <c r="C7" s="27" t="s">
        <v>117</v>
      </c>
      <c r="D7" s="25"/>
      <c r="E7" s="28"/>
      <c r="F7" s="27"/>
      <c r="G7" s="28"/>
      <c r="H7" s="27"/>
      <c r="I7" s="28"/>
      <c r="J7" s="27">
        <v>0.8</v>
      </c>
      <c r="K7" s="29" t="s">
        <v>35</v>
      </c>
      <c r="L7" s="30" t="s">
        <v>36</v>
      </c>
      <c r="M7" s="31"/>
      <c r="N7" s="27"/>
      <c r="P7" s="32"/>
      <c r="Q7" s="25"/>
      <c r="R7" s="27"/>
      <c r="S7" s="27"/>
      <c r="T7" s="28"/>
      <c r="U7" s="27"/>
      <c r="V7" s="27"/>
      <c r="W7" s="28"/>
      <c r="X7" s="33"/>
      <c r="Y7" s="32"/>
      <c r="Z7" s="25"/>
      <c r="AA7" s="27"/>
      <c r="AB7" s="28"/>
      <c r="AC7" s="27"/>
      <c r="AD7" s="27"/>
      <c r="AE7" s="33"/>
      <c r="AG7" s="25"/>
      <c r="AH7" s="34"/>
      <c r="AI7" s="27"/>
      <c r="AJ7" s="27"/>
      <c r="AK7" s="27"/>
      <c r="AL7" s="25"/>
      <c r="AM7" s="35"/>
      <c r="AN7" s="27"/>
      <c r="AO7" s="27"/>
      <c r="AP7" s="36"/>
      <c r="AQ7" s="37"/>
      <c r="AR7" s="32"/>
      <c r="AS7" s="25"/>
      <c r="AT7" s="27"/>
      <c r="AU7" s="27"/>
      <c r="AW7" s="25"/>
      <c r="AX7" s="27"/>
      <c r="AY7" s="27"/>
      <c r="AZ7" s="32"/>
      <c r="BA7" s="38"/>
    </row>
    <row r="8" spans="1:53" ht="16" thickBot="1" x14ac:dyDescent="0.25">
      <c r="A8" s="25">
        <v>1</v>
      </c>
      <c r="B8" s="26">
        <v>45111</v>
      </c>
      <c r="C8" s="27" t="s">
        <v>117</v>
      </c>
      <c r="D8" s="25"/>
      <c r="E8" s="28"/>
      <c r="F8" s="27"/>
      <c r="G8" s="28"/>
      <c r="H8" s="27"/>
      <c r="I8" s="28"/>
      <c r="J8" s="27">
        <v>0.8</v>
      </c>
      <c r="K8" s="29" t="s">
        <v>35</v>
      </c>
      <c r="L8" s="39"/>
      <c r="M8" s="31"/>
      <c r="N8" s="27"/>
      <c r="P8" s="32"/>
      <c r="Q8" s="40"/>
      <c r="R8" s="27"/>
      <c r="S8" s="27"/>
      <c r="T8" s="28"/>
      <c r="U8" s="27"/>
      <c r="V8" s="27"/>
      <c r="W8" s="28"/>
      <c r="X8" s="33"/>
      <c r="Y8" s="32"/>
      <c r="Z8" s="25"/>
      <c r="AA8" s="27"/>
      <c r="AB8" s="28"/>
      <c r="AC8" s="27"/>
      <c r="AD8" s="27"/>
      <c r="AE8" s="33"/>
      <c r="AG8" s="25"/>
      <c r="AH8" s="34"/>
      <c r="AI8" s="27"/>
      <c r="AJ8" s="27"/>
      <c r="AK8" s="27"/>
      <c r="AL8" s="25"/>
      <c r="AM8" s="34"/>
      <c r="AN8" s="27"/>
      <c r="AO8" s="27"/>
      <c r="AP8" s="36"/>
      <c r="AQ8" s="37"/>
      <c r="AR8" s="32"/>
      <c r="AS8" s="25"/>
      <c r="AT8" s="27"/>
      <c r="AU8" s="27"/>
      <c r="AW8" s="25"/>
      <c r="AX8" s="27"/>
      <c r="AY8" s="27"/>
      <c r="AZ8" s="32"/>
      <c r="BA8" s="41"/>
    </row>
    <row r="9" spans="1:53" ht="16" thickBot="1" x14ac:dyDescent="0.25">
      <c r="A9" s="25">
        <v>2</v>
      </c>
      <c r="B9" s="26">
        <v>45112</v>
      </c>
      <c r="C9" s="27" t="s">
        <v>117</v>
      </c>
      <c r="D9" s="25"/>
      <c r="E9" s="28"/>
      <c r="F9" s="27"/>
      <c r="G9" s="28"/>
      <c r="H9" s="27"/>
      <c r="I9" s="28"/>
      <c r="J9" s="27">
        <v>0.8</v>
      </c>
      <c r="K9" s="29" t="s">
        <v>35</v>
      </c>
      <c r="L9" s="39"/>
      <c r="M9" s="31"/>
      <c r="N9" s="27"/>
      <c r="O9" s="42"/>
      <c r="Q9" s="43" t="s">
        <v>37</v>
      </c>
      <c r="R9" s="27"/>
      <c r="S9" s="27"/>
      <c r="T9" s="28"/>
      <c r="U9" s="27"/>
      <c r="V9" s="27"/>
      <c r="W9" s="28"/>
      <c r="X9" s="33"/>
      <c r="Y9" s="32"/>
      <c r="Z9" s="25"/>
      <c r="AA9" s="27"/>
      <c r="AB9" s="28"/>
      <c r="AC9" s="27"/>
      <c r="AD9" s="27"/>
      <c r="AE9" s="33"/>
      <c r="AG9" s="25"/>
      <c r="AH9" s="34"/>
      <c r="AI9" s="27"/>
      <c r="AJ9" s="27"/>
      <c r="AK9" s="27"/>
      <c r="AL9" s="25"/>
      <c r="AM9" s="34"/>
      <c r="AN9" s="27"/>
      <c r="AO9" s="27"/>
      <c r="AP9" s="36"/>
      <c r="AQ9" s="37"/>
      <c r="AR9" s="32"/>
      <c r="AS9" s="25"/>
      <c r="AT9" s="27"/>
      <c r="AU9" s="27"/>
      <c r="AW9" s="25"/>
      <c r="AX9" s="27"/>
      <c r="AY9" s="27"/>
      <c r="AZ9" s="32"/>
      <c r="BA9" s="41"/>
    </row>
    <row r="10" spans="1:53" ht="16" thickBot="1" x14ac:dyDescent="0.25">
      <c r="A10" s="25">
        <v>3</v>
      </c>
      <c r="B10" s="26">
        <v>45113</v>
      </c>
      <c r="C10" s="27" t="s">
        <v>117</v>
      </c>
      <c r="D10" s="25"/>
      <c r="E10" s="28"/>
      <c r="F10" s="27"/>
      <c r="G10" s="28"/>
      <c r="H10" s="27"/>
      <c r="I10" s="28"/>
      <c r="J10" s="27">
        <v>1.2</v>
      </c>
      <c r="K10" s="29" t="s">
        <v>35</v>
      </c>
      <c r="L10" s="44" t="s">
        <v>38</v>
      </c>
      <c r="M10" s="31" t="s">
        <v>39</v>
      </c>
      <c r="N10" s="27" t="s">
        <v>40</v>
      </c>
      <c r="O10" s="45" t="s">
        <v>41</v>
      </c>
      <c r="P10" s="46"/>
      <c r="Q10" s="25"/>
      <c r="R10" s="27"/>
      <c r="S10" s="27"/>
      <c r="T10" s="28"/>
      <c r="U10" s="27">
        <v>5</v>
      </c>
      <c r="V10" s="27"/>
      <c r="W10" s="28">
        <v>5</v>
      </c>
      <c r="X10" s="47" t="s">
        <v>43</v>
      </c>
      <c r="Y10" s="32" t="s">
        <v>44</v>
      </c>
      <c r="Z10" s="25"/>
      <c r="AA10" s="27"/>
      <c r="AB10" s="28"/>
      <c r="AC10" s="27">
        <v>5</v>
      </c>
      <c r="AD10" s="27"/>
      <c r="AE10" s="48" t="s">
        <v>45</v>
      </c>
      <c r="AG10" s="25"/>
      <c r="AH10" s="34"/>
      <c r="AI10" s="27"/>
      <c r="AJ10" s="27"/>
      <c r="AK10" s="27"/>
      <c r="AL10" s="25"/>
      <c r="AM10" s="34"/>
      <c r="AN10" s="27"/>
      <c r="AO10" s="27"/>
      <c r="AP10" s="36"/>
      <c r="AQ10" s="37"/>
      <c r="AR10" s="32"/>
      <c r="AS10" s="25"/>
      <c r="AT10" s="27"/>
      <c r="AU10" s="27"/>
      <c r="AW10" s="25"/>
      <c r="AX10" s="27"/>
      <c r="AY10" s="27"/>
      <c r="AZ10" s="32"/>
      <c r="BA10" s="41"/>
    </row>
    <row r="11" spans="1:53" x14ac:dyDescent="0.2">
      <c r="A11" s="25">
        <v>4</v>
      </c>
      <c r="B11" s="26">
        <v>45114</v>
      </c>
      <c r="C11" s="27" t="s">
        <v>117</v>
      </c>
      <c r="D11" s="25"/>
      <c r="E11" s="28"/>
      <c r="F11" s="27"/>
      <c r="G11" s="28"/>
      <c r="H11" s="27"/>
      <c r="I11" s="28"/>
      <c r="J11" s="27">
        <v>1.2</v>
      </c>
      <c r="K11" s="29" t="s">
        <v>35</v>
      </c>
      <c r="L11" s="39"/>
      <c r="M11" s="31"/>
      <c r="N11" s="27" t="s">
        <v>40</v>
      </c>
      <c r="O11" t="s">
        <v>46</v>
      </c>
      <c r="P11" s="32"/>
      <c r="Q11" s="25"/>
      <c r="R11" s="27"/>
      <c r="S11" s="27"/>
      <c r="T11" s="28"/>
      <c r="U11" s="27">
        <v>5</v>
      </c>
      <c r="V11" s="27"/>
      <c r="W11" s="28">
        <v>5</v>
      </c>
      <c r="X11" s="345" t="s">
        <v>47</v>
      </c>
      <c r="Y11" s="32"/>
      <c r="Z11" s="25"/>
      <c r="AA11" s="27"/>
      <c r="AB11" s="28"/>
      <c r="AC11" s="27">
        <v>5</v>
      </c>
      <c r="AD11" s="27"/>
      <c r="AE11" s="33"/>
      <c r="AG11" s="25"/>
      <c r="AH11" s="34"/>
      <c r="AI11" s="27"/>
      <c r="AJ11" s="27"/>
      <c r="AK11" s="27"/>
      <c r="AL11" s="25"/>
      <c r="AM11" s="34"/>
      <c r="AN11" s="27"/>
      <c r="AO11" s="27"/>
      <c r="AP11" s="36"/>
      <c r="AQ11" s="37"/>
      <c r="AR11" s="32"/>
      <c r="AS11" s="25"/>
      <c r="AT11" s="27"/>
      <c r="AU11" s="27"/>
      <c r="AW11" s="25"/>
      <c r="AX11" s="27"/>
      <c r="AY11" s="27"/>
      <c r="AZ11" s="32"/>
      <c r="BA11" s="41"/>
    </row>
    <row r="12" spans="1:53" x14ac:dyDescent="0.2">
      <c r="A12" s="25">
        <v>5</v>
      </c>
      <c r="B12" s="26">
        <v>45115</v>
      </c>
      <c r="C12" s="27" t="s">
        <v>186</v>
      </c>
      <c r="D12" s="25"/>
      <c r="E12" s="28"/>
      <c r="F12" s="27"/>
      <c r="G12" s="28"/>
      <c r="H12" s="27"/>
      <c r="I12" s="28"/>
      <c r="J12" s="27">
        <v>1.2</v>
      </c>
      <c r="K12" s="29" t="s">
        <v>35</v>
      </c>
      <c r="L12" s="39"/>
      <c r="M12" s="31"/>
      <c r="N12" s="27" t="s">
        <v>40</v>
      </c>
      <c r="P12" s="32"/>
      <c r="Q12" s="25"/>
      <c r="R12" s="27"/>
      <c r="S12" s="27"/>
      <c r="T12" s="28"/>
      <c r="U12" s="27">
        <v>5</v>
      </c>
      <c r="V12" s="27"/>
      <c r="W12" s="28">
        <v>5</v>
      </c>
      <c r="X12" s="346"/>
      <c r="Y12" s="32"/>
      <c r="Z12" s="25"/>
      <c r="AA12" s="27"/>
      <c r="AB12" s="28"/>
      <c r="AC12" s="27">
        <v>5</v>
      </c>
      <c r="AD12" s="27"/>
      <c r="AE12" s="33"/>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6</v>
      </c>
      <c r="B13" s="26">
        <v>45116</v>
      </c>
      <c r="C13" s="27"/>
      <c r="D13" s="25"/>
      <c r="E13" s="28"/>
      <c r="F13" s="27"/>
      <c r="G13" s="28"/>
      <c r="H13" s="27"/>
      <c r="I13" s="28"/>
      <c r="J13" s="27">
        <v>1.2</v>
      </c>
      <c r="K13" s="29" t="s">
        <v>35</v>
      </c>
      <c r="L13" s="39"/>
      <c r="M13" s="31"/>
      <c r="N13" s="27" t="s">
        <v>40</v>
      </c>
      <c r="P13" s="32"/>
      <c r="Q13" s="25"/>
      <c r="R13" s="27"/>
      <c r="S13" s="27"/>
      <c r="T13" s="28"/>
      <c r="U13" s="27">
        <v>5</v>
      </c>
      <c r="V13" s="27"/>
      <c r="W13" s="28">
        <v>5</v>
      </c>
      <c r="X13" s="346"/>
      <c r="Y13" s="32"/>
      <c r="Z13" s="25"/>
      <c r="AA13" s="27"/>
      <c r="AB13" s="28"/>
      <c r="AC13" s="27">
        <v>5</v>
      </c>
      <c r="AD13" s="27"/>
      <c r="AE13" s="33"/>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7</v>
      </c>
      <c r="B14" s="26">
        <v>45117</v>
      </c>
      <c r="C14" s="27" t="s">
        <v>117</v>
      </c>
      <c r="D14" s="25"/>
      <c r="E14" s="28"/>
      <c r="F14" s="27"/>
      <c r="G14" s="28"/>
      <c r="H14" s="27"/>
      <c r="I14" s="28"/>
      <c r="J14" s="27">
        <v>1.2</v>
      </c>
      <c r="K14" s="29" t="s">
        <v>35</v>
      </c>
      <c r="L14" s="39"/>
      <c r="M14" s="31"/>
      <c r="N14" s="27" t="s">
        <v>40</v>
      </c>
      <c r="P14" s="32"/>
      <c r="Q14" s="25"/>
      <c r="R14" s="27"/>
      <c r="S14" s="27"/>
      <c r="T14" s="28"/>
      <c r="U14" s="27">
        <v>5</v>
      </c>
      <c r="V14" s="27"/>
      <c r="W14" s="28">
        <v>5</v>
      </c>
      <c r="X14" s="346"/>
      <c r="Y14" s="32"/>
      <c r="Z14" s="25"/>
      <c r="AA14" s="27"/>
      <c r="AB14" s="28"/>
      <c r="AC14" s="27">
        <v>5</v>
      </c>
      <c r="AD14" s="27"/>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8</v>
      </c>
      <c r="B15" s="26">
        <v>45118</v>
      </c>
      <c r="C15" s="27" t="s">
        <v>117</v>
      </c>
      <c r="D15" s="25"/>
      <c r="E15" s="28"/>
      <c r="F15" s="27"/>
      <c r="G15" s="28"/>
      <c r="H15" s="27"/>
      <c r="I15" s="28"/>
      <c r="J15" s="27">
        <v>1.2</v>
      </c>
      <c r="K15" s="29" t="s">
        <v>35</v>
      </c>
      <c r="L15" s="39"/>
      <c r="M15" s="31"/>
      <c r="N15" s="27" t="s">
        <v>40</v>
      </c>
      <c r="P15" s="32"/>
      <c r="Q15" s="25"/>
      <c r="R15" s="27"/>
      <c r="S15" s="27"/>
      <c r="T15" s="28"/>
      <c r="U15" s="27">
        <v>5</v>
      </c>
      <c r="V15" s="27"/>
      <c r="W15" s="28">
        <v>5</v>
      </c>
      <c r="X15" s="346"/>
      <c r="Y15" s="32"/>
      <c r="Z15" s="25"/>
      <c r="AA15" s="27"/>
      <c r="AB15" s="28"/>
      <c r="AC15" s="27">
        <v>5</v>
      </c>
      <c r="AD15" s="27"/>
      <c r="AE15" s="33"/>
      <c r="AG15" s="25"/>
      <c r="AH15" s="34"/>
      <c r="AI15" s="27"/>
      <c r="AJ15" s="27"/>
      <c r="AK15" s="27"/>
      <c r="AL15" s="25"/>
      <c r="AM15" s="34"/>
      <c r="AN15" s="27"/>
      <c r="AO15" s="27"/>
      <c r="AP15" s="36"/>
      <c r="AQ15" s="37"/>
      <c r="AR15" s="32"/>
      <c r="AS15" s="25"/>
      <c r="AT15" s="27"/>
      <c r="AU15" s="27"/>
      <c r="AW15" s="25"/>
      <c r="AX15" s="27"/>
      <c r="AY15" s="27"/>
      <c r="AZ15" s="32"/>
      <c r="BA15" s="41"/>
    </row>
    <row r="16" spans="1:53" ht="16" thickBot="1" x14ac:dyDescent="0.25">
      <c r="A16" s="25">
        <v>9</v>
      </c>
      <c r="B16" s="26">
        <v>45119</v>
      </c>
      <c r="C16" s="27" t="s">
        <v>117</v>
      </c>
      <c r="D16" s="25"/>
      <c r="E16" s="28"/>
      <c r="F16" s="27"/>
      <c r="G16" s="28"/>
      <c r="H16" s="27"/>
      <c r="I16" s="28"/>
      <c r="J16" s="27">
        <v>1.2</v>
      </c>
      <c r="K16" s="29" t="s">
        <v>35</v>
      </c>
      <c r="L16" s="39"/>
      <c r="M16" s="31"/>
      <c r="N16" s="27" t="s">
        <v>40</v>
      </c>
      <c r="P16" s="32"/>
      <c r="Q16" s="25"/>
      <c r="R16" s="27"/>
      <c r="S16" s="27"/>
      <c r="T16" s="28"/>
      <c r="U16" s="27">
        <v>5</v>
      </c>
      <c r="V16" s="27"/>
      <c r="W16" s="28">
        <v>5</v>
      </c>
      <c r="X16" s="346"/>
      <c r="Y16" s="32"/>
      <c r="Z16" s="25"/>
      <c r="AA16" s="27"/>
      <c r="AB16" s="28"/>
      <c r="AC16" s="27">
        <v>5</v>
      </c>
      <c r="AD16" s="27"/>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10</v>
      </c>
      <c r="B17" s="26">
        <v>45120</v>
      </c>
      <c r="C17" s="27" t="s">
        <v>117</v>
      </c>
      <c r="D17" s="25"/>
      <c r="E17" s="28"/>
      <c r="F17" s="27"/>
      <c r="G17" s="28"/>
      <c r="H17" s="27"/>
      <c r="I17" s="28"/>
      <c r="J17" s="27">
        <v>1.2</v>
      </c>
      <c r="K17" s="29" t="s">
        <v>35</v>
      </c>
      <c r="L17" s="39"/>
      <c r="M17" s="31"/>
      <c r="N17" s="27" t="s">
        <v>40</v>
      </c>
      <c r="O17" s="49"/>
      <c r="P17" s="32"/>
      <c r="Q17" s="25"/>
      <c r="R17" s="27"/>
      <c r="S17" s="27"/>
      <c r="T17" s="28"/>
      <c r="U17" s="27">
        <v>5</v>
      </c>
      <c r="V17" s="27"/>
      <c r="W17" s="28">
        <v>5</v>
      </c>
      <c r="X17" s="346"/>
      <c r="Y17" s="32"/>
      <c r="Z17" s="25"/>
      <c r="AA17" s="27"/>
      <c r="AB17" s="28"/>
      <c r="AC17" s="27">
        <v>10</v>
      </c>
      <c r="AD17" s="27"/>
      <c r="AE17" s="50"/>
      <c r="AF17" s="51"/>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11</v>
      </c>
      <c r="B18" s="26">
        <v>45121</v>
      </c>
      <c r="C18" s="27" t="s">
        <v>140</v>
      </c>
      <c r="D18" s="25"/>
      <c r="E18" s="28"/>
      <c r="F18" s="27"/>
      <c r="G18" s="28"/>
      <c r="H18" s="27"/>
      <c r="I18" s="28"/>
      <c r="J18" s="27">
        <v>1.2</v>
      </c>
      <c r="K18" s="29" t="s">
        <v>35</v>
      </c>
      <c r="L18" s="52"/>
      <c r="M18" s="31"/>
      <c r="N18" s="27" t="s">
        <v>40</v>
      </c>
      <c r="P18" s="32"/>
      <c r="Q18" s="25"/>
      <c r="R18" s="27"/>
      <c r="S18" s="27"/>
      <c r="T18" s="28"/>
      <c r="U18" s="27">
        <v>5</v>
      </c>
      <c r="V18" s="27"/>
      <c r="W18" s="28">
        <v>5</v>
      </c>
      <c r="X18" s="347"/>
      <c r="Y18" s="32"/>
      <c r="Z18" s="25"/>
      <c r="AA18" s="27"/>
      <c r="AB18" s="28"/>
      <c r="AC18" s="27">
        <v>10</v>
      </c>
      <c r="AD18" s="27"/>
      <c r="AE18" s="33"/>
      <c r="AF18" s="46"/>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12</v>
      </c>
      <c r="B19" s="26">
        <v>45122</v>
      </c>
      <c r="C19" s="27" t="s">
        <v>140</v>
      </c>
      <c r="D19" s="25"/>
      <c r="E19" s="28"/>
      <c r="F19" s="27"/>
      <c r="G19" s="28"/>
      <c r="H19" s="27"/>
      <c r="I19" s="28"/>
      <c r="J19" s="27">
        <v>1.2</v>
      </c>
      <c r="K19" s="29" t="s">
        <v>35</v>
      </c>
      <c r="L19" s="53"/>
      <c r="M19" s="31"/>
      <c r="N19" s="27" t="s">
        <v>40</v>
      </c>
      <c r="P19" s="32"/>
      <c r="Q19" s="25"/>
      <c r="R19" s="27"/>
      <c r="S19" s="27"/>
      <c r="T19" s="28"/>
      <c r="U19" s="27">
        <v>5</v>
      </c>
      <c r="V19" s="27"/>
      <c r="W19" s="28">
        <v>5</v>
      </c>
      <c r="X19" s="54" t="s">
        <v>49</v>
      </c>
      <c r="Y19" s="32"/>
      <c r="Z19" s="25"/>
      <c r="AA19" s="27"/>
      <c r="AB19" s="28"/>
      <c r="AC19" s="27">
        <v>15</v>
      </c>
      <c r="AD19" s="27"/>
      <c r="AE19" s="33"/>
      <c r="AG19" s="25"/>
      <c r="AH19" s="34"/>
      <c r="AI19" s="27"/>
      <c r="AJ19" s="27"/>
      <c r="AK19" s="27"/>
      <c r="AL19" s="25"/>
      <c r="AM19" s="34"/>
      <c r="AN19" s="27"/>
      <c r="AO19" s="27"/>
      <c r="AP19" s="36"/>
      <c r="AQ19" s="37"/>
      <c r="AR19" s="32"/>
      <c r="AS19" s="25"/>
      <c r="AT19" s="27"/>
      <c r="AU19" s="27"/>
      <c r="AW19" s="25"/>
      <c r="AX19" s="27"/>
      <c r="AY19" s="27"/>
      <c r="AZ19" s="32"/>
      <c r="BA19" s="41"/>
    </row>
    <row r="20" spans="1:53" ht="16" thickBot="1" x14ac:dyDescent="0.25">
      <c r="A20" s="25">
        <v>13</v>
      </c>
      <c r="B20" s="26">
        <v>45123</v>
      </c>
      <c r="C20" s="27" t="s">
        <v>140</v>
      </c>
      <c r="D20" s="25"/>
      <c r="E20" s="28"/>
      <c r="F20" s="27"/>
      <c r="G20" s="28"/>
      <c r="H20" s="27"/>
      <c r="I20" s="28"/>
      <c r="J20" s="27">
        <v>1.2</v>
      </c>
      <c r="K20" s="29" t="s">
        <v>35</v>
      </c>
      <c r="L20" s="39"/>
      <c r="M20" s="31"/>
      <c r="N20" s="27" t="s">
        <v>40</v>
      </c>
      <c r="P20" s="32"/>
      <c r="Q20" s="25"/>
      <c r="R20" s="27"/>
      <c r="S20" s="27"/>
      <c r="T20" s="28"/>
      <c r="U20" s="27">
        <v>1</v>
      </c>
      <c r="V20" s="27"/>
      <c r="W20" s="28">
        <v>1</v>
      </c>
      <c r="X20" s="33">
        <v>1</v>
      </c>
      <c r="Y20" s="32"/>
      <c r="Z20" s="55"/>
      <c r="AA20" s="56"/>
      <c r="AB20" s="57"/>
      <c r="AC20" s="27">
        <v>15</v>
      </c>
      <c r="AD20" s="27"/>
      <c r="AE20" s="33"/>
      <c r="AG20" s="25"/>
      <c r="AH20" s="34"/>
      <c r="AI20" s="27"/>
      <c r="AJ20" s="27"/>
      <c r="AK20" s="27"/>
      <c r="AL20" s="25"/>
      <c r="AM20" s="34"/>
      <c r="AN20" s="27"/>
      <c r="AO20" s="27"/>
      <c r="AP20" s="36"/>
      <c r="AQ20" s="37"/>
      <c r="AR20" s="32"/>
      <c r="AS20" s="131" t="s">
        <v>51</v>
      </c>
      <c r="AT20" s="132" t="s">
        <v>52</v>
      </c>
      <c r="AU20" s="133" t="s">
        <v>53</v>
      </c>
      <c r="AW20" s="25"/>
      <c r="AX20" s="27"/>
      <c r="AY20" s="27"/>
      <c r="AZ20" s="32"/>
      <c r="BA20" s="41"/>
    </row>
    <row r="21" spans="1:53" ht="16" thickBot="1" x14ac:dyDescent="0.25">
      <c r="A21" s="25">
        <v>14</v>
      </c>
      <c r="B21" s="26">
        <v>45124</v>
      </c>
      <c r="C21" s="27" t="s">
        <v>140</v>
      </c>
      <c r="D21" s="25"/>
      <c r="E21" s="28"/>
      <c r="F21" s="27"/>
      <c r="G21" s="28"/>
      <c r="H21" s="27"/>
      <c r="I21" s="28"/>
      <c r="J21" s="27">
        <v>1.2</v>
      </c>
      <c r="K21" s="29" t="s">
        <v>35</v>
      </c>
      <c r="L21" s="39"/>
      <c r="M21" s="31"/>
      <c r="N21" s="27" t="s">
        <v>40</v>
      </c>
      <c r="P21" s="32"/>
      <c r="Q21" s="25"/>
      <c r="R21" s="27"/>
      <c r="S21" s="27"/>
      <c r="T21" s="28"/>
      <c r="U21" s="27">
        <v>1</v>
      </c>
      <c r="V21" s="27"/>
      <c r="W21" s="27">
        <v>1</v>
      </c>
      <c r="X21" s="33"/>
      <c r="Y21" s="32"/>
      <c r="Z21" s="59"/>
      <c r="AA21" s="60"/>
      <c r="AB21" s="61"/>
      <c r="AC21" s="27">
        <v>15</v>
      </c>
      <c r="AD21" s="27"/>
      <c r="AE21" s="33"/>
      <c r="AG21" s="25"/>
      <c r="AH21" s="34"/>
      <c r="AI21" s="27"/>
      <c r="AJ21" s="27"/>
      <c r="AK21" s="27"/>
      <c r="AL21" s="25"/>
      <c r="AM21" s="34"/>
      <c r="AN21" s="27"/>
      <c r="AO21" s="27"/>
      <c r="AP21" s="36"/>
      <c r="AQ21" s="37"/>
      <c r="AR21" s="32"/>
      <c r="AS21" s="131" t="s">
        <v>51</v>
      </c>
      <c r="AT21" s="132" t="s">
        <v>52</v>
      </c>
      <c r="AU21" s="134"/>
      <c r="AW21" s="25"/>
      <c r="AX21" s="27"/>
      <c r="AY21" s="27"/>
      <c r="AZ21" s="32"/>
      <c r="BA21" s="62"/>
    </row>
    <row r="22" spans="1:53" ht="16" thickBot="1" x14ac:dyDescent="0.25">
      <c r="A22" s="25">
        <v>15</v>
      </c>
      <c r="B22" s="26">
        <v>45125</v>
      </c>
      <c r="C22" s="27" t="s">
        <v>140</v>
      </c>
      <c r="D22" s="25"/>
      <c r="E22" s="28"/>
      <c r="F22" s="27"/>
      <c r="G22" s="28"/>
      <c r="H22" s="27"/>
      <c r="I22" s="28"/>
      <c r="J22" s="27">
        <v>1.2</v>
      </c>
      <c r="K22" s="29" t="s">
        <v>35</v>
      </c>
      <c r="L22" s="39"/>
      <c r="M22" s="31"/>
      <c r="N22" s="27" t="s">
        <v>40</v>
      </c>
      <c r="P22" s="32"/>
      <c r="Q22" s="25"/>
      <c r="R22" s="27"/>
      <c r="S22" s="27"/>
      <c r="T22" s="28"/>
      <c r="U22" s="27">
        <v>1</v>
      </c>
      <c r="V22" s="27"/>
      <c r="W22" s="28">
        <v>1</v>
      </c>
      <c r="X22" s="33"/>
      <c r="Y22" s="32"/>
      <c r="Z22" s="25"/>
      <c r="AA22" s="27"/>
      <c r="AB22" s="28"/>
      <c r="AC22" s="27">
        <v>15</v>
      </c>
      <c r="AD22" s="27"/>
      <c r="AE22" s="33"/>
      <c r="AG22" s="25"/>
      <c r="AH22" s="34"/>
      <c r="AI22" s="27"/>
      <c r="AJ22" s="27"/>
      <c r="AK22" s="27"/>
      <c r="AL22" s="25"/>
      <c r="AM22" s="34"/>
      <c r="AN22" s="27"/>
      <c r="AO22" s="27"/>
      <c r="AP22" s="36"/>
      <c r="AQ22" s="37"/>
      <c r="AR22" s="46"/>
      <c r="AS22" s="131" t="s">
        <v>57</v>
      </c>
      <c r="AT22" s="132" t="s">
        <v>52</v>
      </c>
      <c r="AU22" s="133" t="s">
        <v>58</v>
      </c>
      <c r="AW22" s="25"/>
      <c r="AX22" s="27"/>
      <c r="AY22" s="27"/>
      <c r="AZ22" s="32"/>
      <c r="BA22" s="41"/>
    </row>
    <row r="23" spans="1:53" ht="16" thickBot="1" x14ac:dyDescent="0.25">
      <c r="A23" s="25">
        <v>16</v>
      </c>
      <c r="B23" s="26">
        <v>45126</v>
      </c>
      <c r="C23" s="27" t="s">
        <v>140</v>
      </c>
      <c r="D23" s="25"/>
      <c r="E23" s="28"/>
      <c r="F23" s="27"/>
      <c r="G23" s="28"/>
      <c r="H23" s="27"/>
      <c r="I23" s="28"/>
      <c r="J23" s="27">
        <v>1.2</v>
      </c>
      <c r="K23" s="29" t="s">
        <v>35</v>
      </c>
      <c r="L23" s="44" t="s">
        <v>59</v>
      </c>
      <c r="M23" s="31"/>
      <c r="N23" s="27" t="s">
        <v>40</v>
      </c>
      <c r="P23" s="32"/>
      <c r="Q23" s="25"/>
      <c r="R23" s="27"/>
      <c r="S23" s="27"/>
      <c r="T23" s="28"/>
      <c r="U23" s="27">
        <v>1</v>
      </c>
      <c r="V23" s="27"/>
      <c r="W23" s="28">
        <v>1</v>
      </c>
      <c r="X23" s="63" t="s">
        <v>60</v>
      </c>
      <c r="Y23" s="46" t="s">
        <v>61</v>
      </c>
      <c r="AB23" s="28"/>
      <c r="AC23" s="27">
        <v>15</v>
      </c>
      <c r="AD23" s="27"/>
      <c r="AE23" s="33"/>
      <c r="AG23" s="25"/>
      <c r="AH23" s="34"/>
      <c r="AI23" s="27"/>
      <c r="AJ23" s="27"/>
      <c r="AK23" s="27"/>
      <c r="AL23" s="25"/>
      <c r="AM23" s="34"/>
      <c r="AN23" s="27"/>
      <c r="AO23" s="27"/>
      <c r="AP23" s="36"/>
      <c r="AQ23" s="64"/>
      <c r="AR23" s="65"/>
      <c r="AS23" s="131" t="s">
        <v>57</v>
      </c>
      <c r="AT23" s="132" t="s">
        <v>52</v>
      </c>
      <c r="AU23" s="132"/>
      <c r="AW23" s="25"/>
      <c r="AX23" s="27"/>
      <c r="AY23" s="27"/>
      <c r="AZ23" s="32"/>
      <c r="BA23" s="41"/>
    </row>
    <row r="24" spans="1:53" x14ac:dyDescent="0.2">
      <c r="A24" s="25">
        <v>17</v>
      </c>
      <c r="B24" s="26">
        <v>45127</v>
      </c>
      <c r="C24" s="27" t="s">
        <v>117</v>
      </c>
      <c r="D24" s="25"/>
      <c r="E24" s="28"/>
      <c r="F24" s="27"/>
      <c r="G24" s="28"/>
      <c r="H24" s="27"/>
      <c r="I24" s="28"/>
      <c r="J24" s="27">
        <v>1.2</v>
      </c>
      <c r="K24" s="29" t="s">
        <v>35</v>
      </c>
      <c r="L24" s="39"/>
      <c r="M24" s="31"/>
      <c r="N24" s="27" t="s">
        <v>40</v>
      </c>
      <c r="P24" s="32"/>
      <c r="Q24" s="25"/>
      <c r="R24" s="27"/>
      <c r="S24" s="27"/>
      <c r="T24" s="28"/>
      <c r="U24" s="27" t="s">
        <v>55</v>
      </c>
      <c r="V24" s="27" t="s">
        <v>154</v>
      </c>
      <c r="W24" s="28" t="s">
        <v>55</v>
      </c>
      <c r="X24" s="33" t="s">
        <v>155</v>
      </c>
      <c r="Y24" s="32"/>
      <c r="Z24" s="25"/>
      <c r="AA24" s="27"/>
      <c r="AB24" s="28"/>
      <c r="AC24" s="27">
        <v>15</v>
      </c>
      <c r="AD24" s="27"/>
      <c r="AE24" s="33"/>
      <c r="AG24" s="25"/>
      <c r="AH24" s="34"/>
      <c r="AI24" s="27"/>
      <c r="AJ24" s="27"/>
      <c r="AK24" s="27"/>
      <c r="AL24" s="25"/>
      <c r="AM24" s="34"/>
      <c r="AN24" s="27"/>
      <c r="AO24" s="27"/>
      <c r="AP24" s="36"/>
      <c r="AQ24" s="37"/>
      <c r="AR24" s="32"/>
      <c r="AS24" s="131" t="s">
        <v>57</v>
      </c>
      <c r="AT24" s="132" t="s">
        <v>52</v>
      </c>
      <c r="AU24" s="132"/>
      <c r="AW24" s="25"/>
      <c r="AX24" s="27"/>
      <c r="AY24" s="27"/>
      <c r="AZ24" s="32"/>
      <c r="BA24" s="41"/>
    </row>
    <row r="25" spans="1:53" ht="16" thickBot="1" x14ac:dyDescent="0.25">
      <c r="A25" s="25">
        <v>18</v>
      </c>
      <c r="B25" s="26">
        <v>45128</v>
      </c>
      <c r="C25" s="27" t="s">
        <v>117</v>
      </c>
      <c r="D25" s="25"/>
      <c r="E25" s="28"/>
      <c r="F25" s="27"/>
      <c r="G25" s="28"/>
      <c r="H25" s="27"/>
      <c r="I25" s="28"/>
      <c r="J25" s="27">
        <v>1.2</v>
      </c>
      <c r="K25" s="29" t="s">
        <v>35</v>
      </c>
      <c r="L25" s="39"/>
      <c r="M25" s="31"/>
      <c r="N25" s="27" t="s">
        <v>40</v>
      </c>
      <c r="P25" s="66"/>
      <c r="Q25" s="25"/>
      <c r="R25" s="27"/>
      <c r="S25" s="27"/>
      <c r="T25" s="28"/>
      <c r="U25" s="27">
        <v>0</v>
      </c>
      <c r="V25" s="27" t="s">
        <v>154</v>
      </c>
      <c r="W25" s="28">
        <v>0</v>
      </c>
      <c r="X25" s="33" t="s">
        <v>62</v>
      </c>
      <c r="Y25" s="32"/>
      <c r="Z25" s="25"/>
      <c r="AA25" s="27"/>
      <c r="AB25" s="28"/>
      <c r="AC25" s="27">
        <v>15</v>
      </c>
      <c r="AD25" s="27"/>
      <c r="AE25" s="33"/>
      <c r="AG25" s="25">
        <v>2.5000000000000001E-2</v>
      </c>
      <c r="AH25" s="34">
        <v>2.5000000000000001E-2</v>
      </c>
      <c r="AI25" s="27"/>
      <c r="AJ25" s="27"/>
      <c r="AK25" s="27"/>
      <c r="AL25" s="25"/>
      <c r="AM25" s="34"/>
      <c r="AN25" s="27"/>
      <c r="AO25" s="27"/>
      <c r="AP25" s="36"/>
      <c r="AQ25" s="67" t="s">
        <v>63</v>
      </c>
      <c r="AR25" s="46" t="s">
        <v>64</v>
      </c>
      <c r="AS25" s="131" t="s">
        <v>57</v>
      </c>
      <c r="AT25" s="132" t="s">
        <v>52</v>
      </c>
      <c r="AU25" s="134"/>
      <c r="AW25" s="25"/>
      <c r="AX25" s="27"/>
      <c r="AY25" s="27"/>
      <c r="AZ25" s="32"/>
      <c r="BA25" s="41"/>
    </row>
    <row r="26" spans="1:53" ht="16" thickBot="1" x14ac:dyDescent="0.25">
      <c r="A26" s="25">
        <v>19</v>
      </c>
      <c r="B26" s="26">
        <v>45129</v>
      </c>
      <c r="C26" s="27" t="s">
        <v>186</v>
      </c>
      <c r="D26" s="25"/>
      <c r="E26" s="28"/>
      <c r="F26" s="27"/>
      <c r="G26" s="28"/>
      <c r="H26" s="27"/>
      <c r="I26" s="28"/>
      <c r="J26" s="27">
        <v>1.2</v>
      </c>
      <c r="K26" s="29" t="s">
        <v>35</v>
      </c>
      <c r="L26" s="39"/>
      <c r="M26" s="31"/>
      <c r="N26" s="27" t="s">
        <v>40</v>
      </c>
      <c r="P26" s="32"/>
      <c r="Q26" s="25"/>
      <c r="R26" s="27"/>
      <c r="S26" s="27"/>
      <c r="T26" s="28"/>
      <c r="U26" s="27"/>
      <c r="V26" s="27" t="s">
        <v>154</v>
      </c>
      <c r="W26" s="28"/>
      <c r="X26" s="33"/>
      <c r="Y26" s="32"/>
      <c r="Z26" s="25"/>
      <c r="AA26" s="27"/>
      <c r="AB26" s="28"/>
      <c r="AC26" s="27">
        <v>15</v>
      </c>
      <c r="AD26" s="27"/>
      <c r="AE26" s="33"/>
      <c r="AG26" s="25">
        <v>2.5000000000000001E-2</v>
      </c>
      <c r="AH26" s="34">
        <v>2.5000000000000001E-2</v>
      </c>
      <c r="AI26" s="27"/>
      <c r="AJ26" s="27"/>
      <c r="AK26" s="27"/>
      <c r="AL26" s="25"/>
      <c r="AM26" s="34"/>
      <c r="AN26" s="27"/>
      <c r="AO26" s="27"/>
      <c r="AP26" s="36"/>
      <c r="AQ26" s="68" t="s">
        <v>65</v>
      </c>
      <c r="AR26" s="32" t="s">
        <v>64</v>
      </c>
      <c r="AS26" s="131" t="s">
        <v>57</v>
      </c>
      <c r="AT26" s="132" t="s">
        <v>52</v>
      </c>
      <c r="AU26" s="132"/>
      <c r="AW26" s="25"/>
      <c r="AX26" s="27"/>
      <c r="AY26" s="27"/>
      <c r="AZ26" s="32"/>
      <c r="BA26" s="62"/>
    </row>
    <row r="27" spans="1:53" x14ac:dyDescent="0.2">
      <c r="A27" s="25">
        <v>20</v>
      </c>
      <c r="B27" s="26">
        <v>45130</v>
      </c>
      <c r="C27" s="27" t="s">
        <v>117</v>
      </c>
      <c r="D27" s="25"/>
      <c r="E27" s="28"/>
      <c r="F27" s="27"/>
      <c r="G27" s="28"/>
      <c r="H27" s="27"/>
      <c r="I27" s="28"/>
      <c r="J27" s="27">
        <v>1.2</v>
      </c>
      <c r="K27" s="29" t="s">
        <v>35</v>
      </c>
      <c r="L27" s="39"/>
      <c r="M27" s="69"/>
      <c r="N27" s="27" t="s">
        <v>40</v>
      </c>
      <c r="O27" s="306" t="s">
        <v>66</v>
      </c>
      <c r="P27" s="32"/>
      <c r="Q27" s="25"/>
      <c r="R27" s="27"/>
      <c r="S27" s="27"/>
      <c r="T27" s="28"/>
      <c r="U27" s="27"/>
      <c r="V27" s="27" t="s">
        <v>154</v>
      </c>
      <c r="W27" s="28"/>
      <c r="X27" s="33"/>
      <c r="Y27" s="32"/>
      <c r="Z27" s="25"/>
      <c r="AA27" s="27"/>
      <c r="AB27" s="28"/>
      <c r="AC27" s="27">
        <v>15</v>
      </c>
      <c r="AD27" s="27"/>
      <c r="AE27" s="33"/>
      <c r="AG27" s="25"/>
      <c r="AH27" s="34"/>
      <c r="AI27" s="27"/>
      <c r="AJ27" s="27"/>
      <c r="AK27" s="27"/>
      <c r="AL27" s="25"/>
      <c r="AM27" s="34"/>
      <c r="AN27" s="27"/>
      <c r="AO27" s="27"/>
      <c r="AP27" s="36"/>
      <c r="AQ27" s="37"/>
      <c r="AR27" s="32"/>
      <c r="AS27" s="131" t="s">
        <v>57</v>
      </c>
      <c r="AT27" s="132" t="s">
        <v>52</v>
      </c>
      <c r="AU27" s="132"/>
      <c r="AW27" s="25"/>
      <c r="AX27" s="27"/>
      <c r="AY27" s="27"/>
      <c r="AZ27" s="32"/>
      <c r="BA27" s="41"/>
    </row>
    <row r="28" spans="1:53" ht="16" thickBot="1" x14ac:dyDescent="0.25">
      <c r="A28" s="70">
        <v>21</v>
      </c>
      <c r="B28" s="26">
        <v>45131</v>
      </c>
      <c r="C28" s="71" t="s">
        <v>117</v>
      </c>
      <c r="D28" s="70"/>
      <c r="E28" s="72"/>
      <c r="F28" s="71"/>
      <c r="G28" s="72"/>
      <c r="H28" s="71"/>
      <c r="I28" s="72"/>
      <c r="J28" s="27">
        <v>1.2</v>
      </c>
      <c r="K28" s="29" t="s">
        <v>35</v>
      </c>
      <c r="L28" s="39"/>
      <c r="M28" s="73"/>
      <c r="N28" s="27" t="s">
        <v>40</v>
      </c>
      <c r="O28" s="307"/>
      <c r="P28" s="74"/>
      <c r="Q28" s="70"/>
      <c r="R28" s="71"/>
      <c r="S28" s="71"/>
      <c r="T28" s="72"/>
      <c r="U28" s="71"/>
      <c r="V28" s="71" t="s">
        <v>154</v>
      </c>
      <c r="W28" s="72"/>
      <c r="X28" s="33"/>
      <c r="Y28" s="75"/>
      <c r="Z28" s="70"/>
      <c r="AA28" s="71"/>
      <c r="AB28" s="72"/>
      <c r="AC28" s="27">
        <v>15</v>
      </c>
      <c r="AD28" s="71"/>
      <c r="AE28" s="33"/>
      <c r="AF28" s="76"/>
      <c r="AG28" s="70"/>
      <c r="AH28" s="77"/>
      <c r="AI28" s="71"/>
      <c r="AJ28" s="71"/>
      <c r="AK28" s="71"/>
      <c r="AL28" s="70"/>
      <c r="AM28" s="77"/>
      <c r="AN28" s="27"/>
      <c r="AO28" s="71"/>
      <c r="AP28" s="78"/>
      <c r="AQ28" s="37"/>
      <c r="AR28" s="75"/>
      <c r="AS28" s="135" t="s">
        <v>57</v>
      </c>
      <c r="AT28" s="132" t="s">
        <v>52</v>
      </c>
      <c r="AU28" s="136"/>
      <c r="AV28" s="76"/>
      <c r="AW28" s="70"/>
      <c r="AX28" s="71"/>
      <c r="AY28" s="71"/>
      <c r="AZ28" s="75"/>
      <c r="BA28" s="79"/>
    </row>
    <row r="29" spans="1:53" ht="16" thickBot="1" x14ac:dyDescent="0.25">
      <c r="A29" s="25">
        <v>22</v>
      </c>
      <c r="B29" s="26">
        <v>45132</v>
      </c>
      <c r="C29" s="27" t="s">
        <v>197</v>
      </c>
      <c r="D29" s="25"/>
      <c r="E29" s="28"/>
      <c r="F29" s="27"/>
      <c r="G29" s="28"/>
      <c r="H29" s="27"/>
      <c r="I29" s="28"/>
      <c r="J29" s="27">
        <v>1.2</v>
      </c>
      <c r="K29" s="29" t="s">
        <v>35</v>
      </c>
      <c r="L29" s="39"/>
      <c r="M29" s="69"/>
      <c r="N29" s="27" t="s">
        <v>40</v>
      </c>
      <c r="O29" s="307"/>
      <c r="P29" s="46" t="s">
        <v>67</v>
      </c>
      <c r="Q29" s="43"/>
      <c r="R29" s="27"/>
      <c r="S29" s="27"/>
      <c r="T29" s="28"/>
      <c r="U29" s="27"/>
      <c r="V29" s="27" t="s">
        <v>154</v>
      </c>
      <c r="W29" s="28"/>
      <c r="X29" s="33"/>
      <c r="Y29" s="32"/>
      <c r="Z29" s="60"/>
      <c r="AA29" s="60"/>
      <c r="AB29" s="61"/>
      <c r="AC29" s="27">
        <v>15</v>
      </c>
      <c r="AD29" s="27"/>
      <c r="AE29" s="33"/>
      <c r="AG29" s="25"/>
      <c r="AH29" s="34"/>
      <c r="AI29" s="27"/>
      <c r="AJ29" s="27"/>
      <c r="AK29" s="27"/>
      <c r="AL29" s="25"/>
      <c r="AM29" s="34"/>
      <c r="AN29" s="27"/>
      <c r="AO29" s="27"/>
      <c r="AP29" s="36"/>
      <c r="AQ29" s="37"/>
      <c r="AR29" s="32"/>
      <c r="AS29" s="131" t="s">
        <v>57</v>
      </c>
      <c r="AT29" s="132" t="s">
        <v>52</v>
      </c>
      <c r="AU29" s="132"/>
      <c r="AW29" s="25"/>
      <c r="AX29" s="27"/>
      <c r="AY29" s="27"/>
      <c r="AZ29" s="32"/>
      <c r="BA29" s="80" t="s">
        <v>68</v>
      </c>
    </row>
    <row r="30" spans="1:53" ht="16" thickBot="1" x14ac:dyDescent="0.25">
      <c r="A30" s="25">
        <v>23</v>
      </c>
      <c r="B30" s="26">
        <v>45133</v>
      </c>
      <c r="C30" s="27" t="s">
        <v>197</v>
      </c>
      <c r="D30" s="25"/>
      <c r="E30" s="28"/>
      <c r="F30" s="27"/>
      <c r="G30" s="28"/>
      <c r="H30" s="27"/>
      <c r="I30" s="28"/>
      <c r="J30" s="27">
        <v>1.2</v>
      </c>
      <c r="K30" s="29" t="s">
        <v>35</v>
      </c>
      <c r="L30" s="39"/>
      <c r="M30" s="31"/>
      <c r="N30" s="27" t="s">
        <v>40</v>
      </c>
      <c r="O30" s="307"/>
      <c r="P30" s="32" t="s">
        <v>69</v>
      </c>
      <c r="Q30" s="25"/>
      <c r="R30" s="27"/>
      <c r="S30" s="27"/>
      <c r="T30" s="28"/>
      <c r="U30" s="27"/>
      <c r="V30" s="27" t="s">
        <v>154</v>
      </c>
      <c r="W30" s="28"/>
      <c r="X30" s="33"/>
      <c r="Y30" s="32"/>
      <c r="Z30" s="25"/>
      <c r="AA30" s="27"/>
      <c r="AB30" s="28"/>
      <c r="AC30" s="27">
        <v>15</v>
      </c>
      <c r="AD30" s="27"/>
      <c r="AE30" s="33"/>
      <c r="AG30" s="25">
        <v>2.5000000000000001E-2</v>
      </c>
      <c r="AH30" s="34">
        <v>2.5000000000000001E-2</v>
      </c>
      <c r="AI30" s="27"/>
      <c r="AJ30" s="27"/>
      <c r="AK30" s="27"/>
      <c r="AL30" s="25"/>
      <c r="AM30" s="34"/>
      <c r="AN30" s="27"/>
      <c r="AO30" s="27"/>
      <c r="AP30" s="36"/>
      <c r="AQ30" s="37"/>
      <c r="AR30" s="32"/>
      <c r="AS30" s="131" t="s">
        <v>57</v>
      </c>
      <c r="AT30" s="132" t="s">
        <v>52</v>
      </c>
      <c r="AU30" s="133" t="s">
        <v>70</v>
      </c>
      <c r="AW30" s="25"/>
      <c r="AX30" s="27"/>
      <c r="AY30" s="27"/>
      <c r="AZ30" s="32"/>
      <c r="BA30" s="41"/>
    </row>
    <row r="31" spans="1:53" ht="16" thickBot="1" x14ac:dyDescent="0.25">
      <c r="A31" s="25">
        <v>24</v>
      </c>
      <c r="B31" s="26">
        <v>45134</v>
      </c>
      <c r="C31" s="27" t="s">
        <v>197</v>
      </c>
      <c r="D31" s="25"/>
      <c r="E31" s="28"/>
      <c r="F31" s="27"/>
      <c r="G31" s="28"/>
      <c r="H31" s="27"/>
      <c r="I31" s="28"/>
      <c r="J31" s="27">
        <v>1.2</v>
      </c>
      <c r="K31" s="29" t="s">
        <v>35</v>
      </c>
      <c r="L31" s="44" t="s">
        <v>71</v>
      </c>
      <c r="M31" s="31"/>
      <c r="N31" s="27" t="s">
        <v>40</v>
      </c>
      <c r="O31" s="307"/>
      <c r="P31" s="32"/>
      <c r="Q31" s="25"/>
      <c r="R31" s="27"/>
      <c r="S31" s="27"/>
      <c r="T31" s="28"/>
      <c r="U31" s="27"/>
      <c r="V31" s="27" t="s">
        <v>154</v>
      </c>
      <c r="W31" s="28"/>
      <c r="X31" s="33"/>
      <c r="Y31" s="32"/>
      <c r="Z31" s="25"/>
      <c r="AA31" s="27"/>
      <c r="AB31" s="28"/>
      <c r="AC31" s="27">
        <v>15</v>
      </c>
      <c r="AD31" s="27"/>
      <c r="AE31" s="50"/>
      <c r="AF31" s="46"/>
      <c r="AG31" s="25">
        <v>2.5000000000000001E-2</v>
      </c>
      <c r="AH31" s="34">
        <v>2.5000000000000001E-2</v>
      </c>
      <c r="AI31" s="27"/>
      <c r="AJ31" s="27"/>
      <c r="AK31" s="27"/>
      <c r="AL31" s="25"/>
      <c r="AM31" s="34"/>
      <c r="AN31" s="27"/>
      <c r="AO31" s="27"/>
      <c r="AP31" s="36"/>
      <c r="AQ31" s="37"/>
      <c r="AR31" s="46"/>
      <c r="AS31" s="25" t="s">
        <v>198</v>
      </c>
      <c r="AT31" s="27" t="s">
        <v>52</v>
      </c>
      <c r="AU31" s="58" t="s">
        <v>73</v>
      </c>
      <c r="AW31" s="25"/>
      <c r="AX31" s="27"/>
      <c r="AY31" s="27"/>
      <c r="AZ31" s="32"/>
      <c r="BA31" s="41">
        <v>3</v>
      </c>
    </row>
    <row r="32" spans="1:53" ht="16" thickBot="1" x14ac:dyDescent="0.25">
      <c r="A32" s="25">
        <v>25</v>
      </c>
      <c r="B32" s="26">
        <v>45135</v>
      </c>
      <c r="C32" s="27" t="s">
        <v>186</v>
      </c>
      <c r="D32" s="25"/>
      <c r="E32" s="28"/>
      <c r="F32" s="27"/>
      <c r="G32" s="28"/>
      <c r="H32" s="27"/>
      <c r="I32" s="28"/>
      <c r="J32" s="27">
        <v>1.2</v>
      </c>
      <c r="K32" s="29" t="s">
        <v>35</v>
      </c>
      <c r="L32" s="39"/>
      <c r="M32" s="31"/>
      <c r="N32" s="27" t="s">
        <v>40</v>
      </c>
      <c r="O32" s="307"/>
      <c r="P32" s="81" t="s">
        <v>74</v>
      </c>
      <c r="Q32" s="43"/>
      <c r="R32" s="27"/>
      <c r="S32" s="27"/>
      <c r="T32" s="28"/>
      <c r="U32" s="27"/>
      <c r="V32" s="27" t="s">
        <v>154</v>
      </c>
      <c r="W32" s="28"/>
      <c r="X32" s="33"/>
      <c r="Y32" s="32"/>
      <c r="Z32" s="27"/>
      <c r="AA32" s="27"/>
      <c r="AB32" s="28"/>
      <c r="AC32" s="27">
        <v>15</v>
      </c>
      <c r="AD32" s="27"/>
      <c r="AE32" s="33"/>
      <c r="AG32" s="25" t="s">
        <v>199</v>
      </c>
      <c r="AH32" s="34">
        <v>2.5000000000000001E-2</v>
      </c>
      <c r="AI32" s="27"/>
      <c r="AJ32" s="27"/>
      <c r="AK32" s="27"/>
      <c r="AL32" s="25"/>
      <c r="AM32" s="34"/>
      <c r="AN32" s="27"/>
      <c r="AO32" s="27"/>
      <c r="AP32" s="36"/>
      <c r="AQ32" s="37"/>
      <c r="AR32" s="32" t="s">
        <v>64</v>
      </c>
      <c r="AS32" s="25" t="s">
        <v>72</v>
      </c>
      <c r="AT32" s="27" t="s">
        <v>52</v>
      </c>
      <c r="AW32" s="25"/>
      <c r="AX32" s="27"/>
      <c r="AY32" s="27"/>
      <c r="AZ32" s="32"/>
      <c r="BA32" s="41">
        <v>97</v>
      </c>
    </row>
    <row r="33" spans="1:53" ht="16" thickBot="1" x14ac:dyDescent="0.25">
      <c r="A33" s="25">
        <v>26</v>
      </c>
      <c r="B33" s="26">
        <v>45136</v>
      </c>
      <c r="C33" s="27" t="s">
        <v>186</v>
      </c>
      <c r="D33" s="25"/>
      <c r="E33" s="28"/>
      <c r="F33" s="27"/>
      <c r="G33" s="28"/>
      <c r="H33" s="27"/>
      <c r="I33" s="28"/>
      <c r="J33" s="27">
        <v>1.2</v>
      </c>
      <c r="K33" s="29" t="s">
        <v>35</v>
      </c>
      <c r="L33" s="39"/>
      <c r="M33" s="31"/>
      <c r="N33" s="27" t="s">
        <v>40</v>
      </c>
      <c r="O33" s="307"/>
      <c r="P33" s="32"/>
      <c r="Q33" s="25"/>
      <c r="R33" s="27"/>
      <c r="S33" s="27"/>
      <c r="T33" s="28"/>
      <c r="U33" s="27"/>
      <c r="V33" s="27" t="s">
        <v>154</v>
      </c>
      <c r="W33" s="28"/>
      <c r="X33" s="33"/>
      <c r="Y33" s="32"/>
      <c r="Z33" s="25"/>
      <c r="AA33" s="27"/>
      <c r="AB33" s="28"/>
      <c r="AC33" s="27">
        <v>15</v>
      </c>
      <c r="AD33" s="27"/>
      <c r="AE33" s="33"/>
      <c r="AG33" s="25" t="s">
        <v>201</v>
      </c>
      <c r="AH33" s="34">
        <v>2.5000000000000001E-2</v>
      </c>
      <c r="AI33" s="27"/>
      <c r="AJ33" s="27"/>
      <c r="AK33" s="27"/>
      <c r="AL33" s="25"/>
      <c r="AM33" s="34"/>
      <c r="AN33" s="27"/>
      <c r="AO33" s="27"/>
      <c r="AP33" s="36"/>
      <c r="AQ33" s="37"/>
      <c r="AR33" s="32" t="s">
        <v>64</v>
      </c>
      <c r="AS33" s="25" t="s">
        <v>72</v>
      </c>
      <c r="AT33" s="27" t="s">
        <v>52</v>
      </c>
      <c r="AW33" s="25"/>
      <c r="AX33" s="27"/>
      <c r="AY33" s="27"/>
      <c r="AZ33" s="32"/>
      <c r="BA33" s="41">
        <v>1</v>
      </c>
    </row>
    <row r="34" spans="1:53" ht="16" thickBot="1" x14ac:dyDescent="0.25">
      <c r="A34" s="25">
        <v>27</v>
      </c>
      <c r="B34" s="26">
        <v>45137</v>
      </c>
      <c r="C34" s="27" t="s">
        <v>186</v>
      </c>
      <c r="D34" s="25"/>
      <c r="E34" s="28"/>
      <c r="F34" s="27"/>
      <c r="G34" s="28"/>
      <c r="H34" s="27"/>
      <c r="I34" s="28"/>
      <c r="J34" s="27">
        <v>1.2</v>
      </c>
      <c r="K34" s="29" t="s">
        <v>35</v>
      </c>
      <c r="L34" s="39"/>
      <c r="M34" s="31"/>
      <c r="N34" s="27" t="s">
        <v>40</v>
      </c>
      <c r="O34" s="307"/>
      <c r="P34" s="32"/>
      <c r="Q34" s="25"/>
      <c r="R34" s="27"/>
      <c r="S34" s="27"/>
      <c r="T34" s="28"/>
      <c r="U34" s="27"/>
      <c r="V34" s="27" t="s">
        <v>154</v>
      </c>
      <c r="W34" s="28"/>
      <c r="X34" s="33"/>
      <c r="Y34" s="32"/>
      <c r="Z34" s="25"/>
      <c r="AA34" s="27"/>
      <c r="AB34" s="28"/>
      <c r="AC34" s="27">
        <v>15</v>
      </c>
      <c r="AD34" s="27"/>
      <c r="AE34" s="33"/>
      <c r="AG34" s="25" t="s">
        <v>202</v>
      </c>
      <c r="AH34" s="34">
        <v>2.5000000000000001E-2</v>
      </c>
      <c r="AI34" s="27"/>
      <c r="AJ34" s="27"/>
      <c r="AK34" s="27"/>
      <c r="AL34" s="25"/>
      <c r="AM34" s="34"/>
      <c r="AN34" s="27"/>
      <c r="AO34" s="27"/>
      <c r="AP34" s="36"/>
      <c r="AQ34" s="82"/>
      <c r="AR34" s="32" t="s">
        <v>75</v>
      </c>
      <c r="AS34" s="25" t="s">
        <v>72</v>
      </c>
      <c r="AT34" s="27" t="s">
        <v>52</v>
      </c>
      <c r="AU34" s="27"/>
      <c r="AW34" s="25"/>
      <c r="AX34" s="27"/>
      <c r="AY34" s="27"/>
      <c r="AZ34" s="32"/>
      <c r="BA34" s="41">
        <v>0</v>
      </c>
    </row>
    <row r="35" spans="1:53" x14ac:dyDescent="0.2">
      <c r="A35" s="25">
        <v>28</v>
      </c>
      <c r="B35" s="26">
        <v>45138</v>
      </c>
      <c r="C35" s="27"/>
      <c r="D35" s="25"/>
      <c r="E35" s="28"/>
      <c r="F35" s="27"/>
      <c r="G35" s="28"/>
      <c r="H35" s="27"/>
      <c r="I35" s="28"/>
      <c r="J35" s="27">
        <v>1.2</v>
      </c>
      <c r="K35" s="29" t="s">
        <v>35</v>
      </c>
      <c r="L35" s="39"/>
      <c r="M35" s="31"/>
      <c r="N35" s="27" t="s">
        <v>40</v>
      </c>
      <c r="O35" s="307"/>
      <c r="P35" s="32"/>
      <c r="Q35" s="25"/>
      <c r="R35" s="27"/>
      <c r="S35" s="27"/>
      <c r="T35" s="28"/>
      <c r="U35" s="27"/>
      <c r="V35" s="27" t="s">
        <v>154</v>
      </c>
      <c r="W35" s="28"/>
      <c r="Y35" s="32"/>
      <c r="Z35" s="25"/>
      <c r="AA35" s="27"/>
      <c r="AB35" s="28"/>
      <c r="AC35" s="27">
        <v>15</v>
      </c>
      <c r="AD35" s="27"/>
      <c r="AE35" s="33"/>
      <c r="AG35" s="25" t="s">
        <v>203</v>
      </c>
      <c r="AH35" s="34">
        <v>2.5000000000000001E-2</v>
      </c>
      <c r="AI35" s="27"/>
      <c r="AJ35" s="27"/>
      <c r="AK35" s="27"/>
      <c r="AL35" s="25"/>
      <c r="AM35" s="34"/>
      <c r="AN35" s="27">
        <v>2.5000000000000001E-2</v>
      </c>
      <c r="AO35" s="27"/>
      <c r="AP35" s="36"/>
      <c r="AR35" s="32" t="s">
        <v>75</v>
      </c>
      <c r="AS35" s="25" t="s">
        <v>72</v>
      </c>
      <c r="AT35" s="27" t="s">
        <v>52</v>
      </c>
      <c r="AU35" s="27"/>
      <c r="AW35" s="25"/>
      <c r="AX35" s="27"/>
      <c r="AY35" s="27"/>
      <c r="AZ35" s="32"/>
      <c r="BA35" s="41">
        <v>0</v>
      </c>
    </row>
    <row r="36" spans="1:53" ht="17.25" customHeight="1" thickBot="1" x14ac:dyDescent="0.25">
      <c r="A36" s="25">
        <v>29</v>
      </c>
      <c r="B36" s="26">
        <v>45139</v>
      </c>
      <c r="C36" s="27" t="s">
        <v>200</v>
      </c>
      <c r="D36" s="25"/>
      <c r="E36" s="28"/>
      <c r="F36" s="27"/>
      <c r="G36" s="28"/>
      <c r="H36" s="27"/>
      <c r="I36" s="28"/>
      <c r="J36" s="27">
        <v>1.2</v>
      </c>
      <c r="K36" s="29" t="s">
        <v>35</v>
      </c>
      <c r="L36" s="39"/>
      <c r="M36" s="31"/>
      <c r="N36" s="27" t="s">
        <v>40</v>
      </c>
      <c r="O36" s="307"/>
      <c r="P36" s="32"/>
      <c r="Q36" s="25"/>
      <c r="R36" s="27"/>
      <c r="S36" s="27"/>
      <c r="T36" s="28"/>
      <c r="U36" s="27"/>
      <c r="V36" s="27" t="s">
        <v>154</v>
      </c>
      <c r="W36" s="28"/>
      <c r="X36" s="33"/>
      <c r="Y36" s="32"/>
      <c r="Z36" s="25"/>
      <c r="AA36" s="27"/>
      <c r="AB36" s="28"/>
      <c r="AC36" s="27">
        <v>15</v>
      </c>
      <c r="AD36" s="27"/>
      <c r="AE36" s="33"/>
      <c r="AG36" s="25" t="s">
        <v>204</v>
      </c>
      <c r="AH36" s="34">
        <v>2.5000000000000001E-2</v>
      </c>
      <c r="AI36" s="27"/>
      <c r="AJ36" s="27"/>
      <c r="AK36" s="27"/>
      <c r="AL36" s="25"/>
      <c r="AM36" s="34"/>
      <c r="AN36" s="27">
        <v>2.5000000000000001E-2</v>
      </c>
      <c r="AO36" s="27"/>
      <c r="AP36" s="36"/>
      <c r="AQ36" s="37"/>
      <c r="AR36" s="32"/>
      <c r="AS36" s="25" t="s">
        <v>72</v>
      </c>
      <c r="AT36" s="27" t="s">
        <v>52</v>
      </c>
      <c r="AU36" s="27"/>
      <c r="AW36" s="25"/>
      <c r="AX36" s="27"/>
      <c r="AY36" s="27"/>
      <c r="AZ36" s="32"/>
      <c r="BA36" s="41">
        <v>28</v>
      </c>
    </row>
    <row r="37" spans="1:53" s="87" customFormat="1" ht="16" thickBot="1" x14ac:dyDescent="0.25">
      <c r="A37" s="83">
        <v>30</v>
      </c>
      <c r="B37" s="26">
        <v>45140</v>
      </c>
      <c r="C37" s="83" t="s">
        <v>186</v>
      </c>
      <c r="D37" s="83"/>
      <c r="E37" s="83"/>
      <c r="F37" s="83"/>
      <c r="G37" s="83"/>
      <c r="H37" s="83"/>
      <c r="I37" s="83"/>
      <c r="J37" s="83">
        <v>1.2</v>
      </c>
      <c r="K37" s="85" t="s">
        <v>35</v>
      </c>
      <c r="L37" s="86"/>
      <c r="M37" s="86"/>
      <c r="N37" s="83" t="s">
        <v>40</v>
      </c>
      <c r="O37" s="307"/>
      <c r="Q37" s="83"/>
      <c r="R37" s="83"/>
      <c r="S37" s="83"/>
      <c r="T37" s="83"/>
      <c r="U37" s="83"/>
      <c r="V37" s="83" t="s">
        <v>154</v>
      </c>
      <c r="W37" s="83"/>
      <c r="X37" s="83" t="s">
        <v>207</v>
      </c>
      <c r="Z37" s="83"/>
      <c r="AA37" s="83"/>
      <c r="AB37" s="83"/>
      <c r="AC37" s="83">
        <v>15</v>
      </c>
      <c r="AD37" s="83"/>
      <c r="AE37" s="83"/>
      <c r="AG37" s="25" t="s">
        <v>205</v>
      </c>
      <c r="AH37" s="34">
        <v>2.5000000000000001E-2</v>
      </c>
      <c r="AI37" s="83"/>
      <c r="AJ37" s="83"/>
      <c r="AK37" s="83"/>
      <c r="AL37" s="83"/>
      <c r="AM37" s="83"/>
      <c r="AN37" s="27">
        <v>2.5000000000000001E-2</v>
      </c>
      <c r="AO37" s="83"/>
      <c r="AP37" s="83"/>
      <c r="AS37" s="83" t="s">
        <v>72</v>
      </c>
      <c r="AT37" s="83" t="s">
        <v>52</v>
      </c>
      <c r="AU37" s="83"/>
      <c r="AW37" s="83"/>
      <c r="AX37" s="83"/>
      <c r="AY37" s="83"/>
      <c r="BA37" s="83">
        <v>40</v>
      </c>
    </row>
    <row r="38" spans="1:53" ht="16" thickBot="1" x14ac:dyDescent="0.25">
      <c r="A38" s="25">
        <v>31</v>
      </c>
      <c r="B38" s="26">
        <v>45141</v>
      </c>
      <c r="C38" s="27"/>
      <c r="D38" s="25"/>
      <c r="E38" s="28"/>
      <c r="F38" s="27"/>
      <c r="G38" s="28"/>
      <c r="H38" s="27"/>
      <c r="I38" s="28"/>
      <c r="J38" s="27">
        <v>1.2</v>
      </c>
      <c r="K38" s="29" t="s">
        <v>35</v>
      </c>
      <c r="L38" s="39"/>
      <c r="M38" s="31"/>
      <c r="N38" s="27" t="s">
        <v>76</v>
      </c>
      <c r="O38" s="307"/>
      <c r="P38" s="32"/>
      <c r="Q38" s="25"/>
      <c r="R38" s="27"/>
      <c r="S38" s="27"/>
      <c r="T38" s="28"/>
      <c r="U38" s="27"/>
      <c r="V38" s="27" t="s">
        <v>154</v>
      </c>
      <c r="W38" s="28"/>
      <c r="X38" s="83" t="s">
        <v>207</v>
      </c>
      <c r="Y38" s="32"/>
      <c r="Z38" s="25"/>
      <c r="AA38" s="27"/>
      <c r="AB38" s="28"/>
      <c r="AC38" s="27">
        <v>15</v>
      </c>
      <c r="AD38" s="27"/>
      <c r="AE38" s="33"/>
      <c r="AG38" s="25" t="s">
        <v>206</v>
      </c>
      <c r="AH38" s="34">
        <v>2.5000000000000001E-2</v>
      </c>
      <c r="AI38" s="27"/>
      <c r="AJ38" s="27"/>
      <c r="AK38" s="27"/>
      <c r="AL38" s="25"/>
      <c r="AM38" s="34"/>
      <c r="AN38" s="27">
        <v>2.5000000000000001E-2</v>
      </c>
      <c r="AO38" s="27"/>
      <c r="AP38" s="36"/>
      <c r="AQ38" s="37"/>
      <c r="AR38" s="46"/>
      <c r="AS38" s="25" t="s">
        <v>72</v>
      </c>
      <c r="AT38" s="27" t="s">
        <v>52</v>
      </c>
      <c r="AU38" s="27"/>
      <c r="AW38" s="25"/>
      <c r="AX38" s="27"/>
      <c r="AY38" s="27"/>
      <c r="AZ38" s="32"/>
      <c r="BA38" s="41">
        <v>3</v>
      </c>
    </row>
    <row r="39" spans="1:53" ht="16" thickBot="1" x14ac:dyDescent="0.25">
      <c r="A39" s="25">
        <v>32</v>
      </c>
      <c r="B39" s="26">
        <v>45142</v>
      </c>
      <c r="C39" s="27"/>
      <c r="D39" s="25"/>
      <c r="E39" s="28"/>
      <c r="F39" s="27"/>
      <c r="G39" s="28"/>
      <c r="H39" s="27"/>
      <c r="I39" s="28"/>
      <c r="J39" s="27">
        <v>1.2</v>
      </c>
      <c r="K39" s="29" t="s">
        <v>35</v>
      </c>
      <c r="L39" s="39"/>
      <c r="M39" s="31"/>
      <c r="N39" s="27" t="s">
        <v>76</v>
      </c>
      <c r="O39" s="307"/>
      <c r="P39" s="32"/>
      <c r="Q39" s="25"/>
      <c r="R39" s="27"/>
      <c r="S39" s="27"/>
      <c r="T39" s="28"/>
      <c r="U39" s="27"/>
      <c r="V39" s="27" t="s">
        <v>154</v>
      </c>
      <c r="W39" s="28"/>
      <c r="X39" s="83" t="s">
        <v>207</v>
      </c>
      <c r="Y39" s="32"/>
      <c r="Z39" s="25"/>
      <c r="AA39" s="27"/>
      <c r="AB39" s="28"/>
      <c r="AC39" s="27">
        <v>15</v>
      </c>
      <c r="AD39" s="27"/>
      <c r="AE39" s="33"/>
      <c r="AG39" s="25">
        <v>2.5000000000000001E-2</v>
      </c>
      <c r="AH39" s="34">
        <v>2.5000000000000001E-2</v>
      </c>
      <c r="AI39" s="27"/>
      <c r="AJ39" s="27"/>
      <c r="AK39" s="27"/>
      <c r="AL39" s="25"/>
      <c r="AM39" s="34"/>
      <c r="AN39" s="27">
        <v>2.5000000000000001E-2</v>
      </c>
      <c r="AO39" s="27">
        <v>2.5000000000000001E-2</v>
      </c>
      <c r="AP39" s="36">
        <v>2.5000000000000001E-2</v>
      </c>
      <c r="AQ39" s="37"/>
      <c r="AR39" s="32"/>
      <c r="AS39" s="25" t="s">
        <v>72</v>
      </c>
      <c r="AT39" s="27" t="s">
        <v>52</v>
      </c>
      <c r="AU39" s="27"/>
      <c r="AW39" s="25"/>
      <c r="AX39" s="27"/>
      <c r="AY39" s="27"/>
      <c r="AZ39" s="32"/>
      <c r="BA39" s="41">
        <v>19</v>
      </c>
    </row>
    <row r="40" spans="1:53" ht="16" thickBot="1" x14ac:dyDescent="0.25">
      <c r="A40" s="25">
        <v>33</v>
      </c>
      <c r="B40" s="26">
        <v>45143</v>
      </c>
      <c r="C40" s="27"/>
      <c r="D40" s="25"/>
      <c r="E40" s="28"/>
      <c r="F40" s="27"/>
      <c r="G40" s="28"/>
      <c r="H40" s="27"/>
      <c r="I40" s="28"/>
      <c r="J40" s="27">
        <v>1.2</v>
      </c>
      <c r="K40" s="29" t="s">
        <v>35</v>
      </c>
      <c r="L40" s="39"/>
      <c r="M40" s="31"/>
      <c r="N40" s="27" t="s">
        <v>76</v>
      </c>
      <c r="O40" s="307"/>
      <c r="P40" s="32"/>
      <c r="Q40" s="25"/>
      <c r="R40" s="27"/>
      <c r="S40" s="27"/>
      <c r="T40" s="28"/>
      <c r="U40" s="27"/>
      <c r="V40" s="27" t="s">
        <v>154</v>
      </c>
      <c r="W40" s="28"/>
      <c r="X40" s="83" t="s">
        <v>207</v>
      </c>
      <c r="Y40" s="32"/>
      <c r="Z40" s="25"/>
      <c r="AA40" s="27"/>
      <c r="AB40" s="28"/>
      <c r="AC40" s="27">
        <v>15</v>
      </c>
      <c r="AD40" s="27"/>
      <c r="AE40" s="33"/>
      <c r="AG40" s="25">
        <v>2.5000000000000001E-2</v>
      </c>
      <c r="AH40" s="34">
        <v>2.5000000000000001E-2</v>
      </c>
      <c r="AI40" s="27"/>
      <c r="AJ40" s="27"/>
      <c r="AK40" s="27"/>
      <c r="AL40" s="25"/>
      <c r="AM40" s="34"/>
      <c r="AN40" s="27">
        <v>2.5000000000000001E-2</v>
      </c>
      <c r="AO40" s="27">
        <v>2.5000000000000001E-2</v>
      </c>
      <c r="AP40" s="36">
        <v>2.5000000000000001E-2</v>
      </c>
      <c r="AQ40" s="37"/>
      <c r="AR40" s="32"/>
      <c r="AS40" s="25" t="s">
        <v>72</v>
      </c>
      <c r="AT40" s="27" t="s">
        <v>52</v>
      </c>
      <c r="AW40" s="25"/>
      <c r="AX40" s="27"/>
      <c r="AY40" s="27"/>
      <c r="AZ40" s="32"/>
      <c r="BA40" s="41">
        <v>4</v>
      </c>
    </row>
    <row r="41" spans="1:53" ht="16" thickBot="1" x14ac:dyDescent="0.25">
      <c r="A41" s="25">
        <v>34</v>
      </c>
      <c r="B41" s="26">
        <v>45144</v>
      </c>
      <c r="C41" s="27" t="s">
        <v>200</v>
      </c>
      <c r="D41" s="25"/>
      <c r="E41" s="28"/>
      <c r="F41" s="27"/>
      <c r="G41" s="28"/>
      <c r="H41" s="27"/>
      <c r="I41" s="28"/>
      <c r="J41" s="27">
        <v>1.2</v>
      </c>
      <c r="K41" s="29" t="s">
        <v>35</v>
      </c>
      <c r="L41" s="39"/>
      <c r="M41" s="31"/>
      <c r="N41" s="27" t="s">
        <v>76</v>
      </c>
      <c r="O41" s="307"/>
      <c r="P41" s="32"/>
      <c r="Q41" s="25"/>
      <c r="R41" s="27"/>
      <c r="S41" s="27"/>
      <c r="T41" s="28"/>
      <c r="U41" s="27"/>
      <c r="V41" s="27" t="s">
        <v>154</v>
      </c>
      <c r="W41" s="28"/>
      <c r="X41" s="83" t="s">
        <v>207</v>
      </c>
      <c r="Y41" s="32"/>
      <c r="Z41" s="25"/>
      <c r="AA41" s="27"/>
      <c r="AB41" s="28"/>
      <c r="AC41" s="27">
        <v>15</v>
      </c>
      <c r="AD41" s="27"/>
      <c r="AE41" s="33"/>
      <c r="AG41" s="25">
        <v>2.5000000000000001E-2</v>
      </c>
      <c r="AH41" s="34">
        <v>2.5000000000000001E-2</v>
      </c>
      <c r="AI41" s="27"/>
      <c r="AJ41" s="27"/>
      <c r="AK41" s="27"/>
      <c r="AL41" s="25"/>
      <c r="AM41" s="34"/>
      <c r="AN41" s="27">
        <v>2.5000000000000001E-2</v>
      </c>
      <c r="AO41" s="27">
        <v>2.5000000000000001E-2</v>
      </c>
      <c r="AP41" s="36">
        <v>2.5000000000000001E-2</v>
      </c>
      <c r="AQ41" s="37"/>
      <c r="AR41" s="32"/>
      <c r="AS41" s="25" t="s">
        <v>72</v>
      </c>
      <c r="AT41" s="27" t="s">
        <v>52</v>
      </c>
      <c r="AU41" s="27"/>
      <c r="AW41" s="25"/>
      <c r="AX41" s="27"/>
      <c r="AY41" s="27"/>
      <c r="AZ41" s="32"/>
      <c r="BA41" s="41">
        <v>0</v>
      </c>
    </row>
    <row r="42" spans="1:53" ht="16" thickBot="1" x14ac:dyDescent="0.25">
      <c r="A42" s="25">
        <v>35</v>
      </c>
      <c r="B42" s="26">
        <v>45145</v>
      </c>
      <c r="C42" s="27"/>
      <c r="D42" s="25"/>
      <c r="E42" s="28"/>
      <c r="F42" s="27"/>
      <c r="G42" s="28"/>
      <c r="H42" s="27"/>
      <c r="I42" s="28"/>
      <c r="J42" s="27">
        <v>1.2</v>
      </c>
      <c r="K42" s="29" t="s">
        <v>35</v>
      </c>
      <c r="L42" s="39"/>
      <c r="M42" s="31"/>
      <c r="N42" s="27" t="s">
        <v>76</v>
      </c>
      <c r="O42" s="307"/>
      <c r="P42" s="32"/>
      <c r="Q42" s="25"/>
      <c r="R42" s="27"/>
      <c r="S42" s="27"/>
      <c r="T42" s="28"/>
      <c r="U42" s="27"/>
      <c r="V42" s="27" t="s">
        <v>154</v>
      </c>
      <c r="W42" s="28"/>
      <c r="X42" s="33"/>
      <c r="Y42" s="32"/>
      <c r="Z42" s="25"/>
      <c r="AA42" s="27"/>
      <c r="AB42" s="28"/>
      <c r="AC42" s="27">
        <v>5</v>
      </c>
      <c r="AD42" s="27"/>
      <c r="AE42" s="33"/>
      <c r="AG42" s="25">
        <v>2.5000000000000001E-2</v>
      </c>
      <c r="AH42" s="34">
        <v>2.5000000000000001E-2</v>
      </c>
      <c r="AI42" s="27"/>
      <c r="AJ42" s="27"/>
      <c r="AK42" s="27"/>
      <c r="AL42" s="25"/>
      <c r="AM42" s="34"/>
      <c r="AN42" s="27">
        <v>2.5000000000000001E-2</v>
      </c>
      <c r="AO42" s="27">
        <v>2.5000000000000001E-2</v>
      </c>
      <c r="AP42" s="36">
        <v>2.5000000000000001E-2</v>
      </c>
      <c r="AQ42" s="37"/>
      <c r="AR42" s="32"/>
      <c r="AS42" s="25" t="s">
        <v>72</v>
      </c>
      <c r="AT42" s="27" t="s">
        <v>52</v>
      </c>
      <c r="AU42" s="58" t="s">
        <v>77</v>
      </c>
      <c r="AW42" s="25"/>
      <c r="AX42" s="27"/>
      <c r="AY42" s="27"/>
      <c r="AZ42" s="32"/>
      <c r="BA42" s="41">
        <v>1</v>
      </c>
    </row>
    <row r="43" spans="1:53" ht="16" thickBot="1" x14ac:dyDescent="0.25">
      <c r="A43" s="25">
        <v>36</v>
      </c>
      <c r="B43" s="26">
        <v>45146</v>
      </c>
      <c r="C43" s="27"/>
      <c r="D43" s="25"/>
      <c r="E43" s="28"/>
      <c r="F43" s="27"/>
      <c r="G43" s="28"/>
      <c r="H43" s="27"/>
      <c r="I43" s="28"/>
      <c r="J43" s="27">
        <v>1.2</v>
      </c>
      <c r="K43" s="29" t="s">
        <v>35</v>
      </c>
      <c r="L43" s="53"/>
      <c r="M43" s="31"/>
      <c r="N43" s="27" t="s">
        <v>76</v>
      </c>
      <c r="O43" s="307"/>
      <c r="P43" s="32"/>
      <c r="Q43" s="25"/>
      <c r="R43" s="27"/>
      <c r="S43" s="27"/>
      <c r="T43" s="28"/>
      <c r="U43" s="27"/>
      <c r="V43" s="27" t="s">
        <v>154</v>
      </c>
      <c r="W43" s="28"/>
      <c r="X43" s="33"/>
      <c r="Y43" s="32"/>
      <c r="Z43" s="25"/>
      <c r="AA43" s="27"/>
      <c r="AB43" s="28"/>
      <c r="AC43" s="27"/>
      <c r="AD43" s="27"/>
      <c r="AE43" s="33"/>
      <c r="AG43" s="25">
        <v>2.5000000000000001E-2</v>
      </c>
      <c r="AH43" s="34">
        <v>2.5000000000000001E-2</v>
      </c>
      <c r="AI43" s="27"/>
      <c r="AJ43" s="27"/>
      <c r="AK43" s="27"/>
      <c r="AL43" s="25"/>
      <c r="AM43" s="34"/>
      <c r="AN43" s="27">
        <v>2.5000000000000001E-2</v>
      </c>
      <c r="AO43" s="27">
        <v>2.5000000000000001E-2</v>
      </c>
      <c r="AP43" s="36">
        <v>2.5000000000000001E-2</v>
      </c>
      <c r="AQ43" s="37"/>
      <c r="AR43" s="32"/>
      <c r="AS43" s="25" t="s">
        <v>78</v>
      </c>
      <c r="AT43" s="27" t="s">
        <v>52</v>
      </c>
      <c r="AW43" s="25"/>
      <c r="AX43" s="27"/>
      <c r="AY43" s="27"/>
      <c r="AZ43" s="32"/>
      <c r="BA43" s="41">
        <v>1</v>
      </c>
    </row>
    <row r="44" spans="1:53" ht="16" thickBot="1" x14ac:dyDescent="0.25">
      <c r="A44" s="25">
        <v>37</v>
      </c>
      <c r="B44" s="26">
        <v>45147</v>
      </c>
      <c r="C44" s="27"/>
      <c r="D44" s="25"/>
      <c r="E44" s="28"/>
      <c r="F44" s="27"/>
      <c r="G44" s="28"/>
      <c r="H44" s="27"/>
      <c r="I44" s="28"/>
      <c r="J44" s="27">
        <v>1.2</v>
      </c>
      <c r="K44" s="29" t="s">
        <v>35</v>
      </c>
      <c r="L44" s="53"/>
      <c r="M44" s="31"/>
      <c r="N44" s="27" t="s">
        <v>76</v>
      </c>
      <c r="O44" s="307"/>
      <c r="P44" s="32"/>
      <c r="Q44" s="25"/>
      <c r="R44" s="27"/>
      <c r="S44" s="27"/>
      <c r="T44" s="28"/>
      <c r="U44" s="27"/>
      <c r="V44" s="27" t="s">
        <v>154</v>
      </c>
      <c r="W44" s="28"/>
      <c r="X44" s="33"/>
      <c r="Y44" s="32"/>
      <c r="Z44" s="59"/>
      <c r="AA44" s="60"/>
      <c r="AB44" s="61"/>
      <c r="AC44" s="27"/>
      <c r="AD44" s="27"/>
      <c r="AE44" s="33"/>
      <c r="AG44" s="25"/>
      <c r="AH44" s="34"/>
      <c r="AI44" s="27"/>
      <c r="AJ44" s="27"/>
      <c r="AK44" s="27"/>
      <c r="AL44" s="25"/>
      <c r="AM44" s="34"/>
      <c r="AN44" s="27">
        <v>2.5000000000000001E-2</v>
      </c>
      <c r="AO44" s="27">
        <v>2.5000000000000001E-2</v>
      </c>
      <c r="AP44" s="36">
        <v>2.5000000000000001E-2</v>
      </c>
      <c r="AQ44" s="37"/>
      <c r="AR44" s="32"/>
      <c r="AS44" s="25" t="s">
        <v>78</v>
      </c>
      <c r="AT44" s="27" t="s">
        <v>52</v>
      </c>
      <c r="AU44" s="27"/>
      <c r="AW44" s="25"/>
      <c r="AX44" s="27"/>
      <c r="AY44" s="27"/>
      <c r="AZ44" s="32"/>
      <c r="BA44" s="41">
        <v>0</v>
      </c>
    </row>
    <row r="45" spans="1:53" x14ac:dyDescent="0.2">
      <c r="A45" s="25">
        <v>38</v>
      </c>
      <c r="B45" s="26">
        <v>45148</v>
      </c>
      <c r="C45" s="27"/>
      <c r="D45" s="25"/>
      <c r="E45" s="28"/>
      <c r="F45" s="27"/>
      <c r="G45" s="28"/>
      <c r="H45" s="27"/>
      <c r="I45" s="28"/>
      <c r="J45" s="27">
        <v>1.2</v>
      </c>
      <c r="K45" s="29" t="s">
        <v>35</v>
      </c>
      <c r="L45" s="39"/>
      <c r="M45" s="31"/>
      <c r="N45" s="27" t="s">
        <v>76</v>
      </c>
      <c r="O45" s="307"/>
      <c r="P45" s="32"/>
      <c r="Q45" s="25"/>
      <c r="R45" s="27"/>
      <c r="S45" s="27"/>
      <c r="T45" s="28"/>
      <c r="U45" s="27"/>
      <c r="V45" s="27" t="s">
        <v>154</v>
      </c>
      <c r="W45" s="28"/>
      <c r="X45" s="33"/>
      <c r="Y45" s="32"/>
      <c r="Z45" s="25"/>
      <c r="AA45" s="27"/>
      <c r="AB45" s="28"/>
      <c r="AC45" s="27"/>
      <c r="AD45" s="27"/>
      <c r="AE45" s="33"/>
      <c r="AG45" s="25">
        <v>0.05</v>
      </c>
      <c r="AH45" s="34">
        <v>0.05</v>
      </c>
      <c r="AI45" s="27"/>
      <c r="AJ45" s="27"/>
      <c r="AK45" s="27"/>
      <c r="AL45" s="25"/>
      <c r="AM45" s="34"/>
      <c r="AN45" s="27">
        <v>0.05</v>
      </c>
      <c r="AO45" s="27">
        <v>0.05</v>
      </c>
      <c r="AP45" s="36">
        <v>0.05</v>
      </c>
      <c r="AQ45" s="37"/>
      <c r="AR45" s="32"/>
      <c r="AS45" s="25" t="s">
        <v>78</v>
      </c>
      <c r="AT45" s="27" t="s">
        <v>52</v>
      </c>
      <c r="AU45" s="27"/>
      <c r="AW45" s="25"/>
      <c r="AX45" s="27"/>
      <c r="AY45" s="27"/>
      <c r="AZ45" s="32"/>
      <c r="BA45" s="41">
        <v>0</v>
      </c>
    </row>
    <row r="46" spans="1:53" ht="16" thickBot="1" x14ac:dyDescent="0.25">
      <c r="A46" s="25">
        <v>39</v>
      </c>
      <c r="B46" s="26">
        <v>45149</v>
      </c>
      <c r="C46" s="27" t="s">
        <v>112</v>
      </c>
      <c r="D46" s="25"/>
      <c r="E46" s="28"/>
      <c r="F46" s="27"/>
      <c r="G46" s="28"/>
      <c r="H46" s="27"/>
      <c r="I46" s="28"/>
      <c r="J46" s="27">
        <v>1.2</v>
      </c>
      <c r="K46" s="29" t="s">
        <v>35</v>
      </c>
      <c r="M46" s="31"/>
      <c r="N46" s="27" t="s">
        <v>76</v>
      </c>
      <c r="O46" s="307"/>
      <c r="P46" s="32"/>
      <c r="Q46" s="25"/>
      <c r="R46" s="27"/>
      <c r="S46" s="27"/>
      <c r="T46" s="28"/>
      <c r="U46" s="27"/>
      <c r="V46" s="27" t="s">
        <v>154</v>
      </c>
      <c r="W46" s="28"/>
      <c r="X46" s="33"/>
      <c r="Y46" s="32"/>
      <c r="Z46" s="25"/>
      <c r="AA46" s="27"/>
      <c r="AB46" s="28"/>
      <c r="AC46" s="27"/>
      <c r="AD46" s="27"/>
      <c r="AE46" s="33"/>
      <c r="AG46" s="25">
        <v>0.05</v>
      </c>
      <c r="AH46" s="34">
        <v>0.05</v>
      </c>
      <c r="AI46" s="27"/>
      <c r="AJ46" s="27"/>
      <c r="AK46" s="27"/>
      <c r="AL46" s="25"/>
      <c r="AM46" s="34"/>
      <c r="AN46" s="27">
        <v>0.05</v>
      </c>
      <c r="AO46" s="27">
        <v>0.05</v>
      </c>
      <c r="AP46" s="36">
        <v>0.05</v>
      </c>
      <c r="AQ46" s="37"/>
      <c r="AR46" s="32"/>
      <c r="AS46" s="25" t="s">
        <v>78</v>
      </c>
      <c r="AT46" s="27" t="s">
        <v>52</v>
      </c>
      <c r="AU46" s="27"/>
      <c r="AW46" s="25"/>
      <c r="AX46" s="27"/>
      <c r="AY46" s="27"/>
      <c r="AZ46" s="32"/>
      <c r="BA46" s="41">
        <v>2</v>
      </c>
    </row>
    <row r="47" spans="1:53" ht="16" thickBot="1" x14ac:dyDescent="0.25">
      <c r="A47" s="25">
        <v>40</v>
      </c>
      <c r="B47" s="26">
        <v>45150</v>
      </c>
      <c r="C47" s="27"/>
      <c r="D47" s="25"/>
      <c r="E47" s="28"/>
      <c r="F47" s="27"/>
      <c r="G47" s="28"/>
      <c r="H47" s="27"/>
      <c r="I47" s="28"/>
      <c r="J47" s="27">
        <v>1.2</v>
      </c>
      <c r="K47" s="29" t="s">
        <v>35</v>
      </c>
      <c r="L47" s="53"/>
      <c r="M47" s="31"/>
      <c r="N47" s="27" t="s">
        <v>76</v>
      </c>
      <c r="O47" s="308"/>
      <c r="Q47" s="25"/>
      <c r="R47" s="27"/>
      <c r="S47" s="27"/>
      <c r="T47" s="28"/>
      <c r="U47" s="27"/>
      <c r="V47" s="27" t="s">
        <v>154</v>
      </c>
      <c r="W47" s="28"/>
      <c r="X47" s="33"/>
      <c r="Y47" s="32"/>
      <c r="Z47" s="59"/>
      <c r="AA47" s="60"/>
      <c r="AB47" s="61"/>
      <c r="AC47" s="27"/>
      <c r="AD47" s="27"/>
      <c r="AE47" s="33"/>
      <c r="AG47" s="25">
        <v>0.05</v>
      </c>
      <c r="AH47" s="34">
        <v>0.05</v>
      </c>
      <c r="AI47" s="27"/>
      <c r="AJ47" s="27"/>
      <c r="AK47" s="27"/>
      <c r="AL47" s="25"/>
      <c r="AM47" s="34"/>
      <c r="AN47" s="27">
        <v>0.05</v>
      </c>
      <c r="AO47" s="27">
        <v>0.05</v>
      </c>
      <c r="AP47" s="36">
        <v>0.05</v>
      </c>
      <c r="AQ47" s="37"/>
      <c r="AR47" s="32"/>
      <c r="AS47" s="25" t="s">
        <v>79</v>
      </c>
      <c r="AT47" s="27" t="s">
        <v>52</v>
      </c>
      <c r="AU47" s="58" t="s">
        <v>80</v>
      </c>
      <c r="AW47" s="25"/>
      <c r="AX47" s="27"/>
      <c r="AY47" s="27"/>
      <c r="AZ47" s="32"/>
      <c r="BA47" s="41">
        <v>7</v>
      </c>
    </row>
    <row r="48" spans="1:53" x14ac:dyDescent="0.2">
      <c r="A48" s="25">
        <v>41</v>
      </c>
      <c r="B48" s="26">
        <v>45151</v>
      </c>
      <c r="C48" s="27"/>
      <c r="D48" s="25"/>
      <c r="E48" s="28"/>
      <c r="F48" s="27"/>
      <c r="G48" s="28"/>
      <c r="H48" s="27"/>
      <c r="I48" s="28"/>
      <c r="J48" s="27">
        <v>1.2</v>
      </c>
      <c r="K48" s="29" t="s">
        <v>35</v>
      </c>
      <c r="M48" s="31"/>
      <c r="N48" s="27" t="s">
        <v>76</v>
      </c>
      <c r="P48" s="32"/>
      <c r="Q48" s="25"/>
      <c r="R48" s="27"/>
      <c r="S48" s="27"/>
      <c r="T48" s="28"/>
      <c r="U48" s="27"/>
      <c r="V48" s="27" t="s">
        <v>154</v>
      </c>
      <c r="W48" s="28"/>
      <c r="X48" s="33"/>
      <c r="Y48" s="32"/>
      <c r="Z48" s="25"/>
      <c r="AA48" s="27"/>
      <c r="AB48" s="28"/>
      <c r="AC48" s="27"/>
      <c r="AD48" s="27"/>
      <c r="AE48" s="33"/>
      <c r="AG48" s="25">
        <v>0.05</v>
      </c>
      <c r="AH48" s="34">
        <v>0.05</v>
      </c>
      <c r="AI48" s="27"/>
      <c r="AJ48" s="27"/>
      <c r="AK48" s="27"/>
      <c r="AL48" s="25"/>
      <c r="AM48" s="34"/>
      <c r="AN48" s="27">
        <v>0.05</v>
      </c>
      <c r="AO48" s="27">
        <v>0.05</v>
      </c>
      <c r="AP48" s="36">
        <v>0.05</v>
      </c>
      <c r="AQ48" s="37"/>
      <c r="AR48" s="32"/>
      <c r="AS48" s="25" t="s">
        <v>79</v>
      </c>
      <c r="AT48" s="27" t="s">
        <v>52</v>
      </c>
      <c r="AU48" s="27"/>
      <c r="AW48" s="25"/>
      <c r="AX48" s="27"/>
      <c r="AY48" s="27"/>
      <c r="AZ48" s="32"/>
      <c r="BA48" s="41">
        <v>0</v>
      </c>
    </row>
    <row r="49" spans="1:53" x14ac:dyDescent="0.2">
      <c r="A49" s="25">
        <v>42</v>
      </c>
      <c r="B49" s="26">
        <v>45152</v>
      </c>
      <c r="C49" s="27"/>
      <c r="D49" s="25"/>
      <c r="E49" s="28"/>
      <c r="F49" s="27"/>
      <c r="G49" s="28"/>
      <c r="H49" s="27"/>
      <c r="I49" s="28"/>
      <c r="J49" s="27">
        <v>1.2</v>
      </c>
      <c r="K49" s="29" t="s">
        <v>35</v>
      </c>
      <c r="L49" s="39"/>
      <c r="M49" s="31"/>
      <c r="N49" s="27" t="s">
        <v>76</v>
      </c>
      <c r="P49" s="32"/>
      <c r="Q49" s="25"/>
      <c r="R49" s="27"/>
      <c r="S49" s="27"/>
      <c r="T49" s="28"/>
      <c r="U49" s="27"/>
      <c r="V49" s="27" t="s">
        <v>154</v>
      </c>
      <c r="W49" s="28"/>
      <c r="X49" s="33"/>
      <c r="Y49" s="32"/>
      <c r="Z49" s="25"/>
      <c r="AA49" s="27"/>
      <c r="AB49" s="28"/>
      <c r="AC49" s="27"/>
      <c r="AD49" s="27"/>
      <c r="AE49" s="33"/>
      <c r="AG49" s="25">
        <v>0.05</v>
      </c>
      <c r="AH49" s="34">
        <v>0.05</v>
      </c>
      <c r="AI49" s="27"/>
      <c r="AJ49" s="27"/>
      <c r="AK49" s="27"/>
      <c r="AL49" s="25"/>
      <c r="AM49" s="34"/>
      <c r="AN49" s="27">
        <v>0.05</v>
      </c>
      <c r="AO49" s="27">
        <v>0.05</v>
      </c>
      <c r="AP49" s="36">
        <v>0.05</v>
      </c>
      <c r="AQ49" s="37"/>
      <c r="AR49" s="32"/>
      <c r="AS49" s="25" t="s">
        <v>79</v>
      </c>
      <c r="AT49" s="27" t="s">
        <v>52</v>
      </c>
      <c r="AU49" s="27"/>
      <c r="AW49" s="25"/>
      <c r="AX49" s="27"/>
      <c r="AY49" s="27"/>
      <c r="AZ49" s="32"/>
      <c r="BA49" s="41">
        <v>2</v>
      </c>
    </row>
    <row r="50" spans="1:53" ht="16" thickBot="1" x14ac:dyDescent="0.25">
      <c r="A50" s="25">
        <v>43</v>
      </c>
      <c r="B50" s="26">
        <v>45153</v>
      </c>
      <c r="C50" s="27"/>
      <c r="D50" s="25"/>
      <c r="E50" s="28"/>
      <c r="F50" s="27"/>
      <c r="G50" s="28"/>
      <c r="H50" s="27"/>
      <c r="I50" s="28"/>
      <c r="J50" s="27">
        <v>1.2</v>
      </c>
      <c r="K50" s="29" t="s">
        <v>35</v>
      </c>
      <c r="L50" s="39"/>
      <c r="M50" s="31"/>
      <c r="N50" s="27" t="s">
        <v>76</v>
      </c>
      <c r="P50" s="32"/>
      <c r="Q50" s="25"/>
      <c r="R50" s="27"/>
      <c r="S50" s="27"/>
      <c r="T50" s="28"/>
      <c r="U50" s="27"/>
      <c r="V50" s="27" t="s">
        <v>154</v>
      </c>
      <c r="W50" s="28"/>
      <c r="X50" s="33"/>
      <c r="Y50" s="32"/>
      <c r="Z50" s="25"/>
      <c r="AA50" s="27"/>
      <c r="AB50" s="28"/>
      <c r="AC50" s="27"/>
      <c r="AD50" s="27"/>
      <c r="AE50" s="33"/>
      <c r="AG50" s="25">
        <v>0.05</v>
      </c>
      <c r="AH50" s="34">
        <v>0.05</v>
      </c>
      <c r="AI50" s="27"/>
      <c r="AJ50" s="27"/>
      <c r="AK50" s="27"/>
      <c r="AL50" s="25"/>
      <c r="AM50" s="34"/>
      <c r="AN50" s="27">
        <v>0.05</v>
      </c>
      <c r="AO50" s="27">
        <v>0.05</v>
      </c>
      <c r="AP50" s="36">
        <v>0.05</v>
      </c>
      <c r="AQ50" s="37"/>
      <c r="AR50" s="32"/>
      <c r="AS50" s="25" t="s">
        <v>79</v>
      </c>
      <c r="AT50" s="27" t="s">
        <v>52</v>
      </c>
      <c r="AU50" s="27"/>
      <c r="AW50" s="25"/>
      <c r="AX50" s="27"/>
      <c r="AY50" s="27"/>
      <c r="AZ50" s="32"/>
      <c r="BA50" s="41">
        <v>0</v>
      </c>
    </row>
    <row r="51" spans="1:53" ht="16" thickBot="1" x14ac:dyDescent="0.25">
      <c r="A51" s="25">
        <v>44</v>
      </c>
      <c r="B51" s="26">
        <v>45154</v>
      </c>
      <c r="C51" s="27"/>
      <c r="D51" s="25"/>
      <c r="E51" s="28"/>
      <c r="F51" s="27"/>
      <c r="G51" s="28"/>
      <c r="H51" s="27"/>
      <c r="I51" s="28"/>
      <c r="J51" s="27">
        <v>1.2</v>
      </c>
      <c r="K51" s="29" t="s">
        <v>35</v>
      </c>
      <c r="L51" s="39"/>
      <c r="M51" s="31"/>
      <c r="N51" s="27" t="s">
        <v>76</v>
      </c>
      <c r="P51" s="32"/>
      <c r="Q51" s="27"/>
      <c r="R51" s="27"/>
      <c r="S51" s="27"/>
      <c r="T51" s="28"/>
      <c r="U51" s="27"/>
      <c r="V51" s="27" t="s">
        <v>154</v>
      </c>
      <c r="W51" s="28"/>
      <c r="X51" s="33"/>
      <c r="Y51" s="32"/>
      <c r="Z51" s="59"/>
      <c r="AA51" s="60"/>
      <c r="AB51" s="61"/>
      <c r="AC51" s="27"/>
      <c r="AD51" s="27"/>
      <c r="AE51" s="33"/>
      <c r="AG51" s="25">
        <v>0.05</v>
      </c>
      <c r="AH51" s="34">
        <v>0.05</v>
      </c>
      <c r="AI51" s="27"/>
      <c r="AJ51" s="27"/>
      <c r="AK51" s="27"/>
      <c r="AL51" s="25"/>
      <c r="AM51" s="34"/>
      <c r="AN51" s="27">
        <v>0.05</v>
      </c>
      <c r="AO51" s="27">
        <v>0.05</v>
      </c>
      <c r="AP51" s="36">
        <v>0.05</v>
      </c>
      <c r="AQ51" s="37"/>
      <c r="AR51" s="32"/>
      <c r="AS51" s="25" t="s">
        <v>79</v>
      </c>
      <c r="AT51" s="27" t="s">
        <v>52</v>
      </c>
      <c r="AU51" s="58" t="s">
        <v>81</v>
      </c>
      <c r="AW51" s="25"/>
      <c r="AX51" s="27"/>
      <c r="AY51" s="27"/>
      <c r="AZ51" s="32"/>
      <c r="BA51" s="41">
        <v>0</v>
      </c>
    </row>
    <row r="52" spans="1:53" x14ac:dyDescent="0.2">
      <c r="A52" s="25">
        <v>45</v>
      </c>
      <c r="B52" s="26">
        <v>45155</v>
      </c>
      <c r="C52" s="27"/>
      <c r="D52" s="25"/>
      <c r="E52" s="28"/>
      <c r="F52" s="27"/>
      <c r="G52" s="28"/>
      <c r="H52" s="27"/>
      <c r="I52" s="28"/>
      <c r="J52" s="27">
        <v>1.2</v>
      </c>
      <c r="K52" s="29" t="s">
        <v>35</v>
      </c>
      <c r="L52" s="39"/>
      <c r="M52" s="31"/>
      <c r="N52" s="27" t="s">
        <v>76</v>
      </c>
      <c r="P52" s="32"/>
      <c r="Q52" s="25"/>
      <c r="R52" s="27"/>
      <c r="S52" s="27"/>
      <c r="T52" s="28"/>
      <c r="U52" s="27"/>
      <c r="V52" s="27" t="s">
        <v>154</v>
      </c>
      <c r="W52" s="28"/>
      <c r="X52" s="33"/>
      <c r="Y52" s="32"/>
      <c r="Z52" s="25"/>
      <c r="AA52" s="27"/>
      <c r="AB52" s="28"/>
      <c r="AC52" s="27"/>
      <c r="AD52" s="27"/>
      <c r="AE52" s="33"/>
      <c r="AG52" s="25">
        <v>0.05</v>
      </c>
      <c r="AH52" s="34">
        <v>0.05</v>
      </c>
      <c r="AI52" s="27"/>
      <c r="AJ52" s="27"/>
      <c r="AK52" s="27"/>
      <c r="AL52" s="25"/>
      <c r="AM52" s="34"/>
      <c r="AN52" s="27">
        <v>0.05</v>
      </c>
      <c r="AO52" s="27">
        <v>0.05</v>
      </c>
      <c r="AP52" s="36">
        <v>0.05</v>
      </c>
      <c r="AQ52" s="37"/>
      <c r="AR52" s="32"/>
      <c r="AS52" s="25" t="s">
        <v>82</v>
      </c>
      <c r="AT52" s="27" t="s">
        <v>52</v>
      </c>
      <c r="AW52" s="25"/>
      <c r="AX52" s="27"/>
      <c r="AY52" s="27"/>
      <c r="AZ52" s="32"/>
      <c r="BA52" s="41">
        <v>4</v>
      </c>
    </row>
    <row r="53" spans="1:53" x14ac:dyDescent="0.2">
      <c r="A53" s="25">
        <v>46</v>
      </c>
      <c r="B53" s="26">
        <v>45156</v>
      </c>
      <c r="C53" s="27"/>
      <c r="D53" s="25"/>
      <c r="E53" s="28"/>
      <c r="F53" s="27"/>
      <c r="G53" s="28"/>
      <c r="H53" s="27"/>
      <c r="I53" s="28"/>
      <c r="J53" s="27">
        <v>1.2</v>
      </c>
      <c r="K53" s="29" t="s">
        <v>35</v>
      </c>
      <c r="L53" s="39"/>
      <c r="M53" s="31"/>
      <c r="N53" s="27" t="s">
        <v>76</v>
      </c>
      <c r="P53" s="32"/>
      <c r="Q53" s="25"/>
      <c r="R53" s="27"/>
      <c r="S53" s="27"/>
      <c r="T53" s="28"/>
      <c r="U53" s="27"/>
      <c r="V53" s="27" t="s">
        <v>154</v>
      </c>
      <c r="W53" s="28"/>
      <c r="X53" s="33"/>
      <c r="Y53" s="32"/>
      <c r="Z53" s="25"/>
      <c r="AA53" s="27"/>
      <c r="AB53" s="28"/>
      <c r="AC53" s="27"/>
      <c r="AD53" s="27"/>
      <c r="AE53" s="33"/>
      <c r="AG53" s="25">
        <v>0.05</v>
      </c>
      <c r="AH53" s="34">
        <v>0.05</v>
      </c>
      <c r="AI53" s="27"/>
      <c r="AJ53" s="27"/>
      <c r="AK53" s="27"/>
      <c r="AL53" s="25"/>
      <c r="AM53" s="34"/>
      <c r="AN53" s="27">
        <v>0.05</v>
      </c>
      <c r="AO53" s="27">
        <v>0.05</v>
      </c>
      <c r="AP53" s="36">
        <v>0.05</v>
      </c>
      <c r="AQ53" s="37"/>
      <c r="AR53" s="32"/>
      <c r="AS53" s="25" t="s">
        <v>82</v>
      </c>
      <c r="AT53" s="27" t="s">
        <v>52</v>
      </c>
      <c r="AU53" s="27"/>
      <c r="AW53" s="25"/>
      <c r="AX53" s="27"/>
      <c r="AY53" s="27"/>
      <c r="AZ53" s="32"/>
      <c r="BA53" s="41">
        <v>0</v>
      </c>
    </row>
    <row r="54" spans="1:53" x14ac:dyDescent="0.2">
      <c r="A54" s="25">
        <v>47</v>
      </c>
      <c r="B54" s="26">
        <v>45157</v>
      </c>
      <c r="C54" s="27"/>
      <c r="D54" s="25"/>
      <c r="E54" s="28"/>
      <c r="F54" s="27"/>
      <c r="G54" s="28"/>
      <c r="H54" s="27"/>
      <c r="I54" s="28"/>
      <c r="J54" s="27">
        <v>1.2</v>
      </c>
      <c r="K54" s="29" t="s">
        <v>35</v>
      </c>
      <c r="L54" s="39"/>
      <c r="M54" s="31"/>
      <c r="N54" s="27" t="s">
        <v>76</v>
      </c>
      <c r="P54" s="32"/>
      <c r="Q54" s="25"/>
      <c r="R54" s="27"/>
      <c r="S54" s="27"/>
      <c r="T54" s="28"/>
      <c r="U54" s="27"/>
      <c r="V54" s="27" t="s">
        <v>154</v>
      </c>
      <c r="W54" s="28"/>
      <c r="X54" s="33"/>
      <c r="Y54" s="32"/>
      <c r="Z54" s="25"/>
      <c r="AA54" s="27"/>
      <c r="AB54" s="28"/>
      <c r="AC54" s="27"/>
      <c r="AD54" s="27"/>
      <c r="AE54" s="33"/>
      <c r="AG54" s="25">
        <v>0.05</v>
      </c>
      <c r="AH54" s="34">
        <v>0.05</v>
      </c>
      <c r="AI54" s="27"/>
      <c r="AJ54" s="27"/>
      <c r="AK54" s="27"/>
      <c r="AL54" s="25"/>
      <c r="AM54" s="34"/>
      <c r="AN54" s="27">
        <v>0.05</v>
      </c>
      <c r="AO54" s="27">
        <v>0.05</v>
      </c>
      <c r="AP54" s="36">
        <v>0.05</v>
      </c>
      <c r="AQ54" s="37"/>
      <c r="AR54" s="32"/>
      <c r="AS54" s="25" t="s">
        <v>82</v>
      </c>
      <c r="AT54" s="27" t="s">
        <v>52</v>
      </c>
      <c r="AU54" s="27"/>
      <c r="AW54" s="25"/>
      <c r="AX54" s="27"/>
      <c r="AY54" s="27"/>
      <c r="AZ54" s="32"/>
      <c r="BA54" s="41">
        <v>1</v>
      </c>
    </row>
    <row r="55" spans="1:53" x14ac:dyDescent="0.2">
      <c r="A55" s="25">
        <v>48</v>
      </c>
      <c r="B55" s="26">
        <v>45158</v>
      </c>
      <c r="C55" s="27"/>
      <c r="D55" s="25"/>
      <c r="E55" s="28"/>
      <c r="F55" s="27"/>
      <c r="G55" s="28"/>
      <c r="H55" s="27"/>
      <c r="I55" s="28"/>
      <c r="J55" s="27">
        <v>1.2</v>
      </c>
      <c r="K55" s="29" t="s">
        <v>35</v>
      </c>
      <c r="M55" s="31"/>
      <c r="N55" s="27" t="s">
        <v>76</v>
      </c>
      <c r="P55" s="32"/>
      <c r="Q55" s="25"/>
      <c r="R55" s="27"/>
      <c r="S55" s="27"/>
      <c r="T55" s="28"/>
      <c r="U55" s="27"/>
      <c r="V55" s="27" t="s">
        <v>154</v>
      </c>
      <c r="W55" s="28"/>
      <c r="X55" s="33"/>
      <c r="Y55" s="32"/>
      <c r="Z55" s="25"/>
      <c r="AA55" s="27"/>
      <c r="AB55" s="28"/>
      <c r="AC55" s="27"/>
      <c r="AD55" s="27"/>
      <c r="AE55" s="33"/>
      <c r="AG55" s="25">
        <v>0.05</v>
      </c>
      <c r="AH55" s="34">
        <v>0.05</v>
      </c>
      <c r="AI55" s="27"/>
      <c r="AJ55" s="27"/>
      <c r="AK55" s="27"/>
      <c r="AL55" s="25"/>
      <c r="AM55" s="34"/>
      <c r="AN55" s="27">
        <v>0.05</v>
      </c>
      <c r="AO55" s="27">
        <v>0.05</v>
      </c>
      <c r="AP55" s="36">
        <v>0.05</v>
      </c>
      <c r="AQ55" s="37"/>
      <c r="AR55" s="32"/>
      <c r="AS55" s="25" t="s">
        <v>82</v>
      </c>
      <c r="AT55" s="27" t="s">
        <v>52</v>
      </c>
      <c r="AU55" s="27"/>
      <c r="AW55" s="25"/>
      <c r="AX55" s="27"/>
      <c r="AY55" s="27"/>
      <c r="AZ55" s="32"/>
      <c r="BA55" s="41">
        <v>1</v>
      </c>
    </row>
    <row r="56" spans="1:53" ht="16" thickBot="1" x14ac:dyDescent="0.25">
      <c r="A56" s="25">
        <v>49</v>
      </c>
      <c r="B56" s="26">
        <v>45159</v>
      </c>
      <c r="C56" s="27"/>
      <c r="D56" s="25"/>
      <c r="E56" s="28"/>
      <c r="F56" s="27"/>
      <c r="G56" s="28"/>
      <c r="H56" s="27"/>
      <c r="I56" s="28"/>
      <c r="J56" s="27">
        <v>1.2</v>
      </c>
      <c r="K56" s="29" t="s">
        <v>35</v>
      </c>
      <c r="L56" s="39"/>
      <c r="M56" s="31"/>
      <c r="N56" s="27" t="s">
        <v>76</v>
      </c>
      <c r="P56" s="32"/>
      <c r="Q56" s="25"/>
      <c r="R56" s="27"/>
      <c r="S56" s="27"/>
      <c r="T56" s="28"/>
      <c r="U56" s="27"/>
      <c r="V56" s="27" t="s">
        <v>154</v>
      </c>
      <c r="W56" s="28"/>
      <c r="X56" s="33"/>
      <c r="Y56" s="32"/>
      <c r="Z56" s="25"/>
      <c r="AA56" s="27"/>
      <c r="AB56" s="28"/>
      <c r="AC56" s="27"/>
      <c r="AD56" s="27"/>
      <c r="AE56" s="33"/>
      <c r="AG56" s="25">
        <v>0.05</v>
      </c>
      <c r="AH56" s="34">
        <v>0.05</v>
      </c>
      <c r="AI56" s="27"/>
      <c r="AJ56" s="27"/>
      <c r="AK56" s="27"/>
      <c r="AL56" s="25"/>
      <c r="AM56" s="34"/>
      <c r="AN56" s="27">
        <v>0.05</v>
      </c>
      <c r="AO56" s="27">
        <v>0.05</v>
      </c>
      <c r="AP56" s="36">
        <v>0.05</v>
      </c>
      <c r="AQ56" s="37"/>
      <c r="AR56" s="32"/>
      <c r="AS56" s="25" t="s">
        <v>82</v>
      </c>
      <c r="AT56" s="27" t="s">
        <v>52</v>
      </c>
      <c r="AU56" s="27"/>
      <c r="AW56" s="25"/>
      <c r="AX56" s="27"/>
      <c r="AY56" s="27"/>
      <c r="AZ56" s="32"/>
      <c r="BA56" s="41">
        <v>0</v>
      </c>
    </row>
    <row r="57" spans="1:53" ht="16" thickBot="1" x14ac:dyDescent="0.25">
      <c r="A57" s="25">
        <v>50</v>
      </c>
      <c r="B57" s="26">
        <v>45160</v>
      </c>
      <c r="C57" s="27"/>
      <c r="D57" s="25"/>
      <c r="E57" s="28"/>
      <c r="F57" s="27"/>
      <c r="G57" s="28"/>
      <c r="H57" s="27"/>
      <c r="I57" s="28"/>
      <c r="J57" s="27">
        <v>1.2</v>
      </c>
      <c r="K57" s="29" t="s">
        <v>35</v>
      </c>
      <c r="L57" s="44" t="s">
        <v>83</v>
      </c>
      <c r="M57" s="31"/>
      <c r="N57" s="27" t="s">
        <v>76</v>
      </c>
      <c r="O57" s="45" t="s">
        <v>84</v>
      </c>
      <c r="P57" s="46" t="s">
        <v>85</v>
      </c>
      <c r="Q57" s="25"/>
      <c r="R57" s="27"/>
      <c r="S57" s="27"/>
      <c r="T57" s="28"/>
      <c r="U57" s="27"/>
      <c r="V57" s="27" t="s">
        <v>154</v>
      </c>
      <c r="W57" s="28"/>
      <c r="X57" s="33"/>
      <c r="Y57" s="32"/>
      <c r="Z57" s="25"/>
      <c r="AA57" s="27"/>
      <c r="AB57" s="28"/>
      <c r="AC57" s="27"/>
      <c r="AD57" s="27"/>
      <c r="AE57" s="33"/>
      <c r="AG57" s="25">
        <v>0.05</v>
      </c>
      <c r="AH57" s="34">
        <v>0.05</v>
      </c>
      <c r="AI57" s="27"/>
      <c r="AJ57" s="27"/>
      <c r="AK57" s="27"/>
      <c r="AL57" s="25"/>
      <c r="AM57" s="34"/>
      <c r="AN57" s="27">
        <v>0.05</v>
      </c>
      <c r="AO57" s="27">
        <v>0.05</v>
      </c>
      <c r="AP57" s="36">
        <v>0.05</v>
      </c>
      <c r="AQ57" s="37"/>
      <c r="AR57" s="32"/>
      <c r="AS57" s="25" t="s">
        <v>86</v>
      </c>
      <c r="AT57" s="27" t="s">
        <v>87</v>
      </c>
      <c r="AU57" s="58" t="s">
        <v>88</v>
      </c>
      <c r="AW57" s="25"/>
      <c r="AX57" s="27"/>
      <c r="AY57" s="27"/>
      <c r="AZ57" s="32"/>
      <c r="BA57" s="41">
        <v>0</v>
      </c>
    </row>
    <row r="58" spans="1:53" ht="16" thickBot="1" x14ac:dyDescent="0.25">
      <c r="A58" s="25">
        <v>51</v>
      </c>
      <c r="B58" s="26">
        <v>45161</v>
      </c>
      <c r="C58" s="27"/>
      <c r="D58" s="25"/>
      <c r="E58" s="28"/>
      <c r="F58" s="27"/>
      <c r="G58" s="28"/>
      <c r="H58" s="27"/>
      <c r="I58" s="28"/>
      <c r="J58" s="27">
        <v>2</v>
      </c>
      <c r="K58" s="29" t="s">
        <v>35</v>
      </c>
      <c r="L58" s="88" t="s">
        <v>89</v>
      </c>
      <c r="M58" s="31"/>
      <c r="N58" s="27"/>
      <c r="P58" s="46"/>
      <c r="Q58" s="27"/>
      <c r="R58" s="27"/>
      <c r="S58" s="27"/>
      <c r="T58" s="28"/>
      <c r="U58" s="27"/>
      <c r="V58" s="27" t="s">
        <v>154</v>
      </c>
      <c r="W58" s="28"/>
      <c r="X58" s="33"/>
      <c r="Y58" s="32"/>
      <c r="Z58" s="25"/>
      <c r="AA58" s="27"/>
      <c r="AB58" s="28"/>
      <c r="AC58" s="27"/>
      <c r="AD58" s="27"/>
      <c r="AE58" s="33"/>
      <c r="AG58" s="25"/>
      <c r="AH58" s="34"/>
      <c r="AI58" s="27"/>
      <c r="AJ58" s="27"/>
      <c r="AK58" s="27"/>
      <c r="AL58" s="25"/>
      <c r="AM58" s="34"/>
      <c r="AN58" s="27"/>
      <c r="AO58" s="27"/>
      <c r="AP58" s="36"/>
      <c r="AQ58" s="37"/>
      <c r="AR58" s="32"/>
      <c r="AS58" s="25" t="s">
        <v>86</v>
      </c>
      <c r="AT58" s="27" t="s">
        <v>87</v>
      </c>
      <c r="AU58" s="27"/>
      <c r="AW58" s="25"/>
      <c r="AX58" s="27"/>
      <c r="AY58" s="27"/>
      <c r="AZ58" s="32"/>
      <c r="BA58" s="41">
        <v>0</v>
      </c>
    </row>
    <row r="59" spans="1:53" ht="16" thickBot="1" x14ac:dyDescent="0.25">
      <c r="A59" s="25">
        <v>52</v>
      </c>
      <c r="B59" s="26">
        <v>45162</v>
      </c>
      <c r="C59" s="27"/>
      <c r="D59" s="25"/>
      <c r="E59" s="28"/>
      <c r="F59" s="27"/>
      <c r="G59" s="28"/>
      <c r="H59" s="27"/>
      <c r="I59" s="28"/>
      <c r="J59" s="27">
        <v>2</v>
      </c>
      <c r="K59" s="29" t="s">
        <v>35</v>
      </c>
      <c r="L59" s="39"/>
      <c r="M59" s="31"/>
      <c r="N59" s="27"/>
      <c r="P59" s="32"/>
      <c r="Q59" s="25"/>
      <c r="R59" s="27"/>
      <c r="S59" s="27"/>
      <c r="T59" s="28"/>
      <c r="U59" s="27"/>
      <c r="V59" s="27" t="s">
        <v>154</v>
      </c>
      <c r="W59" s="28"/>
      <c r="X59" s="33"/>
      <c r="Y59" s="32"/>
      <c r="Z59" s="25"/>
      <c r="AA59" s="27"/>
      <c r="AB59" s="28"/>
      <c r="AC59" s="27"/>
      <c r="AD59" s="27"/>
      <c r="AE59" s="33"/>
      <c r="AG59" s="25">
        <v>0.05</v>
      </c>
      <c r="AH59" s="34">
        <v>0.05</v>
      </c>
      <c r="AI59" s="27"/>
      <c r="AJ59" s="27"/>
      <c r="AK59" s="27"/>
      <c r="AL59" s="25"/>
      <c r="AM59" s="34"/>
      <c r="AN59" s="27">
        <v>0.05</v>
      </c>
      <c r="AO59" s="27">
        <v>0.05</v>
      </c>
      <c r="AP59" s="36">
        <v>0.05</v>
      </c>
      <c r="AQ59" s="37"/>
      <c r="AR59" s="32"/>
      <c r="AS59" s="25" t="s">
        <v>86</v>
      </c>
      <c r="AT59" s="27" t="s">
        <v>87</v>
      </c>
      <c r="AW59" s="25"/>
      <c r="AX59" s="27"/>
      <c r="AY59" s="27"/>
      <c r="AZ59" s="32"/>
      <c r="BA59" s="41">
        <v>0</v>
      </c>
    </row>
    <row r="60" spans="1:53" ht="16" thickBot="1" x14ac:dyDescent="0.25">
      <c r="A60" s="25">
        <v>53</v>
      </c>
      <c r="B60" s="26">
        <v>45163</v>
      </c>
      <c r="C60" s="27"/>
      <c r="D60" s="25"/>
      <c r="E60" s="28"/>
      <c r="F60" s="27"/>
      <c r="G60" s="28"/>
      <c r="H60" s="27"/>
      <c r="I60" s="28"/>
      <c r="J60" s="27">
        <v>2</v>
      </c>
      <c r="K60" s="29" t="s">
        <v>35</v>
      </c>
      <c r="L60" s="39"/>
      <c r="M60" s="31"/>
      <c r="N60" s="27"/>
      <c r="P60" s="32"/>
      <c r="Q60" s="25"/>
      <c r="R60" s="27"/>
      <c r="S60" s="27"/>
      <c r="T60" s="28"/>
      <c r="U60" s="27"/>
      <c r="V60" s="27" t="s">
        <v>154</v>
      </c>
      <c r="W60" s="28"/>
      <c r="X60" s="33"/>
      <c r="Y60" s="32"/>
      <c r="Z60" s="25"/>
      <c r="AA60" s="27"/>
      <c r="AB60" s="28"/>
      <c r="AC60" s="27"/>
      <c r="AD60" s="27"/>
      <c r="AE60" s="33"/>
      <c r="AG60" s="25">
        <v>0.05</v>
      </c>
      <c r="AH60" s="34">
        <v>0.05</v>
      </c>
      <c r="AI60" s="27"/>
      <c r="AJ60" s="27"/>
      <c r="AK60" s="27"/>
      <c r="AL60" s="25"/>
      <c r="AM60" s="34"/>
      <c r="AN60" s="27">
        <v>0.05</v>
      </c>
      <c r="AO60" s="27">
        <v>0.05</v>
      </c>
      <c r="AP60" s="36">
        <v>0.1</v>
      </c>
      <c r="AQ60" s="37"/>
      <c r="AR60" s="32"/>
      <c r="AS60" s="25" t="s">
        <v>86</v>
      </c>
      <c r="AT60" s="27" t="s">
        <v>87</v>
      </c>
      <c r="AU60" s="27"/>
      <c r="AW60" s="25" t="s">
        <v>90</v>
      </c>
      <c r="AX60" s="27" t="s">
        <v>91</v>
      </c>
      <c r="AY60" s="89" t="s">
        <v>92</v>
      </c>
      <c r="AZ60" s="32"/>
      <c r="BA60" s="41">
        <v>0</v>
      </c>
    </row>
    <row r="61" spans="1:53" ht="16" thickBot="1" x14ac:dyDescent="0.25">
      <c r="A61" s="25">
        <v>54</v>
      </c>
      <c r="B61" s="26">
        <v>45164</v>
      </c>
      <c r="C61" s="27"/>
      <c r="D61" s="25"/>
      <c r="E61" s="28"/>
      <c r="F61" s="27"/>
      <c r="G61" s="28"/>
      <c r="H61" s="27"/>
      <c r="I61" s="28"/>
      <c r="J61" s="27">
        <v>2</v>
      </c>
      <c r="K61" s="29" t="s">
        <v>35</v>
      </c>
      <c r="L61" s="39"/>
      <c r="M61" s="31"/>
      <c r="N61" s="27"/>
      <c r="P61" s="32"/>
      <c r="Q61" s="25"/>
      <c r="R61" s="27"/>
      <c r="S61" s="27"/>
      <c r="T61" s="28"/>
      <c r="U61" s="27"/>
      <c r="V61" s="27" t="s">
        <v>154</v>
      </c>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U61" s="27"/>
      <c r="AW61" s="25" t="s">
        <v>90</v>
      </c>
      <c r="AX61" s="27" t="s">
        <v>91</v>
      </c>
      <c r="AY61" s="27"/>
      <c r="AZ61" s="32"/>
      <c r="BA61" s="41">
        <v>1</v>
      </c>
    </row>
    <row r="62" spans="1:53" ht="16" thickBot="1" x14ac:dyDescent="0.25">
      <c r="A62" s="25">
        <v>55</v>
      </c>
      <c r="B62" s="26">
        <v>45165</v>
      </c>
      <c r="C62" s="27"/>
      <c r="D62" s="25"/>
      <c r="E62" s="28"/>
      <c r="F62" s="27"/>
      <c r="G62" s="28"/>
      <c r="H62" s="27"/>
      <c r="I62" s="28"/>
      <c r="J62" s="27">
        <v>2</v>
      </c>
      <c r="K62" s="29" t="s">
        <v>35</v>
      </c>
      <c r="L62" s="39"/>
      <c r="M62" s="31"/>
      <c r="N62" s="27"/>
      <c r="P62" s="32"/>
      <c r="Q62" s="25"/>
      <c r="R62" s="27"/>
      <c r="S62" s="27"/>
      <c r="T62" s="28"/>
      <c r="U62" s="27"/>
      <c r="V62" s="27" t="s">
        <v>154</v>
      </c>
      <c r="W62" s="28"/>
      <c r="X62" s="33"/>
      <c r="Y62" s="32"/>
      <c r="Z62" s="25"/>
      <c r="AA62" s="27"/>
      <c r="AB62" s="28"/>
      <c r="AC62" s="27"/>
      <c r="AD62" s="27"/>
      <c r="AE62" s="33"/>
      <c r="AG62" s="25"/>
      <c r="AH62" s="34"/>
      <c r="AI62" s="27"/>
      <c r="AJ62" s="27"/>
      <c r="AK62" s="27"/>
      <c r="AL62" s="25"/>
      <c r="AM62" s="34"/>
      <c r="AN62" s="27"/>
      <c r="AO62" s="27"/>
      <c r="AP62" s="36"/>
      <c r="AQ62" s="82" t="s">
        <v>93</v>
      </c>
      <c r="AR62" s="32"/>
      <c r="AS62" s="25" t="s">
        <v>86</v>
      </c>
      <c r="AT62" s="27" t="s">
        <v>87</v>
      </c>
      <c r="AW62" s="25" t="s">
        <v>90</v>
      </c>
      <c r="AX62" s="27" t="s">
        <v>91</v>
      </c>
      <c r="AY62" s="27"/>
      <c r="AZ62" s="32"/>
      <c r="BA62" s="41">
        <v>2</v>
      </c>
    </row>
    <row r="63" spans="1:53" x14ac:dyDescent="0.2">
      <c r="A63" s="25">
        <v>56</v>
      </c>
      <c r="B63" s="26">
        <v>45166</v>
      </c>
      <c r="C63" s="27"/>
      <c r="D63" s="25"/>
      <c r="E63" s="28"/>
      <c r="F63" s="27"/>
      <c r="G63" s="28"/>
      <c r="H63" s="27"/>
      <c r="I63" s="28"/>
      <c r="J63" s="27">
        <v>2</v>
      </c>
      <c r="K63" s="29" t="s">
        <v>35</v>
      </c>
      <c r="L63" s="39"/>
      <c r="M63" s="31"/>
      <c r="N63" s="27"/>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c r="AO63" s="27"/>
      <c r="AP63" s="36"/>
      <c r="AQ63" s="37"/>
      <c r="AR63" s="32"/>
      <c r="AS63" s="25" t="s">
        <v>86</v>
      </c>
      <c r="AT63" s="27" t="s">
        <v>87</v>
      </c>
      <c r="AU63" s="27"/>
      <c r="AW63" s="25" t="s">
        <v>90</v>
      </c>
      <c r="AX63" s="27" t="s">
        <v>91</v>
      </c>
      <c r="AY63" s="27"/>
      <c r="AZ63" s="32"/>
      <c r="BA63" s="41">
        <v>0</v>
      </c>
    </row>
    <row r="64" spans="1:53" ht="16" thickBot="1" x14ac:dyDescent="0.25">
      <c r="A64" s="25">
        <v>57</v>
      </c>
      <c r="B64" s="26">
        <v>45167</v>
      </c>
      <c r="C64" s="27"/>
      <c r="D64" s="25"/>
      <c r="E64" s="28"/>
      <c r="F64" s="27"/>
      <c r="G64" s="28"/>
      <c r="H64" s="27"/>
      <c r="I64" s="28"/>
      <c r="J64" s="27">
        <v>2</v>
      </c>
      <c r="K64" s="29" t="s">
        <v>35</v>
      </c>
      <c r="L64" s="39"/>
      <c r="M64" s="31"/>
      <c r="N64" s="27"/>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c r="AO64" s="27"/>
      <c r="AP64" s="36"/>
      <c r="AQ64" s="37"/>
      <c r="AR64" s="32"/>
      <c r="AS64" s="25" t="s">
        <v>86</v>
      </c>
      <c r="AT64" s="27" t="s">
        <v>87</v>
      </c>
      <c r="AU64" s="27"/>
      <c r="AW64" s="25" t="s">
        <v>90</v>
      </c>
      <c r="AX64" s="27" t="s">
        <v>91</v>
      </c>
      <c r="AY64" s="27"/>
      <c r="AZ64" s="32"/>
      <c r="BA64" s="41">
        <v>0</v>
      </c>
    </row>
    <row r="65" spans="1:53" ht="16" thickBot="1" x14ac:dyDescent="0.25">
      <c r="A65" s="25">
        <v>58</v>
      </c>
      <c r="B65" s="26">
        <v>45168</v>
      </c>
      <c r="C65" s="27"/>
      <c r="D65" s="25"/>
      <c r="E65" s="28"/>
      <c r="F65" s="27"/>
      <c r="G65" s="28"/>
      <c r="H65" s="27"/>
      <c r="I65" s="28"/>
      <c r="J65" s="27">
        <v>2</v>
      </c>
      <c r="K65" s="29" t="s">
        <v>35</v>
      </c>
      <c r="L65" s="39"/>
      <c r="M65" s="31"/>
      <c r="N65" s="27"/>
      <c r="P65" s="32"/>
      <c r="Q65" s="25"/>
      <c r="R65" s="27"/>
      <c r="S65" s="27"/>
      <c r="T65" s="28"/>
      <c r="U65" s="27"/>
      <c r="V65" s="27" t="s">
        <v>154</v>
      </c>
      <c r="W65" s="28"/>
      <c r="X65" s="33"/>
      <c r="Y65" s="32"/>
      <c r="Z65" s="25"/>
      <c r="AA65" s="27"/>
      <c r="AB65" s="28"/>
      <c r="AC65" s="27"/>
      <c r="AD65" s="27"/>
      <c r="AE65" s="33"/>
      <c r="AG65" s="25">
        <v>0.05</v>
      </c>
      <c r="AH65" s="34">
        <v>0.05</v>
      </c>
      <c r="AI65" s="27"/>
      <c r="AJ65" s="27"/>
      <c r="AK65" s="27"/>
      <c r="AL65" s="25"/>
      <c r="AM65" s="34"/>
      <c r="AN65" s="27">
        <v>0.05</v>
      </c>
      <c r="AO65" s="27">
        <v>0.05</v>
      </c>
      <c r="AP65" s="36">
        <v>0.05</v>
      </c>
      <c r="AQ65" s="37"/>
      <c r="AR65" s="32"/>
      <c r="AS65" s="25" t="s">
        <v>86</v>
      </c>
      <c r="AT65" s="27" t="s">
        <v>87</v>
      </c>
      <c r="AU65" s="27"/>
      <c r="AW65" s="25" t="s">
        <v>90</v>
      </c>
      <c r="AX65" s="27" t="s">
        <v>91</v>
      </c>
      <c r="AY65" s="89" t="s">
        <v>94</v>
      </c>
      <c r="AZ65" s="32"/>
      <c r="BA65" s="41">
        <v>0</v>
      </c>
    </row>
    <row r="66" spans="1:53" ht="16" thickBot="1" x14ac:dyDescent="0.25">
      <c r="A66" s="25">
        <v>59</v>
      </c>
      <c r="B66" s="26">
        <v>45169</v>
      </c>
      <c r="C66" s="27"/>
      <c r="D66" s="25"/>
      <c r="E66" s="28"/>
      <c r="F66" s="27"/>
      <c r="G66" s="28"/>
      <c r="H66" s="27"/>
      <c r="I66" s="28"/>
      <c r="J66" s="27">
        <v>2</v>
      </c>
      <c r="K66" s="29" t="s">
        <v>35</v>
      </c>
      <c r="L66" s="39"/>
      <c r="M66" s="31"/>
      <c r="N66" s="27"/>
      <c r="P66" s="32"/>
      <c r="Q66" s="25"/>
      <c r="R66" s="27"/>
      <c r="S66" s="27"/>
      <c r="T66" s="28"/>
      <c r="U66" s="27"/>
      <c r="V66" s="27" t="s">
        <v>154</v>
      </c>
      <c r="W66" s="28"/>
      <c r="X66" s="33"/>
      <c r="Y66" s="32"/>
      <c r="Z66" s="25"/>
      <c r="AA66" s="27"/>
      <c r="AB66" s="28"/>
      <c r="AC66" s="27"/>
      <c r="AD66" s="27"/>
      <c r="AE66" s="33"/>
      <c r="AG66" s="25">
        <v>0.05</v>
      </c>
      <c r="AH66" s="34">
        <v>0.05</v>
      </c>
      <c r="AI66" s="27"/>
      <c r="AJ66" s="27"/>
      <c r="AK66" s="27"/>
      <c r="AL66" s="25"/>
      <c r="AM66" s="34"/>
      <c r="AN66" s="27">
        <v>0.1</v>
      </c>
      <c r="AO66" s="27">
        <v>0.1</v>
      </c>
      <c r="AP66" s="36">
        <v>0.1</v>
      </c>
      <c r="AQ66" s="37"/>
      <c r="AR66" s="32"/>
      <c r="AS66" s="25" t="s">
        <v>86</v>
      </c>
      <c r="AT66" s="27" t="s">
        <v>87</v>
      </c>
      <c r="AU66" s="27"/>
      <c r="AW66" s="25" t="s">
        <v>90</v>
      </c>
      <c r="AX66" s="27" t="s">
        <v>95</v>
      </c>
      <c r="AY66" s="27"/>
      <c r="AZ66" s="32"/>
      <c r="BA66" s="41">
        <v>0</v>
      </c>
    </row>
    <row r="67" spans="1:53" ht="16" thickBot="1" x14ac:dyDescent="0.25">
      <c r="A67" s="25">
        <v>60</v>
      </c>
      <c r="B67" s="26">
        <v>45170</v>
      </c>
      <c r="C67" s="27"/>
      <c r="D67" s="25"/>
      <c r="E67" s="28"/>
      <c r="F67" s="27"/>
      <c r="G67" s="28"/>
      <c r="H67" s="27"/>
      <c r="I67" s="28"/>
      <c r="J67" s="27">
        <v>2</v>
      </c>
      <c r="K67" s="29" t="s">
        <v>35</v>
      </c>
      <c r="L67" s="39"/>
      <c r="M67" s="31"/>
      <c r="N67" s="27"/>
      <c r="P67" s="32"/>
      <c r="Q67" s="25"/>
      <c r="R67" s="27"/>
      <c r="S67" s="27"/>
      <c r="T67" s="28"/>
      <c r="U67" s="27"/>
      <c r="V67" s="27" t="s">
        <v>154</v>
      </c>
      <c r="W67" s="28"/>
      <c r="X67" s="33"/>
      <c r="Y67" s="32"/>
      <c r="Z67" s="25"/>
      <c r="AA67" s="27"/>
      <c r="AB67" s="28"/>
      <c r="AC67" s="27"/>
      <c r="AD67" s="27"/>
      <c r="AE67" s="33"/>
      <c r="AG67" s="25">
        <v>0.05</v>
      </c>
      <c r="AH67" s="34">
        <v>0.05</v>
      </c>
      <c r="AI67" s="27"/>
      <c r="AJ67" s="27"/>
      <c r="AK67" s="27"/>
      <c r="AL67" s="25"/>
      <c r="AM67" s="34"/>
      <c r="AN67" s="27">
        <v>0.1</v>
      </c>
      <c r="AO67" s="27">
        <v>0.1</v>
      </c>
      <c r="AP67" s="36">
        <v>0.1</v>
      </c>
      <c r="AQ67" s="37"/>
      <c r="AR67" s="32"/>
      <c r="AS67" s="25" t="s">
        <v>96</v>
      </c>
      <c r="AT67" s="27" t="s">
        <v>87</v>
      </c>
      <c r="AU67" s="58" t="s">
        <v>97</v>
      </c>
      <c r="AW67" s="25" t="s">
        <v>90</v>
      </c>
      <c r="AX67" s="27" t="s">
        <v>95</v>
      </c>
      <c r="AY67" s="27"/>
      <c r="AZ67" s="32"/>
      <c r="BA67" s="41">
        <v>0</v>
      </c>
    </row>
    <row r="68" spans="1:53" x14ac:dyDescent="0.2">
      <c r="A68" s="25">
        <v>61</v>
      </c>
      <c r="B68" s="26">
        <v>45171</v>
      </c>
      <c r="C68" s="27"/>
      <c r="D68" s="25"/>
      <c r="E68" s="28"/>
      <c r="F68" s="27"/>
      <c r="G68" s="28"/>
      <c r="H68" s="27"/>
      <c r="I68" s="28"/>
      <c r="J68" s="27">
        <v>2</v>
      </c>
      <c r="K68" s="29" t="s">
        <v>35</v>
      </c>
      <c r="L68" s="39"/>
      <c r="M68" s="31"/>
      <c r="N68" s="27"/>
      <c r="P68" s="32"/>
      <c r="Q68" s="25"/>
      <c r="R68" s="27"/>
      <c r="S68" s="27"/>
      <c r="T68" s="28"/>
      <c r="U68" s="27"/>
      <c r="V68" s="27" t="s">
        <v>154</v>
      </c>
      <c r="W68" s="28"/>
      <c r="X68" s="33"/>
      <c r="Y68" s="32"/>
      <c r="Z68" s="25"/>
      <c r="AA68" s="27"/>
      <c r="AB68" s="28"/>
      <c r="AC68" s="27"/>
      <c r="AD68" s="27"/>
      <c r="AE68" s="33"/>
      <c r="AG68" s="25">
        <v>0.05</v>
      </c>
      <c r="AH68" s="34">
        <v>0.05</v>
      </c>
      <c r="AI68" s="27"/>
      <c r="AJ68" s="27"/>
      <c r="AK68" s="27"/>
      <c r="AL68" s="25"/>
      <c r="AM68" s="34"/>
      <c r="AN68" s="27">
        <v>0.1</v>
      </c>
      <c r="AO68" s="27">
        <v>0.1</v>
      </c>
      <c r="AP68" s="36">
        <v>0.1</v>
      </c>
      <c r="AQ68" s="37"/>
      <c r="AR68" s="32"/>
      <c r="AS68" s="25" t="s">
        <v>96</v>
      </c>
      <c r="AT68" s="27" t="s">
        <v>87</v>
      </c>
      <c r="AU68" s="27"/>
      <c r="AW68" s="25" t="s">
        <v>90</v>
      </c>
      <c r="AX68" s="27" t="s">
        <v>95</v>
      </c>
      <c r="AY68" s="27"/>
      <c r="AZ68" s="32"/>
      <c r="BA68" s="41">
        <v>0</v>
      </c>
    </row>
    <row r="69" spans="1:53" x14ac:dyDescent="0.2">
      <c r="A69" s="25">
        <v>62</v>
      </c>
      <c r="B69" s="26">
        <v>45172</v>
      </c>
      <c r="C69" s="27"/>
      <c r="D69" s="25"/>
      <c r="E69" s="28"/>
      <c r="F69" s="27"/>
      <c r="G69" s="28"/>
      <c r="H69" s="27"/>
      <c r="I69" s="28"/>
      <c r="J69" s="27">
        <v>2</v>
      </c>
      <c r="K69" s="29" t="s">
        <v>35</v>
      </c>
      <c r="L69" s="39"/>
      <c r="M69" s="31"/>
      <c r="N69" s="27"/>
      <c r="P69" s="32"/>
      <c r="Q69" s="25"/>
      <c r="R69" s="27"/>
      <c r="S69" s="27"/>
      <c r="T69" s="28"/>
      <c r="U69" s="27"/>
      <c r="V69" s="27" t="s">
        <v>154</v>
      </c>
      <c r="W69" s="28"/>
      <c r="X69" s="33"/>
      <c r="Y69" s="32"/>
      <c r="Z69" s="25"/>
      <c r="AA69" s="27"/>
      <c r="AB69" s="28"/>
      <c r="AC69" s="27"/>
      <c r="AD69" s="27"/>
      <c r="AE69" s="33"/>
      <c r="AG69" s="25">
        <v>0.05</v>
      </c>
      <c r="AH69" s="34">
        <v>0.05</v>
      </c>
      <c r="AI69" s="27"/>
      <c r="AJ69" s="27"/>
      <c r="AK69" s="27"/>
      <c r="AL69" s="25"/>
      <c r="AM69" s="34"/>
      <c r="AN69" s="27">
        <v>0.1</v>
      </c>
      <c r="AO69" s="27">
        <v>0.1</v>
      </c>
      <c r="AP69" s="36">
        <v>0.1</v>
      </c>
      <c r="AQ69" s="37"/>
      <c r="AR69" s="32"/>
      <c r="AS69" s="25" t="s">
        <v>96</v>
      </c>
      <c r="AT69" s="27" t="s">
        <v>87</v>
      </c>
      <c r="AU69" s="27"/>
      <c r="AW69" s="25" t="s">
        <v>90</v>
      </c>
      <c r="AX69" s="27" t="s">
        <v>95</v>
      </c>
      <c r="AY69" s="27"/>
      <c r="AZ69" s="32"/>
      <c r="BA69" s="41">
        <v>0</v>
      </c>
    </row>
    <row r="70" spans="1:53" x14ac:dyDescent="0.2">
      <c r="A70" s="25">
        <v>63</v>
      </c>
      <c r="B70" s="26">
        <v>45173</v>
      </c>
      <c r="C70" s="27"/>
      <c r="D70" s="25"/>
      <c r="E70" s="28"/>
      <c r="F70" s="27"/>
      <c r="G70" s="28"/>
      <c r="H70" s="27"/>
      <c r="I70" s="28"/>
      <c r="J70" s="27">
        <v>2</v>
      </c>
      <c r="K70" s="29" t="s">
        <v>35</v>
      </c>
      <c r="L70" s="39"/>
      <c r="M70" s="31"/>
      <c r="N70" s="27"/>
      <c r="P70" s="32"/>
      <c r="Q70" s="25"/>
      <c r="R70" s="27"/>
      <c r="S70" s="27"/>
      <c r="T70" s="28"/>
      <c r="U70" s="27"/>
      <c r="V70" s="27" t="s">
        <v>154</v>
      </c>
      <c r="W70" s="28"/>
      <c r="X70" s="33"/>
      <c r="Y70" s="32"/>
      <c r="Z70" s="25"/>
      <c r="AA70" s="27"/>
      <c r="AB70" s="28"/>
      <c r="AC70" s="27"/>
      <c r="AD70" s="27"/>
      <c r="AE70" s="33"/>
      <c r="AG70" s="25">
        <v>0.05</v>
      </c>
      <c r="AH70" s="34">
        <v>0.05</v>
      </c>
      <c r="AI70" s="27"/>
      <c r="AJ70" s="27"/>
      <c r="AK70" s="27"/>
      <c r="AL70" s="25"/>
      <c r="AM70" s="34"/>
      <c r="AN70" s="27">
        <v>0.1</v>
      </c>
      <c r="AO70" s="27">
        <v>0.1</v>
      </c>
      <c r="AP70" s="36">
        <v>0.1</v>
      </c>
      <c r="AQ70" s="37"/>
      <c r="AR70" s="32"/>
      <c r="AS70" s="25" t="s">
        <v>96</v>
      </c>
      <c r="AT70" s="27" t="s">
        <v>87</v>
      </c>
      <c r="AU70" s="27"/>
      <c r="AW70" s="25" t="s">
        <v>90</v>
      </c>
      <c r="AX70" s="27" t="s">
        <v>95</v>
      </c>
      <c r="AY70" s="27"/>
      <c r="AZ70" s="32"/>
      <c r="BA70" s="41">
        <v>0</v>
      </c>
    </row>
    <row r="71" spans="1:53" x14ac:dyDescent="0.2">
      <c r="A71" s="25">
        <v>64</v>
      </c>
      <c r="B71" s="26">
        <v>45174</v>
      </c>
      <c r="C71" s="27"/>
      <c r="D71" s="25"/>
      <c r="E71" s="28"/>
      <c r="F71" s="27"/>
      <c r="G71" s="28"/>
      <c r="H71" s="27"/>
      <c r="I71" s="28"/>
      <c r="J71" s="27">
        <v>2</v>
      </c>
      <c r="K71" s="29" t="s">
        <v>35</v>
      </c>
      <c r="L71" s="39"/>
      <c r="M71" s="31"/>
      <c r="N71" s="27"/>
      <c r="P71" s="32"/>
      <c r="Q71" s="25"/>
      <c r="R71" s="27"/>
      <c r="S71" s="27"/>
      <c r="T71" s="28"/>
      <c r="U71" s="27"/>
      <c r="V71" s="27" t="s">
        <v>154</v>
      </c>
      <c r="W71" s="28"/>
      <c r="X71" s="33"/>
      <c r="Y71" s="32"/>
      <c r="Z71" s="25"/>
      <c r="AA71" s="27"/>
      <c r="AB71" s="28"/>
      <c r="AC71" s="27"/>
      <c r="AD71" s="27"/>
      <c r="AE71" s="33"/>
      <c r="AG71" s="25">
        <v>0.05</v>
      </c>
      <c r="AH71" s="34">
        <v>0.05</v>
      </c>
      <c r="AI71" s="27"/>
      <c r="AJ71" s="27"/>
      <c r="AK71" s="27"/>
      <c r="AL71" s="25"/>
      <c r="AM71" s="34"/>
      <c r="AN71" s="27">
        <v>0.1</v>
      </c>
      <c r="AO71" s="27">
        <v>0.1</v>
      </c>
      <c r="AP71" s="36">
        <v>0.1</v>
      </c>
      <c r="AQ71" s="37"/>
      <c r="AR71" s="32"/>
      <c r="AS71" s="25" t="s">
        <v>96</v>
      </c>
      <c r="AT71" s="27" t="s">
        <v>87</v>
      </c>
      <c r="AU71" s="27"/>
      <c r="AW71" s="25" t="s">
        <v>90</v>
      </c>
      <c r="AX71" s="27" t="s">
        <v>95</v>
      </c>
      <c r="AY71" s="27"/>
      <c r="AZ71" s="32"/>
      <c r="BA71" s="41">
        <v>2</v>
      </c>
    </row>
    <row r="72" spans="1:53" x14ac:dyDescent="0.2">
      <c r="A72" s="25">
        <v>65</v>
      </c>
      <c r="B72" s="26">
        <v>45175</v>
      </c>
      <c r="C72" s="27"/>
      <c r="D72" s="25"/>
      <c r="E72" s="28"/>
      <c r="F72" s="27"/>
      <c r="G72" s="28"/>
      <c r="H72" s="27"/>
      <c r="I72" s="28"/>
      <c r="J72" s="27">
        <v>2</v>
      </c>
      <c r="K72" s="29" t="s">
        <v>35</v>
      </c>
      <c r="L72" s="39"/>
      <c r="M72" s="31"/>
      <c r="N72" s="27"/>
      <c r="P72" s="32"/>
      <c r="Q72" s="25"/>
      <c r="R72" s="27"/>
      <c r="S72" s="27"/>
      <c r="T72" s="28"/>
      <c r="U72" s="27"/>
      <c r="V72" s="27" t="s">
        <v>154</v>
      </c>
      <c r="W72" s="28"/>
      <c r="X72" s="33"/>
      <c r="Y72" s="32"/>
      <c r="Z72" s="25"/>
      <c r="AA72" s="27"/>
      <c r="AB72" s="28"/>
      <c r="AC72" s="27"/>
      <c r="AD72" s="27"/>
      <c r="AE72" s="33"/>
      <c r="AG72" s="25">
        <v>0.05</v>
      </c>
      <c r="AH72" s="34">
        <v>0.05</v>
      </c>
      <c r="AI72" s="27"/>
      <c r="AJ72" s="27"/>
      <c r="AK72" s="27"/>
      <c r="AL72" s="25"/>
      <c r="AM72" s="34"/>
      <c r="AN72" s="27">
        <v>0.1</v>
      </c>
      <c r="AO72" s="27">
        <v>0.1</v>
      </c>
      <c r="AP72" s="36">
        <v>0.1</v>
      </c>
      <c r="AQ72" s="37"/>
      <c r="AR72" s="32"/>
      <c r="AS72" s="25" t="s">
        <v>96</v>
      </c>
      <c r="AT72" s="27" t="s">
        <v>87</v>
      </c>
      <c r="AU72" s="27"/>
      <c r="AW72" s="25" t="s">
        <v>90</v>
      </c>
      <c r="AX72" s="27" t="s">
        <v>95</v>
      </c>
      <c r="AY72" s="27"/>
      <c r="AZ72" s="32"/>
      <c r="BA72" s="41">
        <v>1</v>
      </c>
    </row>
    <row r="73" spans="1:53" x14ac:dyDescent="0.2">
      <c r="A73" s="25">
        <v>66</v>
      </c>
      <c r="B73" s="26">
        <v>45176</v>
      </c>
      <c r="C73" s="27"/>
      <c r="D73" s="25"/>
      <c r="E73" s="28"/>
      <c r="F73" s="27"/>
      <c r="G73" s="28"/>
      <c r="H73" s="27"/>
      <c r="I73" s="28"/>
      <c r="J73" s="27">
        <v>2</v>
      </c>
      <c r="K73" s="29" t="s">
        <v>35</v>
      </c>
      <c r="L73" s="39"/>
      <c r="M73" s="31"/>
      <c r="N73" s="27"/>
      <c r="P73" s="32"/>
      <c r="Q73" s="25"/>
      <c r="R73" s="27"/>
      <c r="S73" s="27"/>
      <c r="T73" s="28"/>
      <c r="U73" s="27"/>
      <c r="V73" s="27" t="s">
        <v>154</v>
      </c>
      <c r="W73" s="28"/>
      <c r="X73" s="33"/>
      <c r="Y73" s="32"/>
      <c r="Z73" s="25"/>
      <c r="AA73" s="27"/>
      <c r="AB73" s="28"/>
      <c r="AC73" s="27"/>
      <c r="AD73" s="27"/>
      <c r="AE73" s="33"/>
      <c r="AG73" s="25">
        <v>0.05</v>
      </c>
      <c r="AH73" s="34">
        <v>0.05</v>
      </c>
      <c r="AI73" s="27"/>
      <c r="AJ73" s="27"/>
      <c r="AK73" s="27"/>
      <c r="AL73" s="25"/>
      <c r="AM73" s="34"/>
      <c r="AN73" s="27">
        <v>0.1</v>
      </c>
      <c r="AO73" s="27">
        <v>0.1</v>
      </c>
      <c r="AP73" s="36">
        <v>0.1</v>
      </c>
      <c r="AQ73" s="37"/>
      <c r="AR73" s="32"/>
      <c r="AS73" s="25" t="s">
        <v>96</v>
      </c>
      <c r="AT73" s="27" t="s">
        <v>87</v>
      </c>
      <c r="AU73" s="27"/>
      <c r="AW73" s="25" t="s">
        <v>90</v>
      </c>
      <c r="AX73" s="27" t="s">
        <v>95</v>
      </c>
      <c r="AY73" s="27"/>
      <c r="AZ73" s="32"/>
      <c r="BA73" s="41">
        <v>0</v>
      </c>
    </row>
    <row r="74" spans="1:53" x14ac:dyDescent="0.2">
      <c r="A74" s="25">
        <v>67</v>
      </c>
      <c r="B74" s="26">
        <v>45177</v>
      </c>
      <c r="C74" s="27"/>
      <c r="D74" s="25"/>
      <c r="E74" s="28"/>
      <c r="F74" s="27"/>
      <c r="G74" s="28"/>
      <c r="H74" s="27"/>
      <c r="I74" s="28"/>
      <c r="J74" s="27">
        <v>2</v>
      </c>
      <c r="K74" s="29" t="s">
        <v>35</v>
      </c>
      <c r="L74" s="39"/>
      <c r="M74" s="31"/>
      <c r="N74" s="27"/>
      <c r="P74" s="32"/>
      <c r="Q74" s="25"/>
      <c r="R74" s="27"/>
      <c r="S74" s="27"/>
      <c r="T74" s="28"/>
      <c r="U74" s="27"/>
      <c r="V74" s="27" t="s">
        <v>154</v>
      </c>
      <c r="W74" s="28"/>
      <c r="X74" s="33"/>
      <c r="Y74" s="32"/>
      <c r="Z74" s="25"/>
      <c r="AA74" s="27"/>
      <c r="AB74" s="28"/>
      <c r="AC74" s="27"/>
      <c r="AD74" s="27"/>
      <c r="AE74" s="33"/>
      <c r="AG74" s="25">
        <v>0.05</v>
      </c>
      <c r="AH74" s="34">
        <v>0.05</v>
      </c>
      <c r="AI74" s="27"/>
      <c r="AJ74" s="27"/>
      <c r="AK74" s="27"/>
      <c r="AL74" s="25"/>
      <c r="AM74" s="34"/>
      <c r="AN74" s="27">
        <v>0.1</v>
      </c>
      <c r="AO74" s="27">
        <v>0.1</v>
      </c>
      <c r="AP74" s="36">
        <v>0.1</v>
      </c>
      <c r="AQ74" s="37"/>
      <c r="AR74" s="32"/>
      <c r="AS74" s="25" t="s">
        <v>96</v>
      </c>
      <c r="AT74" s="27" t="s">
        <v>87</v>
      </c>
      <c r="AU74" s="27"/>
      <c r="AW74" s="25" t="s">
        <v>90</v>
      </c>
      <c r="AX74" s="27" t="s">
        <v>95</v>
      </c>
      <c r="AY74" s="27"/>
      <c r="AZ74" s="32"/>
      <c r="BA74" s="41">
        <v>0</v>
      </c>
    </row>
    <row r="75" spans="1:53" x14ac:dyDescent="0.2">
      <c r="A75" s="25">
        <v>68</v>
      </c>
      <c r="B75" s="26">
        <v>45178</v>
      </c>
      <c r="C75" s="27"/>
      <c r="D75" s="25"/>
      <c r="E75" s="28"/>
      <c r="F75" s="27"/>
      <c r="G75" s="28"/>
      <c r="H75" s="27"/>
      <c r="I75" s="28"/>
      <c r="J75" s="27">
        <v>2</v>
      </c>
      <c r="K75" s="29" t="s">
        <v>35</v>
      </c>
      <c r="L75" s="39"/>
      <c r="M75" s="31"/>
      <c r="N75" s="27"/>
      <c r="P75" s="32"/>
      <c r="Q75" s="25"/>
      <c r="R75" s="27"/>
      <c r="S75" s="27"/>
      <c r="T75" s="28"/>
      <c r="U75" s="27"/>
      <c r="V75" s="27"/>
      <c r="W75" s="28"/>
      <c r="X75" s="33"/>
      <c r="Y75" s="32"/>
      <c r="Z75" s="25"/>
      <c r="AA75" s="27"/>
      <c r="AB75" s="28"/>
      <c r="AC75" s="27"/>
      <c r="AD75" s="27"/>
      <c r="AE75" s="33"/>
      <c r="AG75" s="25"/>
      <c r="AH75" s="34"/>
      <c r="AI75" s="27"/>
      <c r="AJ75" s="27"/>
      <c r="AK75" s="27"/>
      <c r="AL75" s="25"/>
      <c r="AM75" s="34"/>
      <c r="AN75" s="27">
        <v>0.1</v>
      </c>
      <c r="AO75" s="27">
        <v>0.1</v>
      </c>
      <c r="AP75" s="36">
        <v>0.1</v>
      </c>
      <c r="AQ75" s="37"/>
      <c r="AR75" s="32"/>
      <c r="AS75" s="25" t="s">
        <v>96</v>
      </c>
      <c r="AT75" s="27" t="s">
        <v>87</v>
      </c>
      <c r="AU75" s="27"/>
      <c r="AW75" s="25" t="s">
        <v>90</v>
      </c>
      <c r="AX75" s="27" t="s">
        <v>95</v>
      </c>
      <c r="AY75" s="27"/>
      <c r="AZ75" s="32"/>
      <c r="BA75" s="41">
        <v>0</v>
      </c>
    </row>
    <row r="76" spans="1:53" x14ac:dyDescent="0.2">
      <c r="A76" s="25">
        <v>69</v>
      </c>
      <c r="B76" s="26">
        <v>45179</v>
      </c>
      <c r="C76" s="27"/>
      <c r="D76" s="25"/>
      <c r="E76" s="28"/>
      <c r="F76" s="27"/>
      <c r="G76" s="28"/>
      <c r="H76" s="27"/>
      <c r="I76" s="28"/>
      <c r="J76" s="27">
        <v>2</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v>0.1</v>
      </c>
      <c r="AO76" s="27">
        <v>0.1</v>
      </c>
      <c r="AP76" s="36">
        <v>0.1</v>
      </c>
      <c r="AQ76" s="37"/>
      <c r="AR76" s="32"/>
      <c r="AS76" s="25" t="s">
        <v>96</v>
      </c>
      <c r="AT76" s="27" t="s">
        <v>87</v>
      </c>
      <c r="AU76" s="27"/>
      <c r="AW76" s="25" t="s">
        <v>90</v>
      </c>
      <c r="AX76" s="27" t="s">
        <v>95</v>
      </c>
      <c r="AY76" s="27"/>
      <c r="AZ76" s="32"/>
      <c r="BA76" s="41">
        <v>0</v>
      </c>
    </row>
    <row r="77" spans="1:53" x14ac:dyDescent="0.2">
      <c r="A77" s="25">
        <v>70</v>
      </c>
      <c r="B77" s="26">
        <v>45180</v>
      </c>
      <c r="C77" s="27"/>
      <c r="D77" s="25"/>
      <c r="E77" s="28"/>
      <c r="F77" s="27"/>
      <c r="G77" s="28"/>
      <c r="H77" s="27"/>
      <c r="I77" s="28"/>
      <c r="J77" s="27">
        <v>2</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v>0.1</v>
      </c>
      <c r="AO77" s="27">
        <v>0.1</v>
      </c>
      <c r="AP77" s="36">
        <v>0.1</v>
      </c>
      <c r="AQ77" s="37"/>
      <c r="AR77" s="32"/>
      <c r="AS77" s="25" t="s">
        <v>96</v>
      </c>
      <c r="AT77" s="27" t="s">
        <v>87</v>
      </c>
      <c r="AU77" s="27"/>
      <c r="AW77" s="25" t="s">
        <v>90</v>
      </c>
      <c r="AX77" s="27" t="s">
        <v>95</v>
      </c>
      <c r="AY77" s="27"/>
      <c r="AZ77" s="32"/>
      <c r="BA77" s="41">
        <v>0</v>
      </c>
    </row>
    <row r="78" spans="1:53" x14ac:dyDescent="0.2">
      <c r="A78" s="25">
        <v>71</v>
      </c>
      <c r="B78" s="26">
        <v>45181</v>
      </c>
      <c r="C78" s="27"/>
      <c r="D78" s="25"/>
      <c r="E78" s="28"/>
      <c r="F78" s="27"/>
      <c r="G78" s="28"/>
      <c r="H78" s="27"/>
      <c r="I78" s="28"/>
      <c r="J78" s="27">
        <v>2</v>
      </c>
      <c r="K78" s="29" t="s">
        <v>35</v>
      </c>
      <c r="L78" s="39"/>
      <c r="M78" s="31"/>
      <c r="N78" s="27"/>
      <c r="P78" s="32"/>
      <c r="Q78" s="25"/>
      <c r="R78" s="27"/>
      <c r="S78" s="27"/>
      <c r="T78" s="28"/>
      <c r="U78" s="27"/>
      <c r="V78" s="27"/>
      <c r="W78" s="28"/>
      <c r="X78" s="33"/>
      <c r="Y78" s="32"/>
      <c r="Z78" s="25"/>
      <c r="AA78" s="27"/>
      <c r="AB78" s="28"/>
      <c r="AC78" s="27"/>
      <c r="AD78" s="27"/>
      <c r="AE78" s="33"/>
      <c r="AF78" s="32"/>
      <c r="AG78" s="90"/>
      <c r="AH78" s="91"/>
      <c r="AI78" s="27"/>
      <c r="AJ78" s="27"/>
      <c r="AK78" s="28"/>
      <c r="AL78" s="27"/>
      <c r="AM78" s="27"/>
      <c r="AN78" s="27">
        <v>0.1</v>
      </c>
      <c r="AO78" s="27">
        <v>0.1</v>
      </c>
      <c r="AP78" s="36">
        <v>0.1</v>
      </c>
      <c r="AQ78" s="37"/>
      <c r="AS78" s="25" t="s">
        <v>96</v>
      </c>
      <c r="AT78" s="27" t="s">
        <v>87</v>
      </c>
      <c r="AU78" s="27"/>
      <c r="AW78" s="25" t="s">
        <v>90</v>
      </c>
      <c r="AX78" s="27" t="s">
        <v>95</v>
      </c>
      <c r="AY78" s="27"/>
      <c r="AZ78" s="32"/>
      <c r="BA78" s="41">
        <v>0</v>
      </c>
    </row>
    <row r="79" spans="1:53" x14ac:dyDescent="0.2">
      <c r="A79" s="25">
        <v>72</v>
      </c>
      <c r="B79" s="26">
        <v>45182</v>
      </c>
      <c r="C79" s="27"/>
      <c r="D79" s="25"/>
      <c r="E79" s="28"/>
      <c r="F79" s="27"/>
      <c r="G79" s="28"/>
      <c r="H79" s="27"/>
      <c r="I79" s="28"/>
      <c r="J79" s="27">
        <v>2</v>
      </c>
      <c r="K79" s="29" t="s">
        <v>35</v>
      </c>
      <c r="L79" s="39"/>
      <c r="M79" s="31"/>
      <c r="N79" s="27"/>
      <c r="P79" s="32"/>
      <c r="Q79" s="25"/>
      <c r="R79" s="27"/>
      <c r="S79" s="27"/>
      <c r="T79" s="28"/>
      <c r="U79" s="27"/>
      <c r="V79" s="27"/>
      <c r="W79" s="28"/>
      <c r="X79" s="33"/>
      <c r="Y79" s="32"/>
      <c r="Z79" s="25"/>
      <c r="AA79" s="27"/>
      <c r="AB79" s="28"/>
      <c r="AC79" s="27"/>
      <c r="AD79" s="27"/>
      <c r="AE79" s="33"/>
      <c r="AF79" s="32"/>
      <c r="AG79" s="90"/>
      <c r="AH79" s="91"/>
      <c r="AI79" s="27"/>
      <c r="AJ79" s="27"/>
      <c r="AK79" s="28"/>
      <c r="AL79" s="27"/>
      <c r="AM79" s="27"/>
      <c r="AN79" s="27">
        <v>0.1</v>
      </c>
      <c r="AO79" s="27">
        <v>0.1</v>
      </c>
      <c r="AP79" s="36">
        <v>0.1</v>
      </c>
      <c r="AQ79" s="37"/>
      <c r="AS79" s="25" t="s">
        <v>96</v>
      </c>
      <c r="AT79" s="27" t="s">
        <v>87</v>
      </c>
      <c r="AU79" s="27"/>
      <c r="AW79" s="25" t="s">
        <v>90</v>
      </c>
      <c r="AX79" s="27" t="s">
        <v>95</v>
      </c>
      <c r="AY79" s="27"/>
      <c r="AZ79" s="32"/>
      <c r="BA79" s="41">
        <v>0</v>
      </c>
    </row>
    <row r="80" spans="1:53" x14ac:dyDescent="0.2">
      <c r="A80" s="25">
        <v>73</v>
      </c>
      <c r="B80" s="26">
        <v>45183</v>
      </c>
      <c r="C80" s="27"/>
      <c r="D80" s="25"/>
      <c r="E80" s="28"/>
      <c r="F80" s="27"/>
      <c r="G80" s="28"/>
      <c r="H80" s="27"/>
      <c r="I80" s="28"/>
      <c r="J80" s="27">
        <v>2</v>
      </c>
      <c r="K80" s="29" t="s">
        <v>35</v>
      </c>
      <c r="L80" s="155"/>
      <c r="M80" s="31"/>
      <c r="N80" s="27"/>
      <c r="P80" s="32"/>
      <c r="Q80" s="25"/>
      <c r="R80" s="27"/>
      <c r="S80" s="27"/>
      <c r="T80" s="28"/>
      <c r="U80" s="27"/>
      <c r="V80" s="27"/>
      <c r="W80" s="28"/>
      <c r="X80" s="33"/>
      <c r="Y80" s="32"/>
      <c r="Z80" s="25"/>
      <c r="AA80" s="27"/>
      <c r="AB80" s="28"/>
      <c r="AC80" s="27"/>
      <c r="AD80" s="27"/>
      <c r="AE80" s="33"/>
      <c r="AF80" s="32"/>
      <c r="AG80" s="90"/>
      <c r="AH80" s="91"/>
      <c r="AI80" s="27"/>
      <c r="AJ80" s="27"/>
      <c r="AK80" s="28"/>
      <c r="AL80" s="27"/>
      <c r="AM80" s="27"/>
      <c r="AN80" s="27">
        <v>0.1</v>
      </c>
      <c r="AO80" s="27">
        <v>0.1</v>
      </c>
      <c r="AP80" s="36">
        <v>0.1</v>
      </c>
      <c r="AQ80" s="37"/>
      <c r="AS80" s="25" t="s">
        <v>96</v>
      </c>
      <c r="AT80" s="27" t="s">
        <v>87</v>
      </c>
      <c r="AU80" s="27"/>
      <c r="AW80" s="25" t="s">
        <v>90</v>
      </c>
      <c r="AX80" s="27" t="s">
        <v>95</v>
      </c>
      <c r="AY80" s="27"/>
      <c r="AZ80" s="32"/>
      <c r="BA80" s="41">
        <v>0</v>
      </c>
    </row>
    <row r="81" spans="1:53" x14ac:dyDescent="0.2">
      <c r="A81" s="25">
        <v>74</v>
      </c>
      <c r="B81" s="26">
        <v>45184</v>
      </c>
      <c r="C81" s="27"/>
      <c r="D81" s="25"/>
      <c r="E81" s="28"/>
      <c r="F81" s="27"/>
      <c r="G81" s="28"/>
      <c r="H81" s="27"/>
      <c r="I81" s="28"/>
      <c r="J81" s="27">
        <v>2</v>
      </c>
      <c r="K81" s="29" t="s">
        <v>35</v>
      </c>
      <c r="L81" s="39"/>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v>0.1</v>
      </c>
      <c r="AO81" s="27">
        <v>0.1</v>
      </c>
      <c r="AP81" s="36">
        <v>0.1</v>
      </c>
      <c r="AQ81" s="37"/>
      <c r="AS81" s="25" t="s">
        <v>96</v>
      </c>
      <c r="AT81" s="27" t="s">
        <v>87</v>
      </c>
      <c r="AU81" s="27"/>
      <c r="AW81" s="25" t="s">
        <v>90</v>
      </c>
      <c r="AX81" s="27" t="s">
        <v>95</v>
      </c>
      <c r="AY81" s="27"/>
      <c r="AZ81" s="32"/>
      <c r="BA81" s="41">
        <v>0</v>
      </c>
    </row>
    <row r="82" spans="1:53" x14ac:dyDescent="0.2">
      <c r="A82" s="25">
        <v>75</v>
      </c>
      <c r="B82" s="26">
        <v>45185</v>
      </c>
      <c r="C82" s="27"/>
      <c r="D82" s="25"/>
      <c r="E82" s="28"/>
      <c r="F82" s="27"/>
      <c r="G82" s="28"/>
      <c r="H82" s="27"/>
      <c r="I82" s="28"/>
      <c r="J82" s="27">
        <v>2</v>
      </c>
      <c r="K82" s="29" t="s">
        <v>35</v>
      </c>
      <c r="L82" s="39"/>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v>0.1</v>
      </c>
      <c r="AO82" s="27">
        <v>0.1</v>
      </c>
      <c r="AP82" s="36">
        <v>0.1</v>
      </c>
      <c r="AQ82" s="37"/>
      <c r="AR82" s="32"/>
      <c r="AS82" s="25" t="s">
        <v>96</v>
      </c>
      <c r="AT82" s="27" t="s">
        <v>87</v>
      </c>
      <c r="AU82" s="27"/>
      <c r="AW82" s="25" t="s">
        <v>90</v>
      </c>
      <c r="AX82" s="27" t="s">
        <v>95</v>
      </c>
      <c r="AY82" s="27"/>
      <c r="AZ82" s="32"/>
      <c r="BA82" s="41">
        <v>0</v>
      </c>
    </row>
    <row r="83" spans="1:53" x14ac:dyDescent="0.2">
      <c r="A83" s="25">
        <v>76</v>
      </c>
      <c r="B83" s="26">
        <v>45186</v>
      </c>
      <c r="C83" s="27"/>
      <c r="D83" s="25"/>
      <c r="E83" s="28"/>
      <c r="F83" s="27"/>
      <c r="G83" s="28"/>
      <c r="H83" s="27"/>
      <c r="I83" s="28"/>
      <c r="J83" s="27">
        <v>2</v>
      </c>
      <c r="K83" s="29" t="s">
        <v>35</v>
      </c>
      <c r="L83" s="39"/>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v>0.1</v>
      </c>
      <c r="AO83" s="27">
        <v>0.1</v>
      </c>
      <c r="AP83" s="36">
        <v>0.1</v>
      </c>
      <c r="AQ83" s="37"/>
      <c r="AR83" s="32"/>
      <c r="AS83" s="25" t="s">
        <v>96</v>
      </c>
      <c r="AT83" s="27" t="s">
        <v>87</v>
      </c>
      <c r="AU83" s="27"/>
      <c r="AW83" s="25" t="s">
        <v>90</v>
      </c>
      <c r="AX83" s="27" t="s">
        <v>95</v>
      </c>
      <c r="AY83" s="27"/>
      <c r="AZ83" s="32"/>
      <c r="BA83" s="41">
        <v>0</v>
      </c>
    </row>
    <row r="84" spans="1:53" x14ac:dyDescent="0.2">
      <c r="A84" s="25">
        <v>77</v>
      </c>
      <c r="B84" s="26">
        <v>45187</v>
      </c>
      <c r="C84" s="27"/>
      <c r="D84" s="25"/>
      <c r="E84" s="28"/>
      <c r="F84" s="27"/>
      <c r="G84" s="28"/>
      <c r="H84" s="27"/>
      <c r="I84" s="28"/>
      <c r="J84" s="27">
        <v>2</v>
      </c>
      <c r="K84" s="29" t="s">
        <v>35</v>
      </c>
      <c r="L84" s="39"/>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v>0.1</v>
      </c>
      <c r="AO84" s="27">
        <v>0.1</v>
      </c>
      <c r="AP84" s="36">
        <v>0.1</v>
      </c>
      <c r="AQ84" s="37"/>
      <c r="AR84" s="32"/>
      <c r="AS84" s="25" t="s">
        <v>96</v>
      </c>
      <c r="AT84" s="27" t="s">
        <v>87</v>
      </c>
      <c r="AU84" s="27"/>
      <c r="AW84" s="25" t="s">
        <v>90</v>
      </c>
      <c r="AX84" s="27" t="s">
        <v>95</v>
      </c>
      <c r="AY84" s="27"/>
      <c r="AZ84" s="32"/>
      <c r="BA84" s="41">
        <v>0</v>
      </c>
    </row>
    <row r="85" spans="1:53" x14ac:dyDescent="0.2">
      <c r="A85" s="25">
        <v>78</v>
      </c>
      <c r="B85" s="26">
        <v>45188</v>
      </c>
      <c r="C85" s="27"/>
      <c r="D85" s="25"/>
      <c r="E85" s="28"/>
      <c r="F85" s="27"/>
      <c r="G85" s="28"/>
      <c r="H85" s="27"/>
      <c r="I85" s="28"/>
      <c r="J85" s="27">
        <v>2</v>
      </c>
      <c r="K85" s="29" t="s">
        <v>35</v>
      </c>
      <c r="L85" s="39"/>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v>0.1</v>
      </c>
      <c r="AO85" s="27">
        <v>0.1</v>
      </c>
      <c r="AP85" s="36">
        <v>0.1</v>
      </c>
      <c r="AQ85" s="37"/>
      <c r="AR85" s="32"/>
      <c r="AS85" s="25" t="s">
        <v>96</v>
      </c>
      <c r="AT85" s="27" t="s">
        <v>87</v>
      </c>
      <c r="AU85" s="27"/>
      <c r="AW85" s="25" t="s">
        <v>90</v>
      </c>
      <c r="AX85" s="27" t="s">
        <v>95</v>
      </c>
      <c r="AY85" s="27"/>
      <c r="AZ85" s="32"/>
      <c r="BA85" s="41">
        <v>0</v>
      </c>
    </row>
    <row r="86" spans="1:53" x14ac:dyDescent="0.2">
      <c r="A86" s="25">
        <v>79</v>
      </c>
      <c r="B86" s="26">
        <v>45189</v>
      </c>
      <c r="C86" s="27"/>
      <c r="D86" s="25"/>
      <c r="E86" s="28"/>
      <c r="F86" s="27"/>
      <c r="G86" s="28"/>
      <c r="H86" s="27"/>
      <c r="I86" s="28"/>
      <c r="J86" s="27">
        <v>2</v>
      </c>
      <c r="K86" s="29" t="s">
        <v>35</v>
      </c>
      <c r="L86" s="39"/>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v>0.1</v>
      </c>
      <c r="AO86" s="27">
        <v>0.1</v>
      </c>
      <c r="AP86" s="36">
        <v>0.1</v>
      </c>
      <c r="AQ86" s="37"/>
      <c r="AR86" s="32"/>
      <c r="AS86" s="25" t="s">
        <v>96</v>
      </c>
      <c r="AT86" s="27" t="s">
        <v>87</v>
      </c>
      <c r="AU86" s="27"/>
      <c r="AW86" s="25" t="s">
        <v>90</v>
      </c>
      <c r="AX86" s="27" t="s">
        <v>95</v>
      </c>
      <c r="AY86" s="27"/>
      <c r="AZ86" s="32"/>
      <c r="BA86" s="41">
        <v>0</v>
      </c>
    </row>
    <row r="87" spans="1:53" x14ac:dyDescent="0.2">
      <c r="A87" s="25">
        <v>80</v>
      </c>
      <c r="B87" s="26">
        <v>45190</v>
      </c>
      <c r="C87" s="27"/>
      <c r="D87" s="25"/>
      <c r="E87" s="28"/>
      <c r="F87" s="27"/>
      <c r="G87" s="28"/>
      <c r="H87" s="27"/>
      <c r="I87" s="28"/>
      <c r="J87" s="27">
        <v>2</v>
      </c>
      <c r="K87" s="29" t="s">
        <v>35</v>
      </c>
      <c r="L87" s="39"/>
      <c r="M87" s="31"/>
      <c r="N87" s="27"/>
      <c r="P87" s="32"/>
      <c r="Q87" s="25"/>
      <c r="R87" s="27"/>
      <c r="S87" s="27"/>
      <c r="T87" s="28"/>
      <c r="U87" s="27"/>
      <c r="V87" s="27"/>
      <c r="W87" s="28"/>
      <c r="X87" s="33"/>
      <c r="Y87" s="32"/>
      <c r="Z87" s="25"/>
      <c r="AA87" s="27"/>
      <c r="AB87" s="28"/>
      <c r="AC87" s="27"/>
      <c r="AD87" s="27"/>
      <c r="AE87" s="33"/>
      <c r="AF87" s="32"/>
      <c r="AG87" s="90">
        <v>0.05</v>
      </c>
      <c r="AH87" s="91">
        <v>0.05</v>
      </c>
      <c r="AI87" s="27"/>
      <c r="AJ87" s="27"/>
      <c r="AK87" s="28"/>
      <c r="AL87" s="27"/>
      <c r="AM87" s="27"/>
      <c r="AN87" s="27">
        <v>0.1</v>
      </c>
      <c r="AO87" s="27">
        <v>0.1</v>
      </c>
      <c r="AP87" s="36">
        <v>0.1</v>
      </c>
      <c r="AQ87" s="37"/>
      <c r="AR87" s="32"/>
      <c r="AS87" s="25" t="s">
        <v>96</v>
      </c>
      <c r="AT87" s="27" t="s">
        <v>87</v>
      </c>
      <c r="AU87" s="27"/>
      <c r="AW87" s="25" t="s">
        <v>90</v>
      </c>
      <c r="AX87" s="27" t="s">
        <v>95</v>
      </c>
      <c r="AY87" s="27"/>
      <c r="AZ87" s="32"/>
      <c r="BA87" s="41">
        <v>1</v>
      </c>
    </row>
    <row r="88" spans="1:53" x14ac:dyDescent="0.2">
      <c r="A88" s="25">
        <v>81</v>
      </c>
      <c r="B88" s="26">
        <v>45191</v>
      </c>
      <c r="C88" s="27"/>
      <c r="D88" s="25"/>
      <c r="E88" s="28"/>
      <c r="F88" s="27"/>
      <c r="G88" s="28"/>
      <c r="H88" s="27"/>
      <c r="I88" s="28"/>
      <c r="J88" s="27">
        <v>2</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v>0.1</v>
      </c>
      <c r="AO88" s="27">
        <v>0.1</v>
      </c>
      <c r="AP88" s="36">
        <v>0.1</v>
      </c>
      <c r="AQ88" s="37"/>
      <c r="AR88" s="32"/>
      <c r="AS88" s="25" t="s">
        <v>96</v>
      </c>
      <c r="AT88" s="27" t="s">
        <v>87</v>
      </c>
      <c r="AU88" s="27" t="s">
        <v>187</v>
      </c>
      <c r="AW88" s="25" t="s">
        <v>90</v>
      </c>
      <c r="AX88" s="27" t="s">
        <v>95</v>
      </c>
      <c r="AY88" s="27"/>
      <c r="AZ88" s="32"/>
      <c r="BA88" s="41">
        <v>0</v>
      </c>
    </row>
    <row r="89" spans="1:53" x14ac:dyDescent="0.2">
      <c r="A89" s="25">
        <v>82</v>
      </c>
      <c r="B89" s="26">
        <v>45192</v>
      </c>
      <c r="C89" s="27"/>
      <c r="D89" s="25"/>
      <c r="E89" s="28"/>
      <c r="F89" s="27"/>
      <c r="G89" s="28"/>
      <c r="H89" s="27"/>
      <c r="I89" s="28"/>
      <c r="J89" s="27">
        <v>2</v>
      </c>
      <c r="K89" s="29" t="s">
        <v>35</v>
      </c>
      <c r="L89" s="39"/>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v>0.1</v>
      </c>
      <c r="AO89" s="27">
        <v>0.1</v>
      </c>
      <c r="AP89" s="36">
        <v>0.1</v>
      </c>
      <c r="AQ89" s="37"/>
      <c r="AR89" s="32"/>
      <c r="AS89" s="25" t="s">
        <v>96</v>
      </c>
      <c r="AT89" s="27" t="s">
        <v>87</v>
      </c>
      <c r="AU89" s="27"/>
      <c r="AW89" s="25" t="s">
        <v>90</v>
      </c>
      <c r="AX89" s="27" t="s">
        <v>95</v>
      </c>
      <c r="AY89" s="27"/>
      <c r="AZ89" s="32"/>
      <c r="BA89" s="41">
        <v>3</v>
      </c>
    </row>
    <row r="90" spans="1:53" x14ac:dyDescent="0.2">
      <c r="A90" s="25">
        <v>83</v>
      </c>
      <c r="B90" s="26">
        <v>45193</v>
      </c>
      <c r="C90" s="27"/>
      <c r="D90" s="25"/>
      <c r="E90" s="28"/>
      <c r="F90" s="27"/>
      <c r="G90" s="28"/>
      <c r="H90" s="27"/>
      <c r="I90" s="28"/>
      <c r="J90" s="27">
        <v>2</v>
      </c>
      <c r="K90" s="29" t="s">
        <v>35</v>
      </c>
      <c r="L90" s="39"/>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v>0.1</v>
      </c>
      <c r="AO90" s="27">
        <v>0.1</v>
      </c>
      <c r="AP90" s="36">
        <v>0.1</v>
      </c>
      <c r="AQ90" s="37"/>
      <c r="AR90" s="32"/>
      <c r="AS90" s="25" t="s">
        <v>96</v>
      </c>
      <c r="AT90" s="27" t="s">
        <v>87</v>
      </c>
      <c r="AU90" s="27"/>
      <c r="AW90" s="25" t="s">
        <v>90</v>
      </c>
      <c r="AX90" s="27" t="s">
        <v>95</v>
      </c>
      <c r="AY90" s="27"/>
      <c r="AZ90" s="32"/>
      <c r="BA90" s="41">
        <v>0</v>
      </c>
    </row>
    <row r="91" spans="1:53" x14ac:dyDescent="0.2">
      <c r="A91" s="25">
        <v>84</v>
      </c>
      <c r="B91" s="26">
        <v>45194</v>
      </c>
      <c r="C91" s="27"/>
      <c r="D91" s="25"/>
      <c r="E91" s="28"/>
      <c r="F91" s="27"/>
      <c r="G91" s="28"/>
      <c r="H91" s="27"/>
      <c r="I91" s="28"/>
      <c r="J91" s="27">
        <v>2</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v>0.1</v>
      </c>
      <c r="AO91" s="27">
        <v>0.1</v>
      </c>
      <c r="AP91" s="36">
        <v>0.1</v>
      </c>
      <c r="AQ91" s="37"/>
      <c r="AR91" s="32"/>
      <c r="AS91" s="25" t="s">
        <v>96</v>
      </c>
      <c r="AT91" s="27" t="s">
        <v>87</v>
      </c>
      <c r="AU91" s="27"/>
      <c r="AW91" s="25" t="s">
        <v>90</v>
      </c>
      <c r="AX91" s="27" t="s">
        <v>95</v>
      </c>
      <c r="AY91" s="27"/>
      <c r="AZ91" s="32"/>
      <c r="BA91" s="41">
        <v>0</v>
      </c>
    </row>
    <row r="92" spans="1:53" x14ac:dyDescent="0.2">
      <c r="A92" s="25">
        <v>85</v>
      </c>
      <c r="B92" s="26">
        <v>45195</v>
      </c>
      <c r="C92" s="27"/>
      <c r="D92" s="25"/>
      <c r="E92" s="28"/>
      <c r="F92" s="27"/>
      <c r="G92" s="28"/>
      <c r="H92" s="27"/>
      <c r="I92" s="28"/>
      <c r="J92" s="27">
        <v>2</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v>0.1</v>
      </c>
      <c r="AO92" s="27">
        <v>0.1</v>
      </c>
      <c r="AP92" s="36">
        <v>0.1</v>
      </c>
      <c r="AQ92" s="37"/>
      <c r="AR92" s="32"/>
      <c r="AS92" s="25" t="s">
        <v>96</v>
      </c>
      <c r="AT92" s="27" t="s">
        <v>87</v>
      </c>
      <c r="AU92" s="27"/>
      <c r="AW92" s="25" t="s">
        <v>90</v>
      </c>
      <c r="AX92" s="27" t="s">
        <v>95</v>
      </c>
      <c r="AY92" s="27"/>
      <c r="AZ92" s="32"/>
      <c r="BA92" s="41">
        <v>0</v>
      </c>
    </row>
    <row r="93" spans="1:53" x14ac:dyDescent="0.2">
      <c r="A93" s="25">
        <v>86</v>
      </c>
      <c r="B93" s="26">
        <v>45196</v>
      </c>
      <c r="C93" s="27"/>
      <c r="D93" s="25"/>
      <c r="E93" s="28"/>
      <c r="F93" s="27"/>
      <c r="G93" s="28"/>
      <c r="H93" s="27"/>
      <c r="I93" s="28"/>
      <c r="J93" s="27">
        <v>2</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v>0.1</v>
      </c>
      <c r="AO93" s="27">
        <v>0.1</v>
      </c>
      <c r="AP93" s="36">
        <v>0.1</v>
      </c>
      <c r="AQ93" s="37"/>
      <c r="AR93" s="32"/>
      <c r="AS93" s="25" t="s">
        <v>96</v>
      </c>
      <c r="AT93" s="27" t="s">
        <v>87</v>
      </c>
      <c r="AU93" s="27"/>
      <c r="AW93" s="25" t="s">
        <v>90</v>
      </c>
      <c r="AX93" s="27" t="s">
        <v>95</v>
      </c>
      <c r="AY93" s="27"/>
      <c r="AZ93" s="32"/>
      <c r="BA93" s="41">
        <v>1</v>
      </c>
    </row>
    <row r="94" spans="1:53" x14ac:dyDescent="0.2">
      <c r="A94" s="25">
        <v>87</v>
      </c>
      <c r="B94" s="26">
        <v>45197</v>
      </c>
      <c r="C94" s="27"/>
      <c r="D94" s="25"/>
      <c r="E94" s="28"/>
      <c r="F94" s="27"/>
      <c r="G94" s="28"/>
      <c r="H94" s="27"/>
      <c r="I94" s="28"/>
      <c r="J94" s="27">
        <v>2</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v>0.1</v>
      </c>
      <c r="AO94" s="27">
        <v>0.1</v>
      </c>
      <c r="AP94" s="36">
        <v>0.1</v>
      </c>
      <c r="AQ94" s="37"/>
      <c r="AR94" s="32"/>
      <c r="AS94" s="25" t="s">
        <v>96</v>
      </c>
      <c r="AT94" s="27" t="s">
        <v>87</v>
      </c>
      <c r="AU94" s="27"/>
      <c r="AW94" s="25" t="s">
        <v>90</v>
      </c>
      <c r="AX94" s="27" t="s">
        <v>95</v>
      </c>
      <c r="AY94" s="27"/>
      <c r="AZ94" s="32"/>
      <c r="BA94" s="41">
        <v>0</v>
      </c>
    </row>
    <row r="95" spans="1:53" x14ac:dyDescent="0.2">
      <c r="A95" s="25">
        <v>88</v>
      </c>
      <c r="B95" s="26">
        <v>45198</v>
      </c>
      <c r="C95" s="27"/>
      <c r="D95" s="25"/>
      <c r="E95" s="28"/>
      <c r="F95" s="27"/>
      <c r="G95" s="28"/>
      <c r="H95" s="27"/>
      <c r="I95" s="28"/>
      <c r="J95" s="27">
        <v>2</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t="s">
        <v>96</v>
      </c>
      <c r="AT95" s="27" t="s">
        <v>87</v>
      </c>
      <c r="AU95" s="27"/>
      <c r="AW95" s="25" t="s">
        <v>90</v>
      </c>
      <c r="AX95" s="27" t="s">
        <v>95</v>
      </c>
      <c r="AY95" s="27"/>
      <c r="AZ95" s="32"/>
      <c r="BA95" s="41">
        <v>0</v>
      </c>
    </row>
    <row r="96" spans="1:53" x14ac:dyDescent="0.2">
      <c r="A96" s="25">
        <v>89</v>
      </c>
      <c r="B96" s="26">
        <v>45199</v>
      </c>
      <c r="C96" s="27"/>
      <c r="D96" s="25"/>
      <c r="E96" s="28"/>
      <c r="F96" s="27"/>
      <c r="G96" s="28"/>
      <c r="H96" s="27"/>
      <c r="I96" s="28"/>
      <c r="J96" s="27">
        <v>2</v>
      </c>
      <c r="K96" s="29" t="s">
        <v>35</v>
      </c>
      <c r="L96" s="39"/>
      <c r="M96" s="31"/>
      <c r="N96" s="27"/>
      <c r="P96" s="32"/>
      <c r="Q96" s="25"/>
      <c r="R96" s="27"/>
      <c r="S96" s="27"/>
      <c r="T96" s="28"/>
      <c r="U96" s="27"/>
      <c r="V96" s="27"/>
      <c r="W96" s="28"/>
      <c r="X96" s="33"/>
      <c r="Y96" s="32"/>
      <c r="Z96" s="25"/>
      <c r="AA96" s="27"/>
      <c r="AB96" s="28"/>
      <c r="AC96" s="27"/>
      <c r="AD96" s="27"/>
      <c r="AE96" s="33"/>
      <c r="AF96" s="32"/>
      <c r="AG96" s="90">
        <v>0.05</v>
      </c>
      <c r="AH96" s="91">
        <v>0.05</v>
      </c>
      <c r="AI96" s="27"/>
      <c r="AJ96" s="27"/>
      <c r="AK96" s="28"/>
      <c r="AL96" s="27"/>
      <c r="AM96" s="27"/>
      <c r="AN96" s="27">
        <v>0.1</v>
      </c>
      <c r="AO96" s="27">
        <v>0.1</v>
      </c>
      <c r="AP96" s="36">
        <v>0.1</v>
      </c>
      <c r="AQ96" s="37"/>
      <c r="AR96" s="32"/>
      <c r="AS96" s="25" t="s">
        <v>96</v>
      </c>
      <c r="AT96" s="27" t="s">
        <v>87</v>
      </c>
      <c r="AU96" s="27"/>
      <c r="AW96" s="25" t="s">
        <v>90</v>
      </c>
      <c r="AX96" s="27" t="s">
        <v>95</v>
      </c>
      <c r="AY96" s="27"/>
      <c r="AZ96" s="32"/>
      <c r="BA96" s="41">
        <v>0</v>
      </c>
    </row>
    <row r="97" spans="1:53" x14ac:dyDescent="0.2">
      <c r="A97" s="25">
        <v>90</v>
      </c>
      <c r="B97" s="26">
        <v>45200</v>
      </c>
      <c r="C97" s="27"/>
      <c r="D97" s="25"/>
      <c r="E97" s="28"/>
      <c r="F97" s="27"/>
      <c r="G97" s="28"/>
      <c r="H97" s="27"/>
      <c r="I97" s="28"/>
      <c r="J97" s="27">
        <v>2</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t="s">
        <v>96</v>
      </c>
      <c r="AT97" s="27" t="s">
        <v>87</v>
      </c>
      <c r="AU97" s="27"/>
      <c r="AW97" s="25" t="s">
        <v>90</v>
      </c>
      <c r="AX97" s="27" t="s">
        <v>95</v>
      </c>
      <c r="AY97" s="27"/>
      <c r="AZ97" s="32"/>
      <c r="BA97" s="41"/>
    </row>
    <row r="98" spans="1:53" x14ac:dyDescent="0.2">
      <c r="A98" s="25">
        <v>91</v>
      </c>
      <c r="B98" s="26">
        <v>45201</v>
      </c>
      <c r="C98" s="27"/>
      <c r="AS98" s="25" t="s">
        <v>96</v>
      </c>
      <c r="AT98" s="27" t="s">
        <v>87</v>
      </c>
      <c r="AU98" s="27"/>
      <c r="AW98" s="25" t="s">
        <v>90</v>
      </c>
      <c r="AX98" s="27" t="s">
        <v>95</v>
      </c>
    </row>
    <row r="99" spans="1:53" x14ac:dyDescent="0.2">
      <c r="A99" s="25">
        <v>92</v>
      </c>
      <c r="B99" s="26">
        <v>45202</v>
      </c>
      <c r="C99" s="27"/>
      <c r="AS99" s="25" t="s">
        <v>96</v>
      </c>
      <c r="AT99" s="27" t="s">
        <v>87</v>
      </c>
      <c r="AU99" s="27"/>
      <c r="AW99" s="25" t="s">
        <v>90</v>
      </c>
      <c r="AX99" s="27" t="s">
        <v>95</v>
      </c>
    </row>
    <row r="100" spans="1:53" x14ac:dyDescent="0.2">
      <c r="A100" s="25">
        <v>93</v>
      </c>
      <c r="B100" s="26">
        <v>45203</v>
      </c>
      <c r="C100" s="27"/>
      <c r="AS100" s="25" t="s">
        <v>96</v>
      </c>
      <c r="AT100" s="27" t="s">
        <v>87</v>
      </c>
      <c r="AU100" s="27"/>
      <c r="AW100" s="25" t="s">
        <v>90</v>
      </c>
      <c r="AX100" s="27" t="s">
        <v>95</v>
      </c>
    </row>
    <row r="101" spans="1:53" x14ac:dyDescent="0.2">
      <c r="A101" s="25">
        <v>94</v>
      </c>
      <c r="B101" s="26">
        <v>45204</v>
      </c>
      <c r="C101" s="27"/>
      <c r="AS101" s="25" t="s">
        <v>96</v>
      </c>
      <c r="AT101" s="27" t="s">
        <v>87</v>
      </c>
      <c r="AU101" s="27"/>
      <c r="AW101" s="25" t="s">
        <v>90</v>
      </c>
      <c r="AX101" s="27" t="s">
        <v>95</v>
      </c>
    </row>
    <row r="102" spans="1:53" x14ac:dyDescent="0.2">
      <c r="A102" s="25">
        <v>95</v>
      </c>
      <c r="B102" s="26">
        <v>45205</v>
      </c>
      <c r="C102" s="27"/>
      <c r="AS102" s="25" t="s">
        <v>96</v>
      </c>
      <c r="AT102" s="27" t="s">
        <v>87</v>
      </c>
      <c r="AU102" s="27"/>
      <c r="AW102" s="25" t="s">
        <v>90</v>
      </c>
      <c r="AX102" s="27" t="s">
        <v>95</v>
      </c>
    </row>
    <row r="103" spans="1:53" x14ac:dyDescent="0.2">
      <c r="A103" s="25">
        <v>96</v>
      </c>
      <c r="B103" s="26">
        <v>45206</v>
      </c>
      <c r="C103" s="27"/>
      <c r="AN103">
        <v>0.1</v>
      </c>
      <c r="AO103">
        <v>0.1</v>
      </c>
      <c r="AP103">
        <v>0.1</v>
      </c>
      <c r="AS103" s="25" t="s">
        <v>96</v>
      </c>
      <c r="AT103" s="27" t="s">
        <v>87</v>
      </c>
      <c r="AU103" s="27"/>
      <c r="AW103" s="25" t="s">
        <v>90</v>
      </c>
      <c r="AX103" s="27" t="s">
        <v>95</v>
      </c>
      <c r="BA103">
        <v>0</v>
      </c>
    </row>
    <row r="104" spans="1:53" x14ac:dyDescent="0.2">
      <c r="A104" s="25">
        <v>97</v>
      </c>
      <c r="B104" s="26">
        <v>45207</v>
      </c>
      <c r="C104" s="27"/>
      <c r="AN104">
        <v>0.1</v>
      </c>
      <c r="AO104">
        <v>0.1</v>
      </c>
      <c r="AP104">
        <v>0.1</v>
      </c>
      <c r="AS104" s="25" t="s">
        <v>96</v>
      </c>
      <c r="AT104" s="27" t="s">
        <v>87</v>
      </c>
      <c r="AU104" s="27"/>
      <c r="AW104" s="25" t="s">
        <v>90</v>
      </c>
      <c r="AX104" s="27" t="s">
        <v>95</v>
      </c>
    </row>
    <row r="105" spans="1:53" x14ac:dyDescent="0.2">
      <c r="A105" s="25">
        <v>98</v>
      </c>
      <c r="B105" s="26">
        <v>45208</v>
      </c>
      <c r="C105" s="27"/>
      <c r="J105">
        <v>2</v>
      </c>
      <c r="K105" s="172">
        <v>0.5083333333333333</v>
      </c>
      <c r="AG105">
        <v>0.05</v>
      </c>
      <c r="AH105">
        <v>0.05</v>
      </c>
      <c r="AN105">
        <v>0.1</v>
      </c>
      <c r="AO105">
        <v>0.1</v>
      </c>
      <c r="AP105">
        <v>0.1</v>
      </c>
      <c r="AS105" s="25" t="s">
        <v>96</v>
      </c>
      <c r="AT105" s="27" t="s">
        <v>87</v>
      </c>
      <c r="AU105" s="27"/>
      <c r="AW105" s="25" t="s">
        <v>90</v>
      </c>
      <c r="AX105" s="27" t="s">
        <v>95</v>
      </c>
      <c r="BA105">
        <v>0</v>
      </c>
    </row>
    <row r="106" spans="1:53" x14ac:dyDescent="0.2">
      <c r="A106" s="25">
        <v>99</v>
      </c>
      <c r="B106" s="26">
        <v>45209</v>
      </c>
      <c r="AS106" s="25" t="s">
        <v>96</v>
      </c>
      <c r="AT106" s="27" t="s">
        <v>87</v>
      </c>
      <c r="AU106" s="27"/>
      <c r="AW106" s="25" t="s">
        <v>90</v>
      </c>
      <c r="AX106" s="27" t="s">
        <v>95</v>
      </c>
    </row>
    <row r="107" spans="1:53" x14ac:dyDescent="0.2">
      <c r="A107" s="25">
        <v>100</v>
      </c>
      <c r="B107" s="26">
        <v>45210</v>
      </c>
      <c r="C107" s="27"/>
      <c r="AN107">
        <v>0.1</v>
      </c>
      <c r="AO107">
        <v>0.1</v>
      </c>
      <c r="AP107">
        <v>0.1</v>
      </c>
      <c r="AS107" s="25" t="s">
        <v>96</v>
      </c>
      <c r="AT107" s="27" t="s">
        <v>87</v>
      </c>
      <c r="AU107" s="27"/>
      <c r="AW107" s="25" t="s">
        <v>90</v>
      </c>
      <c r="AX107" s="27" t="s">
        <v>95</v>
      </c>
    </row>
    <row r="108" spans="1:53" x14ac:dyDescent="0.2">
      <c r="A108" s="25">
        <v>101</v>
      </c>
      <c r="B108" s="26">
        <v>45211</v>
      </c>
      <c r="C108" s="27"/>
      <c r="AS108" s="25" t="s">
        <v>96</v>
      </c>
      <c r="AT108" s="27" t="s">
        <v>87</v>
      </c>
      <c r="AU108" s="27"/>
      <c r="AW108" s="25" t="s">
        <v>90</v>
      </c>
      <c r="AX108" s="27" t="s">
        <v>95</v>
      </c>
    </row>
    <row r="109" spans="1:53" x14ac:dyDescent="0.2">
      <c r="A109" s="25">
        <v>102</v>
      </c>
      <c r="B109" s="26">
        <v>45212</v>
      </c>
      <c r="C109" s="27"/>
      <c r="AS109" s="25" t="s">
        <v>96</v>
      </c>
      <c r="AT109" s="27" t="s">
        <v>87</v>
      </c>
      <c r="AU109" s="27"/>
      <c r="AW109" s="25" t="s">
        <v>90</v>
      </c>
      <c r="AX109" s="27" t="s">
        <v>95</v>
      </c>
    </row>
    <row r="110" spans="1:53" x14ac:dyDescent="0.2">
      <c r="A110" s="25">
        <v>103</v>
      </c>
      <c r="B110" s="26">
        <v>45213</v>
      </c>
      <c r="C110" s="27"/>
      <c r="AS110" s="25" t="s">
        <v>96</v>
      </c>
      <c r="AT110" s="27" t="s">
        <v>87</v>
      </c>
      <c r="AU110" s="27"/>
      <c r="AW110" s="25" t="s">
        <v>90</v>
      </c>
      <c r="AX110" s="27" t="s">
        <v>95</v>
      </c>
    </row>
    <row r="111" spans="1:53" x14ac:dyDescent="0.2">
      <c r="A111" s="25">
        <v>104</v>
      </c>
      <c r="B111" s="26">
        <v>45214</v>
      </c>
      <c r="AS111" s="25" t="s">
        <v>96</v>
      </c>
      <c r="AT111" s="27" t="s">
        <v>87</v>
      </c>
      <c r="AU111" s="27"/>
      <c r="AW111" s="25" t="s">
        <v>90</v>
      </c>
      <c r="AX111" s="27" t="s">
        <v>95</v>
      </c>
    </row>
    <row r="112" spans="1:53" x14ac:dyDescent="0.2">
      <c r="A112" s="25">
        <v>105</v>
      </c>
      <c r="B112" s="26">
        <v>45215</v>
      </c>
      <c r="AS112" s="25" t="s">
        <v>96</v>
      </c>
      <c r="AT112" s="27" t="s">
        <v>87</v>
      </c>
      <c r="AU112" s="27"/>
      <c r="AW112" s="25" t="s">
        <v>90</v>
      </c>
      <c r="AX112" s="27" t="s">
        <v>95</v>
      </c>
    </row>
    <row r="113" spans="1:2" x14ac:dyDescent="0.2">
      <c r="A113" s="25">
        <v>106</v>
      </c>
      <c r="B113" s="26">
        <v>45216</v>
      </c>
    </row>
    <row r="114" spans="1:2" x14ac:dyDescent="0.2">
      <c r="A114" s="25">
        <v>107</v>
      </c>
      <c r="B114" s="26">
        <v>45217</v>
      </c>
    </row>
  </sheetData>
  <mergeCells count="52">
    <mergeCell ref="A1:C3"/>
    <mergeCell ref="D1:M3"/>
    <mergeCell ref="N1:P3"/>
    <mergeCell ref="Q1:Y3"/>
    <mergeCell ref="Z1:AF3"/>
    <mergeCell ref="A4:A6"/>
    <mergeCell ref="B4:B6"/>
    <mergeCell ref="C4:C6"/>
    <mergeCell ref="D4:E5"/>
    <mergeCell ref="F4:G5"/>
    <mergeCell ref="N4:N6"/>
    <mergeCell ref="AS1:AV3"/>
    <mergeCell ref="AW1:AZ3"/>
    <mergeCell ref="BA1:BA3"/>
    <mergeCell ref="AG3:AK3"/>
    <mergeCell ref="AM3:AP3"/>
    <mergeCell ref="AG1:AP2"/>
    <mergeCell ref="O4:O6"/>
    <mergeCell ref="P4:P6"/>
    <mergeCell ref="Q4:Q6"/>
    <mergeCell ref="R4:T5"/>
    <mergeCell ref="U4:W5"/>
    <mergeCell ref="AX4:AX6"/>
    <mergeCell ref="AY4:AY6"/>
    <mergeCell ref="AZ4:AZ6"/>
    <mergeCell ref="BA4:BA6"/>
    <mergeCell ref="H4:I5"/>
    <mergeCell ref="J4:J6"/>
    <mergeCell ref="K4:K6"/>
    <mergeCell ref="L4:L6"/>
    <mergeCell ref="M4:M6"/>
    <mergeCell ref="O27:O47"/>
    <mergeCell ref="AR4:AR6"/>
    <mergeCell ref="AS4:AS6"/>
    <mergeCell ref="AT4:AT6"/>
    <mergeCell ref="AU4:AU6"/>
    <mergeCell ref="AH4:AH6"/>
    <mergeCell ref="AI4:AK5"/>
    <mergeCell ref="AL4:AL6"/>
    <mergeCell ref="AM4:AM5"/>
    <mergeCell ref="AN4:AP5"/>
    <mergeCell ref="AQ4:AQ6"/>
    <mergeCell ref="Y4:Y6"/>
    <mergeCell ref="Z4:AB5"/>
    <mergeCell ref="AC4:AD5"/>
    <mergeCell ref="AE4:AE6"/>
    <mergeCell ref="AF4:AF6"/>
    <mergeCell ref="X11:X18"/>
    <mergeCell ref="AV4:AV6"/>
    <mergeCell ref="AW4:AW6"/>
    <mergeCell ref="AG4:AG5"/>
    <mergeCell ref="X4:X6"/>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22"/>
  <sheetViews>
    <sheetView zoomScale="69" zoomScaleNormal="69" workbookViewId="0">
      <pane xSplit="1" topLeftCell="B1" activePane="topRight" state="frozen"/>
      <selection pane="topRight" activeCell="A96" sqref="A96:XFD96"/>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3.1640625" bestFit="1"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ht="23" x14ac:dyDescent="0.2">
      <c r="A1" s="209" t="s">
        <v>0</v>
      </c>
      <c r="B1" s="210"/>
      <c r="C1" s="210"/>
      <c r="D1" s="215" t="s">
        <v>1</v>
      </c>
      <c r="E1" s="215"/>
      <c r="F1" s="215"/>
      <c r="G1" s="215"/>
      <c r="H1" s="215"/>
      <c r="I1" s="215"/>
      <c r="J1" s="215"/>
      <c r="K1" s="215"/>
      <c r="L1" s="215"/>
      <c r="M1" s="215"/>
      <c r="N1" s="218" t="s">
        <v>2</v>
      </c>
      <c r="O1" s="218"/>
      <c r="P1" s="219"/>
      <c r="Q1" s="224" t="s">
        <v>3</v>
      </c>
      <c r="R1" s="225"/>
      <c r="S1" s="225"/>
      <c r="T1" s="225"/>
      <c r="U1" s="225"/>
      <c r="V1" s="225"/>
      <c r="W1" s="225"/>
      <c r="X1" s="225"/>
      <c r="Y1" s="226"/>
      <c r="Z1" s="230" t="s">
        <v>4</v>
      </c>
      <c r="AA1" s="231"/>
      <c r="AB1" s="231"/>
      <c r="AC1" s="231"/>
      <c r="AD1" s="231"/>
      <c r="AE1" s="231"/>
      <c r="AF1" s="232"/>
      <c r="AG1" s="271" t="s">
        <v>5</v>
      </c>
      <c r="AH1" s="271"/>
      <c r="AI1" s="271"/>
      <c r="AJ1" s="271"/>
      <c r="AK1" s="271"/>
      <c r="AL1" s="271"/>
      <c r="AM1" s="271"/>
      <c r="AN1" s="271"/>
      <c r="AO1" s="271"/>
      <c r="AP1" s="271"/>
      <c r="AQ1" s="1"/>
      <c r="AR1" s="2"/>
      <c r="AS1" s="251" t="s">
        <v>6</v>
      </c>
      <c r="AT1" s="252"/>
      <c r="AU1" s="252"/>
      <c r="AV1" s="252"/>
      <c r="AW1" s="257" t="s">
        <v>7</v>
      </c>
      <c r="AX1" s="258"/>
      <c r="AY1" s="258"/>
      <c r="AZ1" s="259"/>
      <c r="BA1" s="266" t="s">
        <v>8</v>
      </c>
    </row>
    <row r="2" spans="1:53" ht="23" x14ac:dyDescent="0.2">
      <c r="A2" s="211"/>
      <c r="B2" s="212"/>
      <c r="C2" s="212"/>
      <c r="D2" s="216"/>
      <c r="E2" s="216"/>
      <c r="F2" s="216"/>
      <c r="G2" s="216"/>
      <c r="H2" s="216"/>
      <c r="I2" s="216"/>
      <c r="J2" s="216"/>
      <c r="K2" s="216"/>
      <c r="L2" s="216"/>
      <c r="M2" s="216"/>
      <c r="N2" s="220"/>
      <c r="O2" s="220"/>
      <c r="P2" s="221"/>
      <c r="Q2" s="227"/>
      <c r="R2" s="228"/>
      <c r="S2" s="228"/>
      <c r="T2" s="228"/>
      <c r="U2" s="228"/>
      <c r="V2" s="228"/>
      <c r="W2" s="228"/>
      <c r="X2" s="228"/>
      <c r="Y2" s="229"/>
      <c r="Z2" s="233"/>
      <c r="AA2" s="234"/>
      <c r="AB2" s="234"/>
      <c r="AC2" s="234"/>
      <c r="AD2" s="234"/>
      <c r="AE2" s="234"/>
      <c r="AF2" s="235"/>
      <c r="AG2" s="272"/>
      <c r="AH2" s="272"/>
      <c r="AI2" s="272"/>
      <c r="AJ2" s="272"/>
      <c r="AK2" s="272"/>
      <c r="AL2" s="272"/>
      <c r="AM2" s="272"/>
      <c r="AN2" s="272"/>
      <c r="AO2" s="272"/>
      <c r="AP2" s="272"/>
      <c r="AQ2" s="3"/>
      <c r="AR2" s="4"/>
      <c r="AS2" s="253"/>
      <c r="AT2" s="254"/>
      <c r="AU2" s="254"/>
      <c r="AV2" s="254"/>
      <c r="AW2" s="260"/>
      <c r="AX2" s="261"/>
      <c r="AY2" s="261"/>
      <c r="AZ2" s="262"/>
      <c r="BA2" s="267"/>
    </row>
    <row r="3" spans="1:53" ht="21" thickBot="1" x14ac:dyDescent="0.25">
      <c r="A3" s="213"/>
      <c r="B3" s="214"/>
      <c r="C3" s="214"/>
      <c r="D3" s="217"/>
      <c r="E3" s="217"/>
      <c r="F3" s="217"/>
      <c r="G3" s="217"/>
      <c r="H3" s="217"/>
      <c r="I3" s="217"/>
      <c r="J3" s="217"/>
      <c r="K3" s="217"/>
      <c r="L3" s="217"/>
      <c r="M3" s="217"/>
      <c r="N3" s="222"/>
      <c r="O3" s="222"/>
      <c r="P3" s="223"/>
      <c r="Q3" s="227"/>
      <c r="R3" s="228"/>
      <c r="S3" s="228"/>
      <c r="T3" s="228"/>
      <c r="U3" s="228"/>
      <c r="V3" s="228"/>
      <c r="W3" s="228"/>
      <c r="X3" s="228"/>
      <c r="Y3" s="229"/>
      <c r="Z3" s="233"/>
      <c r="AA3" s="234"/>
      <c r="AB3" s="234"/>
      <c r="AC3" s="234"/>
      <c r="AD3" s="234"/>
      <c r="AE3" s="234"/>
      <c r="AF3" s="235"/>
      <c r="AG3" s="269" t="s">
        <v>9</v>
      </c>
      <c r="AH3" s="269"/>
      <c r="AI3" s="269"/>
      <c r="AJ3" s="269"/>
      <c r="AK3" s="270"/>
      <c r="AL3" s="5"/>
      <c r="AM3" s="269" t="s">
        <v>10</v>
      </c>
      <c r="AN3" s="269"/>
      <c r="AO3" s="269"/>
      <c r="AP3" s="270"/>
      <c r="AQ3" s="6"/>
      <c r="AR3" s="7"/>
      <c r="AS3" s="255"/>
      <c r="AT3" s="256"/>
      <c r="AU3" s="256"/>
      <c r="AV3" s="256"/>
      <c r="AW3" s="263"/>
      <c r="AX3" s="264"/>
      <c r="AY3" s="264"/>
      <c r="AZ3" s="265"/>
      <c r="BA3" s="268"/>
    </row>
    <row r="4" spans="1:53" x14ac:dyDescent="0.2">
      <c r="A4" s="236" t="s">
        <v>11</v>
      </c>
      <c r="B4" s="239" t="s">
        <v>12</v>
      </c>
      <c r="C4" s="239" t="s">
        <v>13</v>
      </c>
      <c r="D4" s="242" t="s">
        <v>14</v>
      </c>
      <c r="E4" s="243"/>
      <c r="F4" s="246" t="s">
        <v>15</v>
      </c>
      <c r="G4" s="243"/>
      <c r="H4" s="292" t="s">
        <v>16</v>
      </c>
      <c r="I4" s="293"/>
      <c r="J4" s="296" t="s">
        <v>17</v>
      </c>
      <c r="K4" s="299" t="s">
        <v>18</v>
      </c>
      <c r="L4" s="292" t="s">
        <v>19</v>
      </c>
      <c r="M4" s="303" t="s">
        <v>20</v>
      </c>
      <c r="N4" s="248" t="s">
        <v>21</v>
      </c>
      <c r="O4" s="248" t="s">
        <v>19</v>
      </c>
      <c r="P4" s="248" t="s">
        <v>20</v>
      </c>
      <c r="Q4" s="273" t="s">
        <v>22</v>
      </c>
      <c r="R4" s="276" t="s">
        <v>23</v>
      </c>
      <c r="S4" s="276"/>
      <c r="T4" s="277"/>
      <c r="U4" s="280" t="s">
        <v>24</v>
      </c>
      <c r="V4" s="280"/>
      <c r="W4" s="281"/>
      <c r="X4" s="353" t="s">
        <v>19</v>
      </c>
      <c r="Y4" s="330" t="s">
        <v>20</v>
      </c>
      <c r="Z4" s="333" t="s">
        <v>23</v>
      </c>
      <c r="AA4" s="334"/>
      <c r="AB4" s="335"/>
      <c r="AC4" s="339" t="s">
        <v>24</v>
      </c>
      <c r="AD4" s="339"/>
      <c r="AE4" s="339" t="s">
        <v>19</v>
      </c>
      <c r="AF4" s="342" t="s">
        <v>20</v>
      </c>
      <c r="AG4" s="351" t="s">
        <v>25</v>
      </c>
      <c r="AH4" s="318" t="s">
        <v>26</v>
      </c>
      <c r="AI4" s="321" t="s">
        <v>24</v>
      </c>
      <c r="AJ4" s="321"/>
      <c r="AK4" s="321"/>
      <c r="AL4" s="323" t="s">
        <v>27</v>
      </c>
      <c r="AM4" s="325" t="s">
        <v>25</v>
      </c>
      <c r="AN4" s="321" t="s">
        <v>24</v>
      </c>
      <c r="AO4" s="321"/>
      <c r="AP4" s="309"/>
      <c r="AQ4" s="327" t="s">
        <v>19</v>
      </c>
      <c r="AR4" s="309" t="s">
        <v>20</v>
      </c>
      <c r="AS4" s="312" t="s">
        <v>28</v>
      </c>
      <c r="AT4" s="315" t="s">
        <v>29</v>
      </c>
      <c r="AU4" s="315" t="s">
        <v>19</v>
      </c>
      <c r="AV4" s="315" t="s">
        <v>20</v>
      </c>
      <c r="AW4" s="348" t="s">
        <v>30</v>
      </c>
      <c r="AX4" s="284" t="s">
        <v>29</v>
      </c>
      <c r="AY4" s="284" t="s">
        <v>19</v>
      </c>
      <c r="AZ4" s="287" t="s">
        <v>20</v>
      </c>
      <c r="BA4" s="290" t="s">
        <v>31</v>
      </c>
    </row>
    <row r="5" spans="1:53" x14ac:dyDescent="0.2">
      <c r="A5" s="237"/>
      <c r="B5" s="240"/>
      <c r="C5" s="240"/>
      <c r="D5" s="244"/>
      <c r="E5" s="245"/>
      <c r="F5" s="247"/>
      <c r="G5" s="245"/>
      <c r="H5" s="294"/>
      <c r="I5" s="295"/>
      <c r="J5" s="297"/>
      <c r="K5" s="300"/>
      <c r="L5" s="294"/>
      <c r="M5" s="304"/>
      <c r="N5" s="249"/>
      <c r="O5" s="249"/>
      <c r="P5" s="249"/>
      <c r="Q5" s="274"/>
      <c r="R5" s="278"/>
      <c r="S5" s="278"/>
      <c r="T5" s="279"/>
      <c r="U5" s="282"/>
      <c r="V5" s="282"/>
      <c r="W5" s="283"/>
      <c r="X5" s="354"/>
      <c r="Y5" s="331"/>
      <c r="Z5" s="336"/>
      <c r="AA5" s="337"/>
      <c r="AB5" s="338"/>
      <c r="AC5" s="340"/>
      <c r="AD5" s="340"/>
      <c r="AE5" s="340"/>
      <c r="AF5" s="343"/>
      <c r="AG5" s="352"/>
      <c r="AH5" s="319"/>
      <c r="AI5" s="322"/>
      <c r="AJ5" s="322"/>
      <c r="AK5" s="322"/>
      <c r="AL5" s="324"/>
      <c r="AM5" s="326"/>
      <c r="AN5" s="322"/>
      <c r="AO5" s="322"/>
      <c r="AP5" s="310"/>
      <c r="AQ5" s="328"/>
      <c r="AR5" s="310"/>
      <c r="AS5" s="313"/>
      <c r="AT5" s="316"/>
      <c r="AU5" s="316"/>
      <c r="AV5" s="316"/>
      <c r="AW5" s="349"/>
      <c r="AX5" s="285"/>
      <c r="AY5" s="285"/>
      <c r="AZ5" s="288"/>
      <c r="BA5" s="290"/>
    </row>
    <row r="6" spans="1:53" ht="16" thickBot="1" x14ac:dyDescent="0.25">
      <c r="A6" s="238"/>
      <c r="B6" s="241"/>
      <c r="C6" s="241"/>
      <c r="D6" s="8" t="s">
        <v>32</v>
      </c>
      <c r="E6" s="9" t="s">
        <v>33</v>
      </c>
      <c r="F6" s="10" t="s">
        <v>32</v>
      </c>
      <c r="G6" s="9" t="s">
        <v>33</v>
      </c>
      <c r="H6" s="11" t="s">
        <v>32</v>
      </c>
      <c r="I6" s="12" t="s">
        <v>33</v>
      </c>
      <c r="J6" s="298"/>
      <c r="K6" s="301"/>
      <c r="L6" s="302"/>
      <c r="M6" s="305"/>
      <c r="N6" s="250"/>
      <c r="O6" s="250"/>
      <c r="P6" s="250"/>
      <c r="Q6" s="275"/>
      <c r="R6" s="13" t="s">
        <v>32</v>
      </c>
      <c r="S6" s="13" t="s">
        <v>34</v>
      </c>
      <c r="T6" s="14" t="s">
        <v>33</v>
      </c>
      <c r="U6" s="15" t="s">
        <v>32</v>
      </c>
      <c r="V6" s="15" t="s">
        <v>34</v>
      </c>
      <c r="W6" s="16" t="s">
        <v>33</v>
      </c>
      <c r="X6" s="355"/>
      <c r="Y6" s="332"/>
      <c r="Z6" s="17" t="s">
        <v>32</v>
      </c>
      <c r="AA6" s="18" t="s">
        <v>34</v>
      </c>
      <c r="AB6" s="19" t="s">
        <v>33</v>
      </c>
      <c r="AC6" s="20" t="s">
        <v>32</v>
      </c>
      <c r="AD6" s="20" t="s">
        <v>34</v>
      </c>
      <c r="AE6" s="341"/>
      <c r="AF6" s="344"/>
      <c r="AG6" s="21" t="s">
        <v>34</v>
      </c>
      <c r="AH6" s="320"/>
      <c r="AI6" s="22" t="s">
        <v>32</v>
      </c>
      <c r="AJ6" s="22" t="s">
        <v>34</v>
      </c>
      <c r="AK6" s="22" t="s">
        <v>33</v>
      </c>
      <c r="AL6" s="324"/>
      <c r="AM6" s="23" t="s">
        <v>33</v>
      </c>
      <c r="AN6" s="22" t="s">
        <v>32</v>
      </c>
      <c r="AO6" s="22" t="s">
        <v>34</v>
      </c>
      <c r="AP6" s="24" t="s">
        <v>33</v>
      </c>
      <c r="AQ6" s="329"/>
      <c r="AR6" s="311"/>
      <c r="AS6" s="314"/>
      <c r="AT6" s="317"/>
      <c r="AU6" s="317"/>
      <c r="AV6" s="317"/>
      <c r="AW6" s="350"/>
      <c r="AX6" s="286"/>
      <c r="AY6" s="286"/>
      <c r="AZ6" s="289"/>
      <c r="BA6" s="291"/>
    </row>
    <row r="7" spans="1:53" ht="16" thickBot="1" x14ac:dyDescent="0.25">
      <c r="A7" s="25">
        <v>0</v>
      </c>
      <c r="B7" s="26">
        <v>45010</v>
      </c>
      <c r="C7" s="27" t="s">
        <v>117</v>
      </c>
      <c r="D7" s="25"/>
      <c r="E7" s="28"/>
      <c r="F7" s="27"/>
      <c r="G7" s="28"/>
      <c r="H7" s="27"/>
      <c r="I7" s="28"/>
      <c r="J7" s="27">
        <v>0.8</v>
      </c>
      <c r="K7" s="29" t="s">
        <v>35</v>
      </c>
      <c r="L7" s="30" t="s">
        <v>36</v>
      </c>
      <c r="M7" s="31"/>
      <c r="N7" s="27"/>
      <c r="P7" s="32"/>
      <c r="Q7" s="25"/>
      <c r="R7" s="27"/>
      <c r="S7" s="27"/>
      <c r="T7" s="28"/>
      <c r="U7" s="27"/>
      <c r="V7" s="27"/>
      <c r="W7" s="28"/>
      <c r="X7" s="33"/>
      <c r="Y7" s="32"/>
      <c r="Z7" s="25"/>
      <c r="AA7" s="27"/>
      <c r="AB7" s="28"/>
      <c r="AC7" s="27"/>
      <c r="AD7" s="27"/>
      <c r="AE7" s="33"/>
      <c r="AG7" s="25"/>
      <c r="AH7" s="34"/>
      <c r="AI7" s="27"/>
      <c r="AJ7" s="27"/>
      <c r="AK7" s="27"/>
      <c r="AL7" s="25"/>
      <c r="AM7" s="35"/>
      <c r="AN7" s="27"/>
      <c r="AO7" s="27"/>
      <c r="AP7" s="36"/>
      <c r="AQ7" s="37"/>
      <c r="AR7" s="32"/>
      <c r="AS7" s="25"/>
      <c r="AT7" s="27"/>
      <c r="AU7" s="27"/>
      <c r="AW7" s="25"/>
      <c r="AX7" s="27"/>
      <c r="AY7" s="27"/>
      <c r="AZ7" s="32"/>
      <c r="BA7" s="38"/>
    </row>
    <row r="8" spans="1:53" ht="16" thickBot="1" x14ac:dyDescent="0.25">
      <c r="A8" s="25">
        <v>1</v>
      </c>
      <c r="B8" s="26">
        <v>45011</v>
      </c>
      <c r="C8" s="27"/>
      <c r="D8" s="25"/>
      <c r="E8" s="28"/>
      <c r="F8" s="27"/>
      <c r="G8" s="28"/>
      <c r="H8" s="27"/>
      <c r="I8" s="28"/>
      <c r="J8" s="27">
        <v>0.8</v>
      </c>
      <c r="K8" s="29" t="s">
        <v>35</v>
      </c>
      <c r="L8" s="39"/>
      <c r="M8" s="31"/>
      <c r="N8" s="27"/>
      <c r="P8" s="32"/>
      <c r="Q8" s="40"/>
      <c r="R8" s="27"/>
      <c r="S8" s="27"/>
      <c r="T8" s="28"/>
      <c r="U8" s="27"/>
      <c r="V8" s="27"/>
      <c r="W8" s="28"/>
      <c r="X8" s="33"/>
      <c r="Y8" s="32"/>
      <c r="Z8" s="25"/>
      <c r="AA8" s="27"/>
      <c r="AB8" s="28"/>
      <c r="AC8" s="27"/>
      <c r="AD8" s="27"/>
      <c r="AE8" s="33"/>
      <c r="AG8" s="25"/>
      <c r="AH8" s="34"/>
      <c r="AI8" s="27"/>
      <c r="AJ8" s="27"/>
      <c r="AK8" s="27"/>
      <c r="AL8" s="25"/>
      <c r="AM8" s="34"/>
      <c r="AN8" s="27"/>
      <c r="AO8" s="27"/>
      <c r="AP8" s="36"/>
      <c r="AQ8" s="37"/>
      <c r="AR8" s="32"/>
      <c r="AS8" s="25"/>
      <c r="AT8" s="27"/>
      <c r="AU8" s="27"/>
      <c r="AW8" s="25"/>
      <c r="AX8" s="27"/>
      <c r="AY8" s="27"/>
      <c r="AZ8" s="32"/>
      <c r="BA8" s="41"/>
    </row>
    <row r="9" spans="1:53" ht="16" thickBot="1" x14ac:dyDescent="0.25">
      <c r="A9" s="25">
        <v>2</v>
      </c>
      <c r="B9" s="26">
        <v>45012</v>
      </c>
      <c r="C9" s="27" t="s">
        <v>117</v>
      </c>
      <c r="D9" s="25"/>
      <c r="E9" s="28"/>
      <c r="F9" s="27"/>
      <c r="G9" s="28"/>
      <c r="H9" s="27"/>
      <c r="I9" s="28"/>
      <c r="J9" s="27">
        <v>0.8</v>
      </c>
      <c r="K9" s="29" t="s">
        <v>35</v>
      </c>
      <c r="L9" s="39"/>
      <c r="M9" s="31"/>
      <c r="N9" s="27"/>
      <c r="O9" s="42"/>
      <c r="Q9" s="43" t="s">
        <v>37</v>
      </c>
      <c r="R9" s="27"/>
      <c r="S9" s="27"/>
      <c r="T9" s="28"/>
      <c r="U9" s="27"/>
      <c r="V9" s="27"/>
      <c r="W9" s="28"/>
      <c r="X9" s="33"/>
      <c r="Y9" s="32"/>
      <c r="Z9" s="25"/>
      <c r="AA9" s="27"/>
      <c r="AB9" s="28"/>
      <c r="AC9" s="27"/>
      <c r="AD9" s="27"/>
      <c r="AE9" s="33"/>
      <c r="AG9" s="25"/>
      <c r="AH9" s="34"/>
      <c r="AI9" s="27"/>
      <c r="AJ9" s="27"/>
      <c r="AK9" s="27"/>
      <c r="AL9" s="25"/>
      <c r="AM9" s="34"/>
      <c r="AN9" s="27"/>
      <c r="AO9" s="27"/>
      <c r="AP9" s="36"/>
      <c r="AQ9" s="37"/>
      <c r="AR9" s="32"/>
      <c r="AS9" s="25"/>
      <c r="AT9" s="27"/>
      <c r="AU9" s="27"/>
      <c r="AW9" s="25"/>
      <c r="AX9" s="27"/>
      <c r="AY9" s="27"/>
      <c r="AZ9" s="32"/>
      <c r="BA9" s="41"/>
    </row>
    <row r="10" spans="1:53" ht="16" thickBot="1" x14ac:dyDescent="0.25">
      <c r="A10" s="25">
        <v>3</v>
      </c>
      <c r="B10" s="26">
        <v>45013</v>
      </c>
      <c r="C10" s="27" t="s">
        <v>117</v>
      </c>
      <c r="D10" s="25"/>
      <c r="E10" s="28"/>
      <c r="F10" s="27"/>
      <c r="G10" s="28"/>
      <c r="H10" s="27"/>
      <c r="I10" s="28"/>
      <c r="J10" s="27">
        <v>1.2</v>
      </c>
      <c r="K10" s="29" t="s">
        <v>35</v>
      </c>
      <c r="L10" s="44" t="s">
        <v>38</v>
      </c>
      <c r="M10" s="31" t="s">
        <v>39</v>
      </c>
      <c r="N10" s="27" t="s">
        <v>40</v>
      </c>
      <c r="O10" s="45" t="s">
        <v>41</v>
      </c>
      <c r="P10" s="46"/>
      <c r="Q10" s="25"/>
      <c r="R10" s="27"/>
      <c r="S10" s="27"/>
      <c r="T10" s="28"/>
      <c r="U10" s="27">
        <v>5</v>
      </c>
      <c r="V10" s="27"/>
      <c r="W10" s="28">
        <v>5</v>
      </c>
      <c r="X10" s="47" t="s">
        <v>43</v>
      </c>
      <c r="Y10" s="32" t="s">
        <v>44</v>
      </c>
      <c r="Z10" s="25"/>
      <c r="AA10" s="27"/>
      <c r="AB10" s="28"/>
      <c r="AC10" s="27">
        <v>5</v>
      </c>
      <c r="AD10" s="27"/>
      <c r="AE10" s="48" t="s">
        <v>45</v>
      </c>
      <c r="AG10" s="25"/>
      <c r="AH10" s="34"/>
      <c r="AI10" s="27"/>
      <c r="AJ10" s="27"/>
      <c r="AK10" s="27"/>
      <c r="AL10" s="25"/>
      <c r="AM10" s="34"/>
      <c r="AN10" s="27"/>
      <c r="AO10" s="27"/>
      <c r="AP10" s="36"/>
      <c r="AQ10" s="37"/>
      <c r="AR10" s="32"/>
      <c r="AS10" s="25"/>
      <c r="AT10" s="27"/>
      <c r="AU10" s="27"/>
      <c r="AW10" s="25"/>
      <c r="AX10" s="27"/>
      <c r="AY10" s="27"/>
      <c r="AZ10" s="32"/>
      <c r="BA10" s="41"/>
    </row>
    <row r="11" spans="1:53" x14ac:dyDescent="0.2">
      <c r="A11" s="25">
        <v>4</v>
      </c>
      <c r="B11" s="26">
        <v>45014</v>
      </c>
      <c r="C11" s="27" t="s">
        <v>140</v>
      </c>
      <c r="D11" s="25"/>
      <c r="E11" s="28"/>
      <c r="F11" s="27"/>
      <c r="G11" s="28"/>
      <c r="H11" s="27"/>
      <c r="I11" s="28"/>
      <c r="J11" s="27">
        <v>1.2</v>
      </c>
      <c r="K11" s="29" t="s">
        <v>35</v>
      </c>
      <c r="L11" s="39"/>
      <c r="M11" s="31"/>
      <c r="N11" s="27" t="s">
        <v>40</v>
      </c>
      <c r="O11" t="s">
        <v>46</v>
      </c>
      <c r="P11" s="32"/>
      <c r="Q11" s="25"/>
      <c r="R11" s="27"/>
      <c r="S11" s="27"/>
      <c r="T11" s="28"/>
      <c r="U11" s="27">
        <v>5</v>
      </c>
      <c r="V11" s="27"/>
      <c r="W11" s="28">
        <v>5</v>
      </c>
      <c r="X11" s="345" t="s">
        <v>47</v>
      </c>
      <c r="Y11" s="32"/>
      <c r="Z11" s="25"/>
      <c r="AA11" s="27"/>
      <c r="AB11" s="28"/>
      <c r="AC11" s="27">
        <v>5</v>
      </c>
      <c r="AD11" s="27"/>
      <c r="AE11" s="33"/>
      <c r="AG11" s="25"/>
      <c r="AH11" s="34"/>
      <c r="AI11" s="27"/>
      <c r="AJ11" s="27"/>
      <c r="AK11" s="27"/>
      <c r="AL11" s="25"/>
      <c r="AM11" s="34"/>
      <c r="AN11" s="27"/>
      <c r="AO11" s="27"/>
      <c r="AP11" s="36"/>
      <c r="AQ11" s="37"/>
      <c r="AR11" s="32"/>
      <c r="AS11" s="25"/>
      <c r="AT11" s="27"/>
      <c r="AU11" s="27"/>
      <c r="AW11" s="25"/>
      <c r="AX11" s="27"/>
      <c r="AY11" s="27"/>
      <c r="AZ11" s="32"/>
      <c r="BA11" s="41"/>
    </row>
    <row r="12" spans="1:53" x14ac:dyDescent="0.2">
      <c r="A12" s="25">
        <v>5</v>
      </c>
      <c r="B12" s="26">
        <v>45015</v>
      </c>
      <c r="C12" s="27" t="s">
        <v>140</v>
      </c>
      <c r="D12" s="25"/>
      <c r="E12" s="28"/>
      <c r="F12" s="27"/>
      <c r="G12" s="28"/>
      <c r="H12" s="27"/>
      <c r="I12" s="28"/>
      <c r="J12" s="27">
        <v>1.2</v>
      </c>
      <c r="K12" s="29" t="s">
        <v>35</v>
      </c>
      <c r="L12" s="39"/>
      <c r="M12" s="31"/>
      <c r="N12" s="27" t="s">
        <v>40</v>
      </c>
      <c r="P12" s="32"/>
      <c r="Q12" s="25"/>
      <c r="R12" s="27"/>
      <c r="S12" s="27"/>
      <c r="T12" s="28"/>
      <c r="U12" s="27">
        <v>5</v>
      </c>
      <c r="V12" s="27"/>
      <c r="W12" s="28">
        <v>5</v>
      </c>
      <c r="X12" s="346"/>
      <c r="Y12" s="32"/>
      <c r="Z12" s="25"/>
      <c r="AA12" s="27"/>
      <c r="AB12" s="28"/>
      <c r="AC12" s="27">
        <v>5</v>
      </c>
      <c r="AD12" s="27"/>
      <c r="AE12" s="33"/>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6</v>
      </c>
      <c r="B13" s="26">
        <v>45016</v>
      </c>
      <c r="C13" s="27"/>
      <c r="D13" s="25"/>
      <c r="E13" s="28"/>
      <c r="F13" s="27"/>
      <c r="G13" s="28"/>
      <c r="H13" s="27"/>
      <c r="I13" s="28"/>
      <c r="J13" s="27">
        <v>1.2</v>
      </c>
      <c r="K13" s="29" t="s">
        <v>35</v>
      </c>
      <c r="L13" s="39"/>
      <c r="M13" s="31"/>
      <c r="N13" s="27" t="s">
        <v>40</v>
      </c>
      <c r="P13" s="32"/>
      <c r="Q13" s="25"/>
      <c r="R13" s="27"/>
      <c r="S13" s="27"/>
      <c r="T13" s="28"/>
      <c r="U13" s="27">
        <v>5</v>
      </c>
      <c r="V13" s="27"/>
      <c r="W13" s="28">
        <v>5</v>
      </c>
      <c r="X13" s="346"/>
      <c r="Y13" s="32"/>
      <c r="Z13" s="25"/>
      <c r="AA13" s="27"/>
      <c r="AB13" s="28"/>
      <c r="AC13" s="27">
        <v>5</v>
      </c>
      <c r="AD13" s="27"/>
      <c r="AE13" s="33"/>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7</v>
      </c>
      <c r="B14" s="26">
        <v>45017</v>
      </c>
      <c r="C14" s="27"/>
      <c r="D14" s="25"/>
      <c r="E14" s="28"/>
      <c r="F14" s="27"/>
      <c r="G14" s="28"/>
      <c r="H14" s="27"/>
      <c r="I14" s="28"/>
      <c r="J14" s="27">
        <v>1.2</v>
      </c>
      <c r="K14" s="29" t="s">
        <v>35</v>
      </c>
      <c r="L14" s="39"/>
      <c r="M14" s="31"/>
      <c r="N14" s="27" t="s">
        <v>40</v>
      </c>
      <c r="P14" s="32"/>
      <c r="Q14" s="25"/>
      <c r="R14" s="27"/>
      <c r="S14" s="27"/>
      <c r="T14" s="28"/>
      <c r="U14" s="27">
        <v>5</v>
      </c>
      <c r="V14" s="27"/>
      <c r="W14" s="28">
        <v>5</v>
      </c>
      <c r="X14" s="346"/>
      <c r="Y14" s="32"/>
      <c r="Z14" s="25"/>
      <c r="AA14" s="27"/>
      <c r="AB14" s="28"/>
      <c r="AC14" s="27">
        <v>5</v>
      </c>
      <c r="AD14" s="27"/>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8</v>
      </c>
      <c r="B15" s="26">
        <v>45018</v>
      </c>
      <c r="C15" s="27" t="s">
        <v>140</v>
      </c>
      <c r="D15" s="25"/>
      <c r="E15" s="28"/>
      <c r="F15" s="27"/>
      <c r="G15" s="28"/>
      <c r="H15" s="27"/>
      <c r="I15" s="28"/>
      <c r="J15" s="27">
        <v>1.2</v>
      </c>
      <c r="K15" s="29" t="s">
        <v>35</v>
      </c>
      <c r="L15" s="39"/>
      <c r="M15" s="31"/>
      <c r="N15" s="27" t="s">
        <v>40</v>
      </c>
      <c r="P15" s="32"/>
      <c r="Q15" s="25"/>
      <c r="R15" s="27"/>
      <c r="S15" s="27"/>
      <c r="T15" s="28"/>
      <c r="U15" s="27">
        <v>5</v>
      </c>
      <c r="V15" s="27"/>
      <c r="W15" s="28">
        <v>5</v>
      </c>
      <c r="X15" s="346"/>
      <c r="Y15" s="32"/>
      <c r="Z15" s="25"/>
      <c r="AA15" s="27"/>
      <c r="AB15" s="28"/>
      <c r="AC15" s="27">
        <v>5</v>
      </c>
      <c r="AD15" s="27"/>
      <c r="AE15" s="33"/>
      <c r="AG15" s="25"/>
      <c r="AH15" s="34"/>
      <c r="AI15" s="27"/>
      <c r="AJ15" s="27"/>
      <c r="AK15" s="27"/>
      <c r="AL15" s="25"/>
      <c r="AM15" s="34"/>
      <c r="AN15" s="27"/>
      <c r="AO15" s="27"/>
      <c r="AP15" s="36"/>
      <c r="AQ15" s="37"/>
      <c r="AR15" s="32"/>
      <c r="AS15" s="25"/>
      <c r="AT15" s="27"/>
      <c r="AU15" s="27"/>
      <c r="AW15" s="25"/>
      <c r="AX15" s="27"/>
      <c r="AY15" s="27"/>
      <c r="AZ15" s="32"/>
      <c r="BA15" s="41"/>
    </row>
    <row r="16" spans="1:53" ht="16" thickBot="1" x14ac:dyDescent="0.25">
      <c r="A16" s="25">
        <v>9</v>
      </c>
      <c r="B16" s="26">
        <v>45019</v>
      </c>
      <c r="C16" s="27" t="s">
        <v>140</v>
      </c>
      <c r="D16" s="25"/>
      <c r="E16" s="28"/>
      <c r="F16" s="27"/>
      <c r="G16" s="28"/>
      <c r="H16" s="27"/>
      <c r="I16" s="28"/>
      <c r="J16" s="27">
        <v>1.2</v>
      </c>
      <c r="K16" s="29" t="s">
        <v>35</v>
      </c>
      <c r="L16" s="39"/>
      <c r="M16" s="31"/>
      <c r="N16" s="27" t="s">
        <v>40</v>
      </c>
      <c r="P16" s="32"/>
      <c r="Q16" s="25"/>
      <c r="R16" s="27"/>
      <c r="S16" s="27"/>
      <c r="T16" s="28"/>
      <c r="U16" s="27">
        <v>5</v>
      </c>
      <c r="V16" s="27"/>
      <c r="W16" s="28">
        <v>5</v>
      </c>
      <c r="X16" s="346"/>
      <c r="Y16" s="32"/>
      <c r="Z16" s="25"/>
      <c r="AA16" s="27"/>
      <c r="AB16" s="28"/>
      <c r="AC16" s="27">
        <v>5</v>
      </c>
      <c r="AD16" s="27"/>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10</v>
      </c>
      <c r="B17" s="26">
        <v>45020</v>
      </c>
      <c r="C17" s="27" t="s">
        <v>117</v>
      </c>
      <c r="D17" s="25"/>
      <c r="E17" s="28"/>
      <c r="F17" s="27"/>
      <c r="G17" s="28"/>
      <c r="H17" s="27"/>
      <c r="I17" s="28"/>
      <c r="J17" s="27">
        <v>1.2</v>
      </c>
      <c r="K17" s="29" t="s">
        <v>35</v>
      </c>
      <c r="L17" s="39"/>
      <c r="M17" s="31"/>
      <c r="N17" s="27" t="s">
        <v>40</v>
      </c>
      <c r="O17" s="49"/>
      <c r="P17" s="32"/>
      <c r="Q17" s="25"/>
      <c r="R17" s="27"/>
      <c r="S17" s="27"/>
      <c r="T17" s="28"/>
      <c r="U17" s="27">
        <v>5</v>
      </c>
      <c r="V17" s="27"/>
      <c r="W17" s="28">
        <v>5</v>
      </c>
      <c r="X17" s="346"/>
      <c r="Y17" s="32"/>
      <c r="Z17" s="25"/>
      <c r="AA17" s="27"/>
      <c r="AB17" s="28"/>
      <c r="AC17" s="27">
        <v>10</v>
      </c>
      <c r="AD17" s="27"/>
      <c r="AE17" s="50"/>
      <c r="AF17" s="51"/>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11</v>
      </c>
      <c r="B18" s="26">
        <v>45021</v>
      </c>
      <c r="C18" s="27" t="s">
        <v>117</v>
      </c>
      <c r="D18" s="25"/>
      <c r="E18" s="28"/>
      <c r="F18" s="27"/>
      <c r="G18" s="28"/>
      <c r="H18" s="27"/>
      <c r="I18" s="28"/>
      <c r="J18" s="27">
        <v>1.2</v>
      </c>
      <c r="K18" s="29" t="s">
        <v>35</v>
      </c>
      <c r="L18" s="52"/>
      <c r="M18" s="31"/>
      <c r="N18" s="27" t="s">
        <v>40</v>
      </c>
      <c r="P18" s="32"/>
      <c r="Q18" s="25"/>
      <c r="R18" s="27"/>
      <c r="S18" s="27"/>
      <c r="T18" s="28"/>
      <c r="U18" s="27">
        <v>5</v>
      </c>
      <c r="V18" s="27"/>
      <c r="W18" s="28">
        <v>5</v>
      </c>
      <c r="X18" s="347"/>
      <c r="Y18" s="32"/>
      <c r="Z18" s="25"/>
      <c r="AA18" s="27"/>
      <c r="AB18" s="28"/>
      <c r="AC18" s="27">
        <v>10</v>
      </c>
      <c r="AD18" s="27"/>
      <c r="AE18" s="33"/>
      <c r="AF18" s="46"/>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12</v>
      </c>
      <c r="B19" s="26">
        <v>45022</v>
      </c>
      <c r="C19" s="27" t="s">
        <v>117</v>
      </c>
      <c r="D19" s="25"/>
      <c r="E19" s="28"/>
      <c r="F19" s="27"/>
      <c r="G19" s="28"/>
      <c r="H19" s="27"/>
      <c r="I19" s="28"/>
      <c r="J19" s="27">
        <v>1.2</v>
      </c>
      <c r="K19" s="29" t="s">
        <v>35</v>
      </c>
      <c r="L19" s="53"/>
      <c r="M19" s="31"/>
      <c r="N19" s="27" t="s">
        <v>40</v>
      </c>
      <c r="P19" s="32"/>
      <c r="Q19" s="25"/>
      <c r="R19" s="27"/>
      <c r="S19" s="27"/>
      <c r="T19" s="28"/>
      <c r="U19" s="27">
        <v>5</v>
      </c>
      <c r="V19" s="27"/>
      <c r="W19" s="28">
        <v>5</v>
      </c>
      <c r="X19" s="54" t="s">
        <v>49</v>
      </c>
      <c r="Y19" s="32"/>
      <c r="Z19" s="25"/>
      <c r="AA19" s="27"/>
      <c r="AB19" s="28"/>
      <c r="AC19" s="27">
        <v>15</v>
      </c>
      <c r="AD19" s="27"/>
      <c r="AE19" s="33"/>
      <c r="AG19" s="25"/>
      <c r="AH19" s="34"/>
      <c r="AI19" s="27"/>
      <c r="AJ19" s="27"/>
      <c r="AK19" s="27"/>
      <c r="AL19" s="25"/>
      <c r="AM19" s="34"/>
      <c r="AN19" s="27"/>
      <c r="AO19" s="27"/>
      <c r="AP19" s="36"/>
      <c r="AQ19" s="37"/>
      <c r="AR19" s="32"/>
      <c r="AS19" s="25"/>
      <c r="AT19" s="27"/>
      <c r="AU19" s="27"/>
      <c r="AW19" s="25"/>
      <c r="AX19" s="27"/>
      <c r="AY19" s="27"/>
      <c r="AZ19" s="32"/>
      <c r="BA19" s="41"/>
    </row>
    <row r="20" spans="1:53" ht="16" thickBot="1" x14ac:dyDescent="0.25">
      <c r="A20" s="25">
        <v>13</v>
      </c>
      <c r="B20" s="26">
        <v>45023</v>
      </c>
      <c r="C20" s="27"/>
      <c r="D20" s="25"/>
      <c r="E20" s="28"/>
      <c r="F20" s="27"/>
      <c r="G20" s="28"/>
      <c r="H20" s="27"/>
      <c r="I20" s="28"/>
      <c r="J20" s="27">
        <v>1.2</v>
      </c>
      <c r="K20" s="29" t="s">
        <v>35</v>
      </c>
      <c r="L20" s="39"/>
      <c r="M20" s="31"/>
      <c r="N20" s="27" t="s">
        <v>40</v>
      </c>
      <c r="P20" s="32"/>
      <c r="Q20" s="25"/>
      <c r="R20" s="27"/>
      <c r="S20" s="27"/>
      <c r="T20" s="28"/>
      <c r="U20" s="27">
        <v>1</v>
      </c>
      <c r="V20" s="27"/>
      <c r="W20" s="28">
        <v>1</v>
      </c>
      <c r="X20" s="33">
        <v>1</v>
      </c>
      <c r="Y20" s="32"/>
      <c r="Z20" s="55"/>
      <c r="AA20" s="56"/>
      <c r="AB20" s="57"/>
      <c r="AC20" s="27">
        <v>15</v>
      </c>
      <c r="AD20" s="27"/>
      <c r="AE20" s="33"/>
      <c r="AG20" s="25"/>
      <c r="AH20" s="34"/>
      <c r="AI20" s="27"/>
      <c r="AJ20" s="27"/>
      <c r="AK20" s="27"/>
      <c r="AL20" s="25"/>
      <c r="AM20" s="34"/>
      <c r="AN20" s="27"/>
      <c r="AO20" s="27"/>
      <c r="AP20" s="36"/>
      <c r="AQ20" s="37"/>
      <c r="AR20" s="32"/>
      <c r="AS20" s="131" t="s">
        <v>51</v>
      </c>
      <c r="AT20" s="132" t="s">
        <v>52</v>
      </c>
      <c r="AU20" s="133" t="s">
        <v>53</v>
      </c>
      <c r="AW20" s="25"/>
      <c r="AX20" s="27"/>
      <c r="AY20" s="27"/>
      <c r="AZ20" s="32"/>
      <c r="BA20" s="41"/>
    </row>
    <row r="21" spans="1:53" ht="16" thickBot="1" x14ac:dyDescent="0.25">
      <c r="A21" s="25">
        <v>14</v>
      </c>
      <c r="B21" s="26">
        <v>45024</v>
      </c>
      <c r="C21" s="27"/>
      <c r="D21" s="25"/>
      <c r="E21" s="28"/>
      <c r="F21" s="27"/>
      <c r="G21" s="28"/>
      <c r="H21" s="27"/>
      <c r="I21" s="28"/>
      <c r="J21" s="27">
        <v>1.2</v>
      </c>
      <c r="K21" s="29" t="s">
        <v>35</v>
      </c>
      <c r="L21" s="39"/>
      <c r="M21" s="31"/>
      <c r="N21" s="27" t="s">
        <v>40</v>
      </c>
      <c r="P21" s="32"/>
      <c r="Q21" s="25"/>
      <c r="R21" s="27"/>
      <c r="S21" s="27"/>
      <c r="T21" s="28"/>
      <c r="U21" s="27">
        <v>1</v>
      </c>
      <c r="V21" s="27"/>
      <c r="W21" s="27">
        <v>1</v>
      </c>
      <c r="X21" s="33"/>
      <c r="Y21" s="32"/>
      <c r="Z21" s="59"/>
      <c r="AA21" s="60"/>
      <c r="AB21" s="61"/>
      <c r="AC21" s="27">
        <v>15</v>
      </c>
      <c r="AD21" s="27"/>
      <c r="AE21" s="33"/>
      <c r="AG21" s="25"/>
      <c r="AH21" s="34"/>
      <c r="AI21" s="27"/>
      <c r="AJ21" s="27"/>
      <c r="AK21" s="27"/>
      <c r="AL21" s="25"/>
      <c r="AM21" s="34"/>
      <c r="AN21" s="27"/>
      <c r="AO21" s="27"/>
      <c r="AP21" s="36"/>
      <c r="AQ21" s="37"/>
      <c r="AR21" s="32"/>
      <c r="AS21" s="131" t="s">
        <v>51</v>
      </c>
      <c r="AT21" s="132" t="s">
        <v>52</v>
      </c>
      <c r="AU21" s="134"/>
      <c r="AW21" s="25"/>
      <c r="AX21" s="27"/>
      <c r="AY21" s="27"/>
      <c r="AZ21" s="32"/>
      <c r="BA21" s="62"/>
    </row>
    <row r="22" spans="1:53" ht="16" thickBot="1" x14ac:dyDescent="0.25">
      <c r="A22" s="25">
        <v>15</v>
      </c>
      <c r="B22" s="26">
        <v>45025</v>
      </c>
      <c r="C22" s="27" t="s">
        <v>117</v>
      </c>
      <c r="D22" s="25"/>
      <c r="E22" s="28"/>
      <c r="F22" s="27"/>
      <c r="G22" s="28"/>
      <c r="H22" s="27"/>
      <c r="I22" s="28"/>
      <c r="J22" s="27">
        <v>1.2</v>
      </c>
      <c r="K22" s="29" t="s">
        <v>35</v>
      </c>
      <c r="L22" s="39"/>
      <c r="M22" s="31"/>
      <c r="N22" s="27" t="s">
        <v>40</v>
      </c>
      <c r="P22" s="32"/>
      <c r="Q22" s="25"/>
      <c r="R22" s="27"/>
      <c r="S22" s="27"/>
      <c r="T22" s="28"/>
      <c r="U22" s="27">
        <v>1</v>
      </c>
      <c r="V22" s="27"/>
      <c r="W22" s="28">
        <v>1</v>
      </c>
      <c r="X22" s="33"/>
      <c r="Y22" s="32"/>
      <c r="Z22" s="25"/>
      <c r="AA22" s="27"/>
      <c r="AB22" s="28"/>
      <c r="AC22" s="27">
        <v>15</v>
      </c>
      <c r="AD22" s="27"/>
      <c r="AE22" s="33"/>
      <c r="AG22" s="25"/>
      <c r="AH22" s="34"/>
      <c r="AI22" s="27"/>
      <c r="AJ22" s="27"/>
      <c r="AK22" s="27"/>
      <c r="AL22" s="25"/>
      <c r="AM22" s="34"/>
      <c r="AN22" s="27"/>
      <c r="AO22" s="27"/>
      <c r="AP22" s="36"/>
      <c r="AQ22" s="37"/>
      <c r="AR22" s="46"/>
      <c r="AS22" s="131" t="s">
        <v>57</v>
      </c>
      <c r="AT22" s="132" t="s">
        <v>52</v>
      </c>
      <c r="AU22" s="133" t="s">
        <v>58</v>
      </c>
      <c r="AW22" s="25"/>
      <c r="AX22" s="27"/>
      <c r="AY22" s="27"/>
      <c r="AZ22" s="32"/>
      <c r="BA22" s="41"/>
    </row>
    <row r="23" spans="1:53" ht="16" thickBot="1" x14ac:dyDescent="0.25">
      <c r="A23" s="25">
        <v>16</v>
      </c>
      <c r="B23" s="26">
        <v>45026</v>
      </c>
      <c r="C23" s="27" t="s">
        <v>117</v>
      </c>
      <c r="D23" s="25"/>
      <c r="E23" s="28"/>
      <c r="F23" s="27"/>
      <c r="G23" s="28"/>
      <c r="H23" s="27"/>
      <c r="I23" s="28"/>
      <c r="J23" s="27">
        <v>1.2</v>
      </c>
      <c r="K23" s="29" t="s">
        <v>35</v>
      </c>
      <c r="L23" s="44" t="s">
        <v>59</v>
      </c>
      <c r="M23" s="31"/>
      <c r="N23" s="27" t="s">
        <v>40</v>
      </c>
      <c r="P23" s="32"/>
      <c r="Q23" s="25"/>
      <c r="R23" s="27"/>
      <c r="S23" s="27"/>
      <c r="T23" s="28"/>
      <c r="U23" s="27">
        <v>1</v>
      </c>
      <c r="V23" s="27"/>
      <c r="W23" s="28">
        <v>1</v>
      </c>
      <c r="X23" s="63" t="s">
        <v>60</v>
      </c>
      <c r="Y23" s="46" t="s">
        <v>61</v>
      </c>
      <c r="AB23" s="28"/>
      <c r="AC23" s="27">
        <v>15</v>
      </c>
      <c r="AD23" s="27"/>
      <c r="AE23" s="33"/>
      <c r="AG23" s="25"/>
      <c r="AH23" s="34"/>
      <c r="AI23" s="27"/>
      <c r="AJ23" s="27"/>
      <c r="AK23" s="27"/>
      <c r="AL23" s="25"/>
      <c r="AM23" s="34"/>
      <c r="AN23" s="27"/>
      <c r="AO23" s="27"/>
      <c r="AP23" s="36"/>
      <c r="AQ23" s="64"/>
      <c r="AR23" s="65"/>
      <c r="AS23" s="131" t="s">
        <v>57</v>
      </c>
      <c r="AT23" s="132" t="s">
        <v>52</v>
      </c>
      <c r="AU23" s="132"/>
      <c r="AW23" s="25"/>
      <c r="AX23" s="27"/>
      <c r="AY23" s="27"/>
      <c r="AZ23" s="32"/>
      <c r="BA23" s="41"/>
    </row>
    <row r="24" spans="1:53" x14ac:dyDescent="0.2">
      <c r="A24" s="25">
        <v>17</v>
      </c>
      <c r="B24" s="26">
        <v>45027</v>
      </c>
      <c r="C24" s="27" t="s">
        <v>117</v>
      </c>
      <c r="D24" s="25"/>
      <c r="E24" s="28"/>
      <c r="F24" s="27"/>
      <c r="G24" s="28"/>
      <c r="H24" s="27"/>
      <c r="I24" s="28"/>
      <c r="J24" s="27">
        <v>1.2</v>
      </c>
      <c r="K24" s="29" t="s">
        <v>35</v>
      </c>
      <c r="L24" s="39"/>
      <c r="M24" s="31"/>
      <c r="N24" s="27" t="s">
        <v>40</v>
      </c>
      <c r="P24" s="32"/>
      <c r="Q24" s="25"/>
      <c r="R24" s="27"/>
      <c r="S24" s="27"/>
      <c r="T24" s="28"/>
      <c r="U24" s="27" t="s">
        <v>55</v>
      </c>
      <c r="V24" s="27" t="s">
        <v>154</v>
      </c>
      <c r="W24" s="28" t="s">
        <v>55</v>
      </c>
      <c r="X24" s="33" t="s">
        <v>155</v>
      </c>
      <c r="Y24" s="32"/>
      <c r="Z24" s="25"/>
      <c r="AA24" s="27"/>
      <c r="AB24" s="28"/>
      <c r="AC24" s="27">
        <v>15</v>
      </c>
      <c r="AD24" s="27"/>
      <c r="AE24" s="33"/>
      <c r="AG24" s="25"/>
      <c r="AH24" s="34"/>
      <c r="AI24" s="27"/>
      <c r="AJ24" s="27"/>
      <c r="AK24" s="27"/>
      <c r="AL24" s="25"/>
      <c r="AM24" s="34"/>
      <c r="AN24" s="27"/>
      <c r="AO24" s="27"/>
      <c r="AP24" s="36"/>
      <c r="AQ24" s="37"/>
      <c r="AR24" s="32"/>
      <c r="AS24" s="131" t="s">
        <v>57</v>
      </c>
      <c r="AT24" s="132" t="s">
        <v>52</v>
      </c>
      <c r="AU24" s="132"/>
      <c r="AW24" s="25"/>
      <c r="AX24" s="27"/>
      <c r="AY24" s="27"/>
      <c r="AZ24" s="32"/>
      <c r="BA24" s="41"/>
    </row>
    <row r="25" spans="1:53" ht="16" thickBot="1" x14ac:dyDescent="0.25">
      <c r="A25" s="25">
        <v>18</v>
      </c>
      <c r="B25" s="26">
        <v>45028</v>
      </c>
      <c r="C25" s="27" t="s">
        <v>117</v>
      </c>
      <c r="D25" s="25"/>
      <c r="E25" s="28"/>
      <c r="F25" s="27"/>
      <c r="G25" s="28"/>
      <c r="H25" s="27"/>
      <c r="I25" s="28"/>
      <c r="J25" s="27">
        <v>1.2</v>
      </c>
      <c r="K25" s="29" t="s">
        <v>35</v>
      </c>
      <c r="L25" s="39"/>
      <c r="M25" s="31"/>
      <c r="N25" s="27" t="s">
        <v>40</v>
      </c>
      <c r="P25" s="66"/>
      <c r="Q25" s="25"/>
      <c r="R25" s="27"/>
      <c r="S25" s="27"/>
      <c r="T25" s="28"/>
      <c r="U25" s="27">
        <v>0</v>
      </c>
      <c r="V25" s="27" t="s">
        <v>154</v>
      </c>
      <c r="W25" s="28">
        <v>0</v>
      </c>
      <c r="X25" s="33" t="s">
        <v>62</v>
      </c>
      <c r="Y25" s="32"/>
      <c r="Z25" s="25"/>
      <c r="AA25" s="27"/>
      <c r="AB25" s="28"/>
      <c r="AC25" s="27">
        <v>15</v>
      </c>
      <c r="AD25" s="27"/>
      <c r="AE25" s="33"/>
      <c r="AG25" s="25">
        <v>2.5000000000000001E-2</v>
      </c>
      <c r="AH25" s="34">
        <v>2.5000000000000001E-2</v>
      </c>
      <c r="AI25" s="27"/>
      <c r="AJ25" s="27"/>
      <c r="AK25" s="27"/>
      <c r="AL25" s="25"/>
      <c r="AM25" s="34"/>
      <c r="AN25" s="27"/>
      <c r="AO25" s="27"/>
      <c r="AP25" s="36"/>
      <c r="AQ25" s="67" t="s">
        <v>63</v>
      </c>
      <c r="AR25" s="46" t="s">
        <v>64</v>
      </c>
      <c r="AS25" s="131" t="s">
        <v>57</v>
      </c>
      <c r="AT25" s="132" t="s">
        <v>52</v>
      </c>
      <c r="AU25" s="134"/>
      <c r="AW25" s="25"/>
      <c r="AX25" s="27"/>
      <c r="AY25" s="27"/>
      <c r="AZ25" s="32"/>
      <c r="BA25" s="41"/>
    </row>
    <row r="26" spans="1:53" ht="16" thickBot="1" x14ac:dyDescent="0.25">
      <c r="A26" s="25">
        <v>19</v>
      </c>
      <c r="B26" s="26">
        <v>45029</v>
      </c>
      <c r="C26" s="27" t="s">
        <v>117</v>
      </c>
      <c r="D26" s="25"/>
      <c r="E26" s="28"/>
      <c r="F26" s="27"/>
      <c r="G26" s="28"/>
      <c r="H26" s="27"/>
      <c r="I26" s="28"/>
      <c r="J26" s="27">
        <v>1.2</v>
      </c>
      <c r="K26" s="29" t="s">
        <v>35</v>
      </c>
      <c r="L26" s="39"/>
      <c r="M26" s="31"/>
      <c r="N26" s="27" t="s">
        <v>40</v>
      </c>
      <c r="P26" s="32"/>
      <c r="Q26" s="25"/>
      <c r="R26" s="27"/>
      <c r="S26" s="27"/>
      <c r="T26" s="28"/>
      <c r="U26" s="27"/>
      <c r="V26" s="27" t="s">
        <v>154</v>
      </c>
      <c r="W26" s="28"/>
      <c r="X26" s="33"/>
      <c r="Y26" s="32"/>
      <c r="Z26" s="25"/>
      <c r="AA26" s="27"/>
      <c r="AB26" s="28"/>
      <c r="AC26" s="27">
        <v>15</v>
      </c>
      <c r="AD26" s="27"/>
      <c r="AE26" s="33"/>
      <c r="AG26" s="25">
        <v>2.5000000000000001E-2</v>
      </c>
      <c r="AH26" s="34">
        <v>2.5000000000000001E-2</v>
      </c>
      <c r="AI26" s="27"/>
      <c r="AJ26" s="27"/>
      <c r="AK26" s="27"/>
      <c r="AL26" s="25"/>
      <c r="AM26" s="34"/>
      <c r="AN26" s="27"/>
      <c r="AO26" s="27"/>
      <c r="AP26" s="36"/>
      <c r="AQ26" s="68" t="s">
        <v>65</v>
      </c>
      <c r="AR26" s="32" t="s">
        <v>64</v>
      </c>
      <c r="AS26" s="131" t="s">
        <v>57</v>
      </c>
      <c r="AT26" s="132" t="s">
        <v>52</v>
      </c>
      <c r="AU26" s="132"/>
      <c r="AW26" s="25"/>
      <c r="AX26" s="27"/>
      <c r="AY26" s="27"/>
      <c r="AZ26" s="32"/>
      <c r="BA26" s="62"/>
    </row>
    <row r="27" spans="1:53" x14ac:dyDescent="0.2">
      <c r="A27" s="25">
        <v>20</v>
      </c>
      <c r="B27" s="26">
        <v>45030</v>
      </c>
      <c r="C27" s="27"/>
      <c r="D27" s="25"/>
      <c r="E27" s="28"/>
      <c r="F27" s="27"/>
      <c r="G27" s="28"/>
      <c r="H27" s="27"/>
      <c r="I27" s="28"/>
      <c r="J27" s="27">
        <v>1.2</v>
      </c>
      <c r="K27" s="29" t="s">
        <v>35</v>
      </c>
      <c r="L27" s="39"/>
      <c r="M27" s="69"/>
      <c r="N27" s="27" t="s">
        <v>40</v>
      </c>
      <c r="O27" s="306" t="s">
        <v>66</v>
      </c>
      <c r="P27" s="32"/>
      <c r="Q27" s="25"/>
      <c r="R27" s="27"/>
      <c r="S27" s="27"/>
      <c r="T27" s="28"/>
      <c r="U27" s="27"/>
      <c r="V27" s="27" t="s">
        <v>154</v>
      </c>
      <c r="W27" s="28"/>
      <c r="X27" s="33"/>
      <c r="Y27" s="32"/>
      <c r="Z27" s="25"/>
      <c r="AA27" s="27"/>
      <c r="AB27" s="28"/>
      <c r="AC27" s="27">
        <v>15</v>
      </c>
      <c r="AD27" s="27"/>
      <c r="AE27" s="33"/>
      <c r="AG27" s="25"/>
      <c r="AH27" s="34"/>
      <c r="AI27" s="27"/>
      <c r="AJ27" s="27"/>
      <c r="AK27" s="27"/>
      <c r="AL27" s="25"/>
      <c r="AM27" s="34"/>
      <c r="AN27" s="27"/>
      <c r="AO27" s="27"/>
      <c r="AP27" s="36"/>
      <c r="AQ27" s="37"/>
      <c r="AR27" s="32"/>
      <c r="AS27" s="131" t="s">
        <v>57</v>
      </c>
      <c r="AT27" s="132" t="s">
        <v>52</v>
      </c>
      <c r="AU27" s="132"/>
      <c r="AW27" s="25"/>
      <c r="AX27" s="27"/>
      <c r="AY27" s="27"/>
      <c r="AZ27" s="32"/>
      <c r="BA27" s="41"/>
    </row>
    <row r="28" spans="1:53" ht="16" thickBot="1" x14ac:dyDescent="0.25">
      <c r="A28" s="70">
        <v>21</v>
      </c>
      <c r="B28" s="26">
        <v>45031</v>
      </c>
      <c r="C28" s="71"/>
      <c r="D28" s="70"/>
      <c r="E28" s="72"/>
      <c r="F28" s="71"/>
      <c r="G28" s="72"/>
      <c r="H28" s="71"/>
      <c r="I28" s="72"/>
      <c r="J28" s="27">
        <v>1.2</v>
      </c>
      <c r="K28" s="29" t="s">
        <v>35</v>
      </c>
      <c r="L28" s="39"/>
      <c r="M28" s="73"/>
      <c r="N28" s="27" t="s">
        <v>40</v>
      </c>
      <c r="O28" s="307"/>
      <c r="P28" s="74"/>
      <c r="Q28" s="70"/>
      <c r="R28" s="71"/>
      <c r="S28" s="71"/>
      <c r="T28" s="72"/>
      <c r="U28" s="71"/>
      <c r="V28" s="71" t="s">
        <v>154</v>
      </c>
      <c r="W28" s="72"/>
      <c r="X28" s="33"/>
      <c r="Y28" s="75"/>
      <c r="Z28" s="70"/>
      <c r="AA28" s="71"/>
      <c r="AB28" s="72"/>
      <c r="AC28" s="27">
        <v>15</v>
      </c>
      <c r="AD28" s="71"/>
      <c r="AE28" s="33"/>
      <c r="AF28" s="76"/>
      <c r="AG28" s="70"/>
      <c r="AH28" s="77"/>
      <c r="AI28" s="71"/>
      <c r="AJ28" s="71"/>
      <c r="AK28" s="71"/>
      <c r="AL28" s="70"/>
      <c r="AM28" s="77"/>
      <c r="AN28" s="27"/>
      <c r="AO28" s="71"/>
      <c r="AP28" s="78"/>
      <c r="AQ28" s="37"/>
      <c r="AR28" s="75"/>
      <c r="AS28" s="135" t="s">
        <v>57</v>
      </c>
      <c r="AT28" s="132" t="s">
        <v>52</v>
      </c>
      <c r="AU28" s="136"/>
      <c r="AV28" s="76"/>
      <c r="AW28" s="70"/>
      <c r="AX28" s="71"/>
      <c r="AY28" s="71"/>
      <c r="AZ28" s="75"/>
      <c r="BA28" s="79"/>
    </row>
    <row r="29" spans="1:53" ht="16" thickBot="1" x14ac:dyDescent="0.25">
      <c r="A29" s="25">
        <v>22</v>
      </c>
      <c r="B29" s="26">
        <v>45032</v>
      </c>
      <c r="C29" s="27" t="s">
        <v>117</v>
      </c>
      <c r="D29" s="25"/>
      <c r="E29" s="28"/>
      <c r="F29" s="27"/>
      <c r="G29" s="28"/>
      <c r="H29" s="27"/>
      <c r="I29" s="28"/>
      <c r="J29" s="27">
        <v>1.2</v>
      </c>
      <c r="K29" s="29" t="s">
        <v>35</v>
      </c>
      <c r="L29" s="39"/>
      <c r="M29" s="69"/>
      <c r="N29" s="27" t="s">
        <v>40</v>
      </c>
      <c r="O29" s="307"/>
      <c r="P29" s="46" t="s">
        <v>67</v>
      </c>
      <c r="Q29" s="43"/>
      <c r="R29" s="27"/>
      <c r="S29" s="27"/>
      <c r="T29" s="28"/>
      <c r="U29" s="27"/>
      <c r="V29" s="27" t="s">
        <v>154</v>
      </c>
      <c r="W29" s="28"/>
      <c r="X29" s="33"/>
      <c r="Y29" s="32"/>
      <c r="Z29" s="60"/>
      <c r="AA29" s="60"/>
      <c r="AB29" s="61"/>
      <c r="AC29" s="27">
        <v>15</v>
      </c>
      <c r="AD29" s="27"/>
      <c r="AE29" s="33"/>
      <c r="AG29" s="25"/>
      <c r="AH29" s="34"/>
      <c r="AI29" s="27"/>
      <c r="AJ29" s="27"/>
      <c r="AK29" s="27"/>
      <c r="AL29" s="25"/>
      <c r="AM29" s="34"/>
      <c r="AN29" s="27"/>
      <c r="AO29" s="27"/>
      <c r="AP29" s="36"/>
      <c r="AQ29" s="37"/>
      <c r="AR29" s="32"/>
      <c r="AS29" s="131" t="s">
        <v>57</v>
      </c>
      <c r="AT29" s="132" t="s">
        <v>52</v>
      </c>
      <c r="AU29" s="132"/>
      <c r="AW29" s="25"/>
      <c r="AX29" s="27"/>
      <c r="AY29" s="27"/>
      <c r="AZ29" s="32"/>
      <c r="BA29" s="80" t="s">
        <v>68</v>
      </c>
    </row>
    <row r="30" spans="1:53" ht="16" thickBot="1" x14ac:dyDescent="0.25">
      <c r="A30" s="25">
        <v>23</v>
      </c>
      <c r="B30" s="26">
        <v>45033</v>
      </c>
      <c r="C30" s="27" t="s">
        <v>117</v>
      </c>
      <c r="D30" s="25"/>
      <c r="E30" s="28"/>
      <c r="F30" s="27"/>
      <c r="G30" s="28"/>
      <c r="H30" s="27"/>
      <c r="I30" s="28"/>
      <c r="J30" s="27">
        <v>1.2</v>
      </c>
      <c r="K30" s="29" t="s">
        <v>35</v>
      </c>
      <c r="L30" s="39"/>
      <c r="M30" s="31"/>
      <c r="N30" s="27" t="s">
        <v>40</v>
      </c>
      <c r="O30" s="307"/>
      <c r="P30" s="32" t="s">
        <v>69</v>
      </c>
      <c r="Q30" s="25"/>
      <c r="R30" s="27"/>
      <c r="S30" s="27"/>
      <c r="T30" s="28"/>
      <c r="U30" s="27"/>
      <c r="V30" s="27" t="s">
        <v>154</v>
      </c>
      <c r="W30" s="28"/>
      <c r="X30" s="33"/>
      <c r="Y30" s="32"/>
      <c r="Z30" s="25"/>
      <c r="AA30" s="27"/>
      <c r="AB30" s="28"/>
      <c r="AC30" s="27">
        <v>15</v>
      </c>
      <c r="AD30" s="27"/>
      <c r="AE30" s="33"/>
      <c r="AG30" s="25">
        <v>2.5000000000000001E-2</v>
      </c>
      <c r="AH30" s="34">
        <v>2.5000000000000001E-2</v>
      </c>
      <c r="AI30" s="27"/>
      <c r="AJ30" s="27"/>
      <c r="AK30" s="27"/>
      <c r="AL30" s="25"/>
      <c r="AM30" s="34"/>
      <c r="AN30" s="27"/>
      <c r="AO30" s="27"/>
      <c r="AP30" s="36"/>
      <c r="AQ30" s="37"/>
      <c r="AR30" s="32"/>
      <c r="AS30" s="131" t="s">
        <v>57</v>
      </c>
      <c r="AT30" s="132" t="s">
        <v>52</v>
      </c>
      <c r="AU30" s="133" t="s">
        <v>70</v>
      </c>
      <c r="AW30" s="25"/>
      <c r="AX30" s="27"/>
      <c r="AY30" s="27"/>
      <c r="AZ30" s="32"/>
      <c r="BA30" s="41"/>
    </row>
    <row r="31" spans="1:53" ht="16" thickBot="1" x14ac:dyDescent="0.25">
      <c r="A31" s="25">
        <v>24</v>
      </c>
      <c r="B31" s="26">
        <v>45034</v>
      </c>
      <c r="C31" s="27" t="s">
        <v>117</v>
      </c>
      <c r="D31" s="25"/>
      <c r="E31" s="28"/>
      <c r="F31" s="27"/>
      <c r="G31" s="28"/>
      <c r="H31" s="27"/>
      <c r="I31" s="28"/>
      <c r="J31" s="27">
        <v>1.2</v>
      </c>
      <c r="K31" s="29" t="s">
        <v>35</v>
      </c>
      <c r="L31" s="44" t="s">
        <v>71</v>
      </c>
      <c r="M31" s="31"/>
      <c r="N31" s="27" t="s">
        <v>40</v>
      </c>
      <c r="O31" s="307"/>
      <c r="P31" s="32"/>
      <c r="Q31" s="25"/>
      <c r="R31" s="27"/>
      <c r="S31" s="27"/>
      <c r="T31" s="28"/>
      <c r="U31" s="27"/>
      <c r="V31" s="27" t="s">
        <v>154</v>
      </c>
      <c r="W31" s="28"/>
      <c r="X31" s="33"/>
      <c r="Y31" s="32"/>
      <c r="Z31" s="25"/>
      <c r="AA31" s="27"/>
      <c r="AB31" s="28"/>
      <c r="AC31" s="27">
        <v>15</v>
      </c>
      <c r="AD31" s="27"/>
      <c r="AE31" s="50"/>
      <c r="AF31" s="46"/>
      <c r="AG31" s="25"/>
      <c r="AH31" s="34"/>
      <c r="AI31" s="27"/>
      <c r="AJ31" s="27"/>
      <c r="AK31" s="27"/>
      <c r="AL31" s="25"/>
      <c r="AM31" s="34"/>
      <c r="AN31" s="27"/>
      <c r="AO31" s="27"/>
      <c r="AP31" s="36"/>
      <c r="AQ31" s="37"/>
      <c r="AR31" s="46"/>
      <c r="AS31" s="25" t="s">
        <v>72</v>
      </c>
      <c r="AT31" s="27" t="s">
        <v>52</v>
      </c>
      <c r="AU31" s="58" t="s">
        <v>73</v>
      </c>
      <c r="AW31" s="25"/>
      <c r="AX31" s="27"/>
      <c r="AY31" s="27"/>
      <c r="AZ31" s="32"/>
      <c r="BA31" s="41">
        <v>3</v>
      </c>
    </row>
    <row r="32" spans="1:53" ht="16" thickBot="1" x14ac:dyDescent="0.25">
      <c r="A32" s="25">
        <v>25</v>
      </c>
      <c r="B32" s="26">
        <v>45035</v>
      </c>
      <c r="C32" s="27" t="s">
        <v>117</v>
      </c>
      <c r="D32" s="25"/>
      <c r="E32" s="28"/>
      <c r="F32" s="27"/>
      <c r="G32" s="28"/>
      <c r="H32" s="27"/>
      <c r="I32" s="28"/>
      <c r="J32" s="27">
        <v>1.2</v>
      </c>
      <c r="K32" s="29" t="s">
        <v>35</v>
      </c>
      <c r="L32" s="39"/>
      <c r="M32" s="31"/>
      <c r="N32" s="27" t="s">
        <v>40</v>
      </c>
      <c r="O32" s="307"/>
      <c r="P32" s="81" t="s">
        <v>74</v>
      </c>
      <c r="Q32" s="43"/>
      <c r="R32" s="27"/>
      <c r="S32" s="27"/>
      <c r="T32" s="28"/>
      <c r="U32" s="27"/>
      <c r="V32" s="27" t="s">
        <v>154</v>
      </c>
      <c r="W32" s="28"/>
      <c r="X32" s="33"/>
      <c r="Y32" s="32"/>
      <c r="Z32" s="27"/>
      <c r="AA32" s="27"/>
      <c r="AB32" s="28"/>
      <c r="AC32" s="27"/>
      <c r="AD32" s="27"/>
      <c r="AE32" s="33"/>
      <c r="AG32" s="25"/>
      <c r="AH32" s="34"/>
      <c r="AI32" s="27"/>
      <c r="AJ32" s="27"/>
      <c r="AK32" s="27"/>
      <c r="AL32" s="25"/>
      <c r="AM32" s="34"/>
      <c r="AN32" s="27"/>
      <c r="AO32" s="27"/>
      <c r="AP32" s="36"/>
      <c r="AQ32" s="37"/>
      <c r="AR32" s="32" t="s">
        <v>64</v>
      </c>
      <c r="AS32" s="25" t="s">
        <v>72</v>
      </c>
      <c r="AT32" s="27" t="s">
        <v>52</v>
      </c>
      <c r="AW32" s="25"/>
      <c r="AX32" s="27"/>
      <c r="AY32" s="27"/>
      <c r="AZ32" s="32"/>
      <c r="BA32" s="41">
        <v>97</v>
      </c>
    </row>
    <row r="33" spans="1:53" ht="16" thickBot="1" x14ac:dyDescent="0.25">
      <c r="A33" s="25">
        <v>26</v>
      </c>
      <c r="B33" s="26">
        <v>45036</v>
      </c>
      <c r="C33" s="27"/>
      <c r="D33" s="25"/>
      <c r="E33" s="28"/>
      <c r="F33" s="27"/>
      <c r="G33" s="28"/>
      <c r="H33" s="27"/>
      <c r="I33" s="28"/>
      <c r="J33" s="27">
        <v>1.2</v>
      </c>
      <c r="K33" s="29" t="s">
        <v>35</v>
      </c>
      <c r="L33" s="39"/>
      <c r="M33" s="31"/>
      <c r="N33" s="27" t="s">
        <v>40</v>
      </c>
      <c r="O33" s="307"/>
      <c r="P33" s="32"/>
      <c r="Q33" s="25"/>
      <c r="R33" s="27"/>
      <c r="S33" s="27"/>
      <c r="T33" s="28"/>
      <c r="U33" s="27"/>
      <c r="V33" s="27" t="s">
        <v>154</v>
      </c>
      <c r="W33" s="28"/>
      <c r="X33" s="33"/>
      <c r="Y33" s="32"/>
      <c r="Z33" s="25"/>
      <c r="AA33" s="27"/>
      <c r="AB33" s="28"/>
      <c r="AC33" s="27"/>
      <c r="AD33" s="27"/>
      <c r="AE33" s="33"/>
      <c r="AG33" s="25"/>
      <c r="AH33" s="34"/>
      <c r="AI33" s="27"/>
      <c r="AJ33" s="27"/>
      <c r="AK33" s="27"/>
      <c r="AL33" s="25"/>
      <c r="AM33" s="34"/>
      <c r="AN33" s="27"/>
      <c r="AO33" s="27"/>
      <c r="AP33" s="36"/>
      <c r="AQ33" s="37"/>
      <c r="AR33" s="32" t="s">
        <v>64</v>
      </c>
      <c r="AS33" s="25" t="s">
        <v>72</v>
      </c>
      <c r="AT33" s="27" t="s">
        <v>52</v>
      </c>
      <c r="AW33" s="25"/>
      <c r="AX33" s="27"/>
      <c r="AY33" s="27"/>
      <c r="AZ33" s="32"/>
      <c r="BA33" s="41">
        <v>1</v>
      </c>
    </row>
    <row r="34" spans="1:53" ht="16" thickBot="1" x14ac:dyDescent="0.25">
      <c r="A34" s="25">
        <v>27</v>
      </c>
      <c r="B34" s="26">
        <v>45037</v>
      </c>
      <c r="C34" s="27"/>
      <c r="D34" s="25"/>
      <c r="E34" s="28"/>
      <c r="F34" s="27"/>
      <c r="G34" s="28"/>
      <c r="H34" s="27"/>
      <c r="I34" s="28"/>
      <c r="J34" s="27">
        <v>1.2</v>
      </c>
      <c r="K34" s="29" t="s">
        <v>35</v>
      </c>
      <c r="L34" s="39"/>
      <c r="M34" s="31"/>
      <c r="N34" s="27" t="s">
        <v>40</v>
      </c>
      <c r="O34" s="307"/>
      <c r="P34" s="32"/>
      <c r="Q34" s="25"/>
      <c r="R34" s="27"/>
      <c r="S34" s="27"/>
      <c r="T34" s="28"/>
      <c r="U34" s="27"/>
      <c r="V34" s="27" t="s">
        <v>154</v>
      </c>
      <c r="W34" s="28"/>
      <c r="X34" s="33"/>
      <c r="Y34" s="32"/>
      <c r="Z34" s="25"/>
      <c r="AA34" s="27"/>
      <c r="AB34" s="28"/>
      <c r="AC34" s="27"/>
      <c r="AD34" s="27"/>
      <c r="AE34" s="33"/>
      <c r="AG34" s="25"/>
      <c r="AH34" s="34"/>
      <c r="AI34" s="27"/>
      <c r="AJ34" s="27"/>
      <c r="AK34" s="27"/>
      <c r="AL34" s="25"/>
      <c r="AM34" s="34"/>
      <c r="AN34" s="27"/>
      <c r="AO34" s="27"/>
      <c r="AP34" s="36"/>
      <c r="AQ34" s="82"/>
      <c r="AR34" s="32" t="s">
        <v>75</v>
      </c>
      <c r="AS34" s="25" t="s">
        <v>72</v>
      </c>
      <c r="AT34" s="27" t="s">
        <v>52</v>
      </c>
      <c r="AU34" s="27"/>
      <c r="AW34" s="25"/>
      <c r="AX34" s="27"/>
      <c r="AY34" s="27"/>
      <c r="AZ34" s="32"/>
      <c r="BA34" s="41">
        <v>0</v>
      </c>
    </row>
    <row r="35" spans="1:53" x14ac:dyDescent="0.2">
      <c r="A35" s="25">
        <v>28</v>
      </c>
      <c r="B35" s="26">
        <v>45038</v>
      </c>
      <c r="C35" s="27"/>
      <c r="D35" s="25"/>
      <c r="E35" s="28"/>
      <c r="F35" s="27"/>
      <c r="G35" s="28"/>
      <c r="H35" s="27"/>
      <c r="I35" s="28"/>
      <c r="J35" s="27">
        <v>1.2</v>
      </c>
      <c r="K35" s="29" t="s">
        <v>35</v>
      </c>
      <c r="L35" s="39"/>
      <c r="M35" s="31"/>
      <c r="N35" s="27" t="s">
        <v>40</v>
      </c>
      <c r="O35" s="307"/>
      <c r="P35" s="32"/>
      <c r="Q35" s="25"/>
      <c r="R35" s="27"/>
      <c r="S35" s="27"/>
      <c r="T35" s="28"/>
      <c r="U35" s="27"/>
      <c r="V35" s="27" t="s">
        <v>154</v>
      </c>
      <c r="W35" s="28"/>
      <c r="Y35" s="32"/>
      <c r="Z35" s="25"/>
      <c r="AA35" s="27"/>
      <c r="AB35" s="28"/>
      <c r="AC35" s="27"/>
      <c r="AD35" s="27"/>
      <c r="AE35" s="33"/>
      <c r="AG35" s="25"/>
      <c r="AH35" s="34"/>
      <c r="AI35" s="27"/>
      <c r="AJ35" s="27"/>
      <c r="AK35" s="27"/>
      <c r="AL35" s="25"/>
      <c r="AM35" s="34"/>
      <c r="AN35" s="27">
        <v>2.5000000000000001E-2</v>
      </c>
      <c r="AO35" s="27"/>
      <c r="AP35" s="36"/>
      <c r="AR35" s="32" t="s">
        <v>75</v>
      </c>
      <c r="AS35" s="25" t="s">
        <v>72</v>
      </c>
      <c r="AT35" s="27" t="s">
        <v>52</v>
      </c>
      <c r="AU35" s="27"/>
      <c r="AW35" s="25"/>
      <c r="AX35" s="27"/>
      <c r="AY35" s="27"/>
      <c r="AZ35" s="32"/>
      <c r="BA35" s="41">
        <v>0</v>
      </c>
    </row>
    <row r="36" spans="1:53" ht="17.25" customHeight="1" thickBot="1" x14ac:dyDescent="0.25">
      <c r="A36" s="25">
        <v>29</v>
      </c>
      <c r="B36" s="26">
        <v>45039</v>
      </c>
      <c r="C36" s="27"/>
      <c r="D36" s="25"/>
      <c r="E36" s="28"/>
      <c r="F36" s="27"/>
      <c r="G36" s="28"/>
      <c r="H36" s="27"/>
      <c r="I36" s="28"/>
      <c r="J36" s="27">
        <v>1.2</v>
      </c>
      <c r="K36" s="29" t="s">
        <v>35</v>
      </c>
      <c r="L36" s="39"/>
      <c r="M36" s="31"/>
      <c r="N36" s="27" t="s">
        <v>40</v>
      </c>
      <c r="O36" s="307"/>
      <c r="P36" s="32"/>
      <c r="Q36" s="25"/>
      <c r="R36" s="27"/>
      <c r="S36" s="27"/>
      <c r="T36" s="28"/>
      <c r="U36" s="27"/>
      <c r="V36" s="27" t="s">
        <v>154</v>
      </c>
      <c r="W36" s="28"/>
      <c r="X36" s="33"/>
      <c r="Y36" s="32"/>
      <c r="Z36" s="25"/>
      <c r="AA36" s="27"/>
      <c r="AB36" s="28"/>
      <c r="AC36" s="27"/>
      <c r="AD36" s="27"/>
      <c r="AE36" s="33"/>
      <c r="AG36" s="25"/>
      <c r="AH36" s="34"/>
      <c r="AI36" s="27"/>
      <c r="AJ36" s="27"/>
      <c r="AK36" s="27"/>
      <c r="AL36" s="25"/>
      <c r="AM36" s="34"/>
      <c r="AN36" s="27"/>
      <c r="AO36" s="27"/>
      <c r="AP36" s="36"/>
      <c r="AQ36" s="37"/>
      <c r="AR36" s="32"/>
      <c r="AS36" s="25" t="s">
        <v>72</v>
      </c>
      <c r="AT36" s="27" t="s">
        <v>52</v>
      </c>
      <c r="AU36" s="27"/>
      <c r="AW36" s="25"/>
      <c r="AX36" s="27"/>
      <c r="AY36" s="27"/>
      <c r="AZ36" s="32"/>
      <c r="BA36" s="41">
        <v>28</v>
      </c>
    </row>
    <row r="37" spans="1:53" s="87" customFormat="1" ht="16" thickBot="1" x14ac:dyDescent="0.25">
      <c r="A37" s="83">
        <v>30</v>
      </c>
      <c r="B37" s="26">
        <v>45040</v>
      </c>
      <c r="C37" s="83"/>
      <c r="D37" s="83"/>
      <c r="E37" s="83"/>
      <c r="F37" s="83"/>
      <c r="G37" s="83"/>
      <c r="H37" s="83"/>
      <c r="I37" s="83"/>
      <c r="J37" s="83">
        <v>1.2</v>
      </c>
      <c r="K37" s="85" t="s">
        <v>35</v>
      </c>
      <c r="L37" s="86"/>
      <c r="M37" s="86"/>
      <c r="N37" s="83" t="s">
        <v>40</v>
      </c>
      <c r="O37" s="307"/>
      <c r="Q37" s="83"/>
      <c r="R37" s="83"/>
      <c r="S37" s="83"/>
      <c r="T37" s="83"/>
      <c r="U37" s="83"/>
      <c r="V37" s="83" t="s">
        <v>154</v>
      </c>
      <c r="W37" s="83"/>
      <c r="X37" s="83"/>
      <c r="Z37" s="83"/>
      <c r="AA37" s="83"/>
      <c r="AB37" s="83"/>
      <c r="AC37" s="83"/>
      <c r="AD37" s="83"/>
      <c r="AE37" s="83"/>
      <c r="AG37" s="83"/>
      <c r="AH37" s="83"/>
      <c r="AI37" s="83"/>
      <c r="AJ37" s="83"/>
      <c r="AK37" s="83"/>
      <c r="AL37" s="83"/>
      <c r="AM37" s="83"/>
      <c r="AN37" s="83"/>
      <c r="AO37" s="83"/>
      <c r="AP37" s="83"/>
      <c r="AS37" s="83" t="s">
        <v>72</v>
      </c>
      <c r="AT37" s="83" t="s">
        <v>52</v>
      </c>
      <c r="AU37" s="83"/>
      <c r="AW37" s="83"/>
      <c r="AX37" s="83"/>
      <c r="AY37" s="83"/>
      <c r="BA37" s="83">
        <v>40</v>
      </c>
    </row>
    <row r="38" spans="1:53" x14ac:dyDescent="0.2">
      <c r="A38" s="25">
        <v>31</v>
      </c>
      <c r="B38" s="26">
        <v>45041</v>
      </c>
      <c r="C38" s="27"/>
      <c r="D38" s="25"/>
      <c r="E38" s="28"/>
      <c r="F38" s="27"/>
      <c r="G38" s="28"/>
      <c r="H38" s="27"/>
      <c r="I38" s="28"/>
      <c r="J38" s="27">
        <v>1.2</v>
      </c>
      <c r="K38" s="29" t="s">
        <v>35</v>
      </c>
      <c r="L38" s="39"/>
      <c r="M38" s="31"/>
      <c r="N38" s="27" t="s">
        <v>76</v>
      </c>
      <c r="O38" s="307"/>
      <c r="P38" s="32"/>
      <c r="Q38" s="25"/>
      <c r="R38" s="27"/>
      <c r="S38" s="27"/>
      <c r="T38" s="28"/>
      <c r="U38" s="27"/>
      <c r="V38" s="27" t="s">
        <v>154</v>
      </c>
      <c r="W38" s="28"/>
      <c r="X38" s="33"/>
      <c r="Y38" s="32"/>
      <c r="Z38" s="25"/>
      <c r="AA38" s="27"/>
      <c r="AB38" s="28"/>
      <c r="AC38" s="27"/>
      <c r="AD38" s="27"/>
      <c r="AE38" s="33"/>
      <c r="AG38" s="25"/>
      <c r="AH38" s="34"/>
      <c r="AI38" s="27"/>
      <c r="AJ38" s="27"/>
      <c r="AK38" s="27"/>
      <c r="AL38" s="25"/>
      <c r="AM38" s="34"/>
      <c r="AN38" s="27"/>
      <c r="AO38" s="27"/>
      <c r="AP38" s="36"/>
      <c r="AQ38" s="37"/>
      <c r="AR38" s="46"/>
      <c r="AS38" s="25" t="s">
        <v>72</v>
      </c>
      <c r="AT38" s="27" t="s">
        <v>52</v>
      </c>
      <c r="AU38" s="27"/>
      <c r="AW38" s="25"/>
      <c r="AX38" s="27"/>
      <c r="AY38" s="27"/>
      <c r="AZ38" s="32"/>
      <c r="BA38" s="41">
        <v>3</v>
      </c>
    </row>
    <row r="39" spans="1:53" x14ac:dyDescent="0.2">
      <c r="A39" s="25">
        <v>32</v>
      </c>
      <c r="B39" s="26">
        <v>45042</v>
      </c>
      <c r="C39" s="27" t="s">
        <v>117</v>
      </c>
      <c r="D39" s="25"/>
      <c r="E39" s="28"/>
      <c r="F39" s="27"/>
      <c r="G39" s="28"/>
      <c r="H39" s="27"/>
      <c r="I39" s="28"/>
      <c r="J39" s="27">
        <v>1.2</v>
      </c>
      <c r="K39" s="29" t="s">
        <v>35</v>
      </c>
      <c r="L39" s="39"/>
      <c r="M39" s="31"/>
      <c r="N39" s="27" t="s">
        <v>76</v>
      </c>
      <c r="O39" s="307"/>
      <c r="P39" s="32"/>
      <c r="Q39" s="25"/>
      <c r="R39" s="27"/>
      <c r="S39" s="27"/>
      <c r="T39" s="28"/>
      <c r="U39" s="27"/>
      <c r="V39" s="27" t="s">
        <v>154</v>
      </c>
      <c r="W39" s="28"/>
      <c r="X39" s="33"/>
      <c r="Y39" s="32"/>
      <c r="Z39" s="25"/>
      <c r="AA39" s="27"/>
      <c r="AB39" s="28"/>
      <c r="AC39" s="27"/>
      <c r="AD39" s="27"/>
      <c r="AE39" s="33"/>
      <c r="AG39" s="25">
        <v>2.5000000000000001E-2</v>
      </c>
      <c r="AH39" s="34">
        <v>2.5000000000000001E-2</v>
      </c>
      <c r="AI39" s="27"/>
      <c r="AJ39" s="27"/>
      <c r="AK39" s="27"/>
      <c r="AL39" s="25"/>
      <c r="AM39" s="34"/>
      <c r="AN39" s="27">
        <v>2.5000000000000001E-2</v>
      </c>
      <c r="AO39" s="27">
        <v>2.5000000000000001E-2</v>
      </c>
      <c r="AP39" s="36">
        <v>2.5000000000000001E-2</v>
      </c>
      <c r="AQ39" s="37"/>
      <c r="AR39" s="32"/>
      <c r="AS39" s="25" t="s">
        <v>72</v>
      </c>
      <c r="AT39" s="27" t="s">
        <v>52</v>
      </c>
      <c r="AU39" s="27"/>
      <c r="AW39" s="25"/>
      <c r="AX39" s="27"/>
      <c r="AY39" s="27"/>
      <c r="AZ39" s="32"/>
      <c r="BA39" s="41">
        <v>19</v>
      </c>
    </row>
    <row r="40" spans="1:53" x14ac:dyDescent="0.2">
      <c r="A40" s="25">
        <v>33</v>
      </c>
      <c r="B40" s="26">
        <v>45043</v>
      </c>
      <c r="C40" s="27" t="s">
        <v>117</v>
      </c>
      <c r="D40" s="25"/>
      <c r="E40" s="28"/>
      <c r="F40" s="27"/>
      <c r="G40" s="28"/>
      <c r="H40" s="27"/>
      <c r="I40" s="28"/>
      <c r="J40" s="27">
        <v>1.2</v>
      </c>
      <c r="K40" s="29" t="s">
        <v>35</v>
      </c>
      <c r="L40" s="39"/>
      <c r="M40" s="31"/>
      <c r="N40" s="27" t="s">
        <v>76</v>
      </c>
      <c r="O40" s="307"/>
      <c r="P40" s="32"/>
      <c r="Q40" s="25"/>
      <c r="R40" s="27"/>
      <c r="S40" s="27"/>
      <c r="T40" s="28"/>
      <c r="U40" s="27"/>
      <c r="V40" s="27" t="s">
        <v>154</v>
      </c>
      <c r="W40" s="28"/>
      <c r="X40" s="33"/>
      <c r="Y40" s="32"/>
      <c r="Z40" s="25"/>
      <c r="AA40" s="27"/>
      <c r="AB40" s="28"/>
      <c r="AC40" s="27"/>
      <c r="AD40" s="27"/>
      <c r="AE40" s="33"/>
      <c r="AG40" s="25">
        <v>2.5000000000000001E-2</v>
      </c>
      <c r="AH40" s="34">
        <v>2.5000000000000001E-2</v>
      </c>
      <c r="AI40" s="27"/>
      <c r="AJ40" s="27"/>
      <c r="AK40" s="27"/>
      <c r="AL40" s="25"/>
      <c r="AM40" s="34"/>
      <c r="AN40" s="27">
        <v>2.5000000000000001E-2</v>
      </c>
      <c r="AO40" s="27">
        <v>2.5000000000000001E-2</v>
      </c>
      <c r="AP40" s="36"/>
      <c r="AQ40" s="37"/>
      <c r="AR40" s="32"/>
      <c r="AS40" s="25" t="s">
        <v>72</v>
      </c>
      <c r="AT40" s="27" t="s">
        <v>52</v>
      </c>
      <c r="AW40" s="25"/>
      <c r="AX40" s="27"/>
      <c r="AY40" s="27"/>
      <c r="AZ40" s="32"/>
      <c r="BA40" s="41">
        <v>4</v>
      </c>
    </row>
    <row r="41" spans="1:53" ht="16" thickBot="1" x14ac:dyDescent="0.25">
      <c r="A41" s="25">
        <v>34</v>
      </c>
      <c r="B41" s="26">
        <v>45044</v>
      </c>
      <c r="C41" s="27" t="s">
        <v>140</v>
      </c>
      <c r="D41" s="25"/>
      <c r="E41" s="28"/>
      <c r="F41" s="27"/>
      <c r="G41" s="28"/>
      <c r="H41" s="27"/>
      <c r="I41" s="28"/>
      <c r="J41" s="27">
        <v>1.2</v>
      </c>
      <c r="K41" s="29" t="s">
        <v>35</v>
      </c>
      <c r="L41" s="39"/>
      <c r="M41" s="31"/>
      <c r="N41" s="27" t="s">
        <v>76</v>
      </c>
      <c r="O41" s="307"/>
      <c r="P41" s="32"/>
      <c r="Q41" s="25"/>
      <c r="R41" s="27"/>
      <c r="S41" s="27"/>
      <c r="T41" s="28"/>
      <c r="U41" s="27"/>
      <c r="V41" s="27" t="s">
        <v>154</v>
      </c>
      <c r="W41" s="28"/>
      <c r="X41" s="33"/>
      <c r="Y41" s="32"/>
      <c r="Z41" s="25"/>
      <c r="AA41" s="27"/>
      <c r="AB41" s="28"/>
      <c r="AC41" s="27"/>
      <c r="AD41" s="27"/>
      <c r="AE41" s="33"/>
      <c r="AG41" s="25"/>
      <c r="AH41" s="34"/>
      <c r="AI41" s="27"/>
      <c r="AJ41" s="27"/>
      <c r="AK41" s="27"/>
      <c r="AL41" s="25"/>
      <c r="AM41" s="34"/>
      <c r="AN41" s="27"/>
      <c r="AO41" s="27"/>
      <c r="AP41" s="36"/>
      <c r="AQ41" s="37"/>
      <c r="AR41" s="32"/>
      <c r="AS41" s="25" t="s">
        <v>72</v>
      </c>
      <c r="AT41" s="27" t="s">
        <v>52</v>
      </c>
      <c r="AU41" s="27"/>
      <c r="AW41" s="25"/>
      <c r="AX41" s="27"/>
      <c r="AY41" s="27"/>
      <c r="AZ41" s="32"/>
      <c r="BA41" s="41">
        <v>0</v>
      </c>
    </row>
    <row r="42" spans="1:53" ht="16" thickBot="1" x14ac:dyDescent="0.25">
      <c r="A42" s="25">
        <v>35</v>
      </c>
      <c r="B42" s="26">
        <v>45045</v>
      </c>
      <c r="C42" s="27"/>
      <c r="D42" s="25"/>
      <c r="E42" s="28"/>
      <c r="F42" s="27"/>
      <c r="G42" s="28"/>
      <c r="H42" s="27"/>
      <c r="I42" s="28"/>
      <c r="J42" s="27">
        <v>1.2</v>
      </c>
      <c r="K42" s="29" t="s">
        <v>35</v>
      </c>
      <c r="L42" s="39"/>
      <c r="M42" s="31"/>
      <c r="N42" s="27" t="s">
        <v>76</v>
      </c>
      <c r="O42" s="307"/>
      <c r="P42" s="32"/>
      <c r="Q42" s="25"/>
      <c r="R42" s="27"/>
      <c r="S42" s="27"/>
      <c r="T42" s="28"/>
      <c r="U42" s="27"/>
      <c r="V42" s="27" t="s">
        <v>154</v>
      </c>
      <c r="W42" s="28"/>
      <c r="X42" s="33"/>
      <c r="Y42" s="32"/>
      <c r="Z42" s="25"/>
      <c r="AA42" s="27"/>
      <c r="AB42" s="28"/>
      <c r="AC42" s="27"/>
      <c r="AD42" s="27"/>
      <c r="AE42" s="33"/>
      <c r="AG42" s="25"/>
      <c r="AH42" s="34"/>
      <c r="AI42" s="27"/>
      <c r="AJ42" s="27"/>
      <c r="AK42" s="27"/>
      <c r="AL42" s="25"/>
      <c r="AM42" s="34"/>
      <c r="AN42" s="27"/>
      <c r="AO42" s="27"/>
      <c r="AP42" s="36"/>
      <c r="AQ42" s="37"/>
      <c r="AR42" s="32"/>
      <c r="AS42" s="25" t="s">
        <v>72</v>
      </c>
      <c r="AT42" s="27" t="s">
        <v>52</v>
      </c>
      <c r="AU42" s="58" t="s">
        <v>77</v>
      </c>
      <c r="AW42" s="25"/>
      <c r="AX42" s="27"/>
      <c r="AY42" s="27"/>
      <c r="AZ42" s="32"/>
      <c r="BA42" s="41">
        <v>1</v>
      </c>
    </row>
    <row r="43" spans="1:53" ht="16" thickBot="1" x14ac:dyDescent="0.25">
      <c r="A43" s="25">
        <v>36</v>
      </c>
      <c r="B43" s="26">
        <v>45046</v>
      </c>
      <c r="C43" s="27" t="s">
        <v>117</v>
      </c>
      <c r="D43" s="25"/>
      <c r="E43" s="28"/>
      <c r="F43" s="27"/>
      <c r="G43" s="28"/>
      <c r="H43" s="27"/>
      <c r="I43" s="28"/>
      <c r="J43" s="27">
        <v>1.2</v>
      </c>
      <c r="K43" s="29" t="s">
        <v>35</v>
      </c>
      <c r="L43" s="53"/>
      <c r="M43" s="31"/>
      <c r="N43" s="27" t="s">
        <v>76</v>
      </c>
      <c r="O43" s="307"/>
      <c r="P43" s="32"/>
      <c r="Q43" s="25"/>
      <c r="R43" s="27"/>
      <c r="S43" s="27"/>
      <c r="T43" s="28"/>
      <c r="U43" s="27"/>
      <c r="V43" s="27" t="s">
        <v>154</v>
      </c>
      <c r="W43" s="28"/>
      <c r="X43" s="33"/>
      <c r="Y43" s="32"/>
      <c r="Z43" s="25"/>
      <c r="AA43" s="27"/>
      <c r="AB43" s="28"/>
      <c r="AC43" s="27"/>
      <c r="AD43" s="27"/>
      <c r="AE43" s="33"/>
      <c r="AG43" s="25">
        <v>2.5000000000000001E-2</v>
      </c>
      <c r="AH43" s="34">
        <v>2.5000000000000001E-2</v>
      </c>
      <c r="AI43" s="27"/>
      <c r="AJ43" s="27"/>
      <c r="AK43" s="27"/>
      <c r="AL43" s="25"/>
      <c r="AM43" s="34"/>
      <c r="AN43" s="27">
        <v>0.25</v>
      </c>
      <c r="AO43" s="27">
        <v>2.5000000000000001E-2</v>
      </c>
      <c r="AP43" s="36"/>
      <c r="AQ43" s="37"/>
      <c r="AR43" s="32"/>
      <c r="AS43" s="25" t="s">
        <v>78</v>
      </c>
      <c r="AT43" s="27" t="s">
        <v>52</v>
      </c>
      <c r="AW43" s="25"/>
      <c r="AX43" s="27"/>
      <c r="AY43" s="27"/>
      <c r="AZ43" s="32"/>
      <c r="BA43" s="41">
        <v>1</v>
      </c>
    </row>
    <row r="44" spans="1:53" ht="16" thickBot="1" x14ac:dyDescent="0.25">
      <c r="A44" s="25">
        <v>37</v>
      </c>
      <c r="B44" s="26">
        <v>45047</v>
      </c>
      <c r="C44" s="27" t="s">
        <v>140</v>
      </c>
      <c r="D44" s="25"/>
      <c r="E44" s="28"/>
      <c r="F44" s="27"/>
      <c r="G44" s="28"/>
      <c r="H44" s="27"/>
      <c r="I44" s="28"/>
      <c r="J44" s="27">
        <v>1.2</v>
      </c>
      <c r="K44" s="29" t="s">
        <v>35</v>
      </c>
      <c r="L44" s="53"/>
      <c r="M44" s="31"/>
      <c r="N44" s="27" t="s">
        <v>76</v>
      </c>
      <c r="O44" s="307"/>
      <c r="P44" s="32"/>
      <c r="Q44" s="25"/>
      <c r="R44" s="27"/>
      <c r="S44" s="27"/>
      <c r="T44" s="28"/>
      <c r="U44" s="27"/>
      <c r="V44" s="27" t="s">
        <v>154</v>
      </c>
      <c r="W44" s="28"/>
      <c r="X44" s="33"/>
      <c r="Y44" s="32"/>
      <c r="Z44" s="59"/>
      <c r="AA44" s="60"/>
      <c r="AB44" s="61"/>
      <c r="AC44" s="27"/>
      <c r="AD44" s="27"/>
      <c r="AE44" s="33"/>
      <c r="AG44" s="25"/>
      <c r="AH44" s="34"/>
      <c r="AI44" s="27"/>
      <c r="AJ44" s="27"/>
      <c r="AK44" s="27"/>
      <c r="AL44" s="25"/>
      <c r="AM44" s="34"/>
      <c r="AN44" s="27"/>
      <c r="AO44" s="27"/>
      <c r="AP44" s="36"/>
      <c r="AQ44" s="37"/>
      <c r="AR44" s="32"/>
      <c r="AS44" s="25" t="s">
        <v>78</v>
      </c>
      <c r="AT44" s="27" t="s">
        <v>52</v>
      </c>
      <c r="AU44" s="27"/>
      <c r="AW44" s="25"/>
      <c r="AX44" s="27"/>
      <c r="AY44" s="27"/>
      <c r="AZ44" s="32"/>
      <c r="BA44" s="41">
        <v>0</v>
      </c>
    </row>
    <row r="45" spans="1:53" x14ac:dyDescent="0.2">
      <c r="A45" s="25">
        <v>38</v>
      </c>
      <c r="B45" s="26">
        <v>45048</v>
      </c>
      <c r="C45" s="27" t="s">
        <v>117</v>
      </c>
      <c r="D45" s="25"/>
      <c r="E45" s="28"/>
      <c r="F45" s="27"/>
      <c r="G45" s="28"/>
      <c r="H45" s="27"/>
      <c r="I45" s="28"/>
      <c r="J45" s="27">
        <v>1.2</v>
      </c>
      <c r="K45" s="29" t="s">
        <v>35</v>
      </c>
      <c r="L45" s="39"/>
      <c r="M45" s="31"/>
      <c r="N45" s="27" t="s">
        <v>76</v>
      </c>
      <c r="O45" s="307"/>
      <c r="P45" s="32"/>
      <c r="Q45" s="25"/>
      <c r="R45" s="27"/>
      <c r="S45" s="27"/>
      <c r="T45" s="28"/>
      <c r="U45" s="27"/>
      <c r="V45" s="27" t="s">
        <v>154</v>
      </c>
      <c r="W45" s="28"/>
      <c r="X45" s="33"/>
      <c r="Y45" s="32"/>
      <c r="Z45" s="25"/>
      <c r="AA45" s="27"/>
      <c r="AB45" s="28"/>
      <c r="AC45" s="27"/>
      <c r="AD45" s="27"/>
      <c r="AE45" s="33"/>
      <c r="AG45" s="25">
        <v>0.05</v>
      </c>
      <c r="AH45" s="34">
        <v>0.05</v>
      </c>
      <c r="AI45" s="27"/>
      <c r="AJ45" s="27"/>
      <c r="AK45" s="27"/>
      <c r="AL45" s="25"/>
      <c r="AM45" s="34"/>
      <c r="AN45" s="27">
        <v>0.05</v>
      </c>
      <c r="AO45" s="27">
        <v>0.05</v>
      </c>
      <c r="AP45" s="36">
        <v>0.05</v>
      </c>
      <c r="AQ45" s="37"/>
      <c r="AR45" s="32"/>
      <c r="AS45" s="25" t="s">
        <v>78</v>
      </c>
      <c r="AT45" s="27" t="s">
        <v>52</v>
      </c>
      <c r="AU45" s="27"/>
      <c r="AW45" s="25"/>
      <c r="AX45" s="27"/>
      <c r="AY45" s="27"/>
      <c r="AZ45" s="32"/>
      <c r="BA45" s="41">
        <v>0</v>
      </c>
    </row>
    <row r="46" spans="1:53" ht="16" thickBot="1" x14ac:dyDescent="0.25">
      <c r="A46" s="25">
        <v>39</v>
      </c>
      <c r="B46" s="26">
        <v>45049</v>
      </c>
      <c r="C46" s="27" t="s">
        <v>117</v>
      </c>
      <c r="D46" s="25"/>
      <c r="E46" s="28"/>
      <c r="F46" s="27"/>
      <c r="G46" s="28"/>
      <c r="H46" s="27"/>
      <c r="I46" s="28"/>
      <c r="J46" s="27">
        <v>1.2</v>
      </c>
      <c r="K46" s="29" t="s">
        <v>35</v>
      </c>
      <c r="M46" s="31"/>
      <c r="N46" s="27" t="s">
        <v>76</v>
      </c>
      <c r="O46" s="307"/>
      <c r="P46" s="32"/>
      <c r="Q46" s="25"/>
      <c r="R46" s="27"/>
      <c r="S46" s="27"/>
      <c r="T46" s="28"/>
      <c r="U46" s="27"/>
      <c r="V46" s="27" t="s">
        <v>154</v>
      </c>
      <c r="W46" s="28"/>
      <c r="X46" s="33"/>
      <c r="Y46" s="32"/>
      <c r="Z46" s="25"/>
      <c r="AA46" s="27"/>
      <c r="AB46" s="28"/>
      <c r="AC46" s="27"/>
      <c r="AD46" s="27"/>
      <c r="AE46" s="33"/>
      <c r="AG46" s="25">
        <v>0.05</v>
      </c>
      <c r="AH46" s="34">
        <v>0.05</v>
      </c>
      <c r="AI46" s="27"/>
      <c r="AJ46" s="27"/>
      <c r="AK46" s="27"/>
      <c r="AL46" s="25"/>
      <c r="AM46" s="34"/>
      <c r="AN46" s="27">
        <v>0.05</v>
      </c>
      <c r="AO46" s="27">
        <v>0.05</v>
      </c>
      <c r="AP46" s="36">
        <v>0.05</v>
      </c>
      <c r="AQ46" s="37"/>
      <c r="AR46" s="32"/>
      <c r="AS46" s="25" t="s">
        <v>78</v>
      </c>
      <c r="AT46" s="27" t="s">
        <v>52</v>
      </c>
      <c r="AU46" s="27"/>
      <c r="AW46" s="25"/>
      <c r="AX46" s="27"/>
      <c r="AY46" s="27"/>
      <c r="AZ46" s="32"/>
      <c r="BA46" s="41">
        <v>2</v>
      </c>
    </row>
    <row r="47" spans="1:53" ht="16" thickBot="1" x14ac:dyDescent="0.25">
      <c r="A47" s="25">
        <v>40</v>
      </c>
      <c r="B47" s="26">
        <v>45050</v>
      </c>
      <c r="C47" s="27" t="s">
        <v>117</v>
      </c>
      <c r="D47" s="25"/>
      <c r="E47" s="28"/>
      <c r="F47" s="27"/>
      <c r="G47" s="28"/>
      <c r="H47" s="27"/>
      <c r="I47" s="28"/>
      <c r="J47" s="27">
        <v>1.2</v>
      </c>
      <c r="K47" s="29" t="s">
        <v>35</v>
      </c>
      <c r="L47" s="53"/>
      <c r="M47" s="31"/>
      <c r="N47" s="27" t="s">
        <v>76</v>
      </c>
      <c r="O47" s="308"/>
      <c r="Q47" s="25"/>
      <c r="R47" s="27"/>
      <c r="S47" s="27"/>
      <c r="T47" s="28"/>
      <c r="U47" s="27"/>
      <c r="V47" s="27" t="s">
        <v>154</v>
      </c>
      <c r="W47" s="28"/>
      <c r="X47" s="33"/>
      <c r="Y47" s="32"/>
      <c r="Z47" s="59"/>
      <c r="AA47" s="60"/>
      <c r="AB47" s="61"/>
      <c r="AC47" s="27"/>
      <c r="AD47" s="27"/>
      <c r="AE47" s="33"/>
      <c r="AG47" s="25">
        <v>0.05</v>
      </c>
      <c r="AH47" s="34">
        <v>0.05</v>
      </c>
      <c r="AI47" s="27"/>
      <c r="AJ47" s="27"/>
      <c r="AK47" s="27"/>
      <c r="AL47" s="25"/>
      <c r="AM47" s="34"/>
      <c r="AN47" s="27">
        <v>0.05</v>
      </c>
      <c r="AO47" s="27">
        <v>0.05</v>
      </c>
      <c r="AP47" s="36">
        <v>0.05</v>
      </c>
      <c r="AQ47" s="37"/>
      <c r="AR47" s="32"/>
      <c r="AS47" s="25" t="s">
        <v>79</v>
      </c>
      <c r="AT47" s="27" t="s">
        <v>52</v>
      </c>
      <c r="AU47" s="58" t="s">
        <v>80</v>
      </c>
      <c r="AW47" s="25"/>
      <c r="AX47" s="27"/>
      <c r="AY47" s="27"/>
      <c r="AZ47" s="32"/>
      <c r="BA47" s="41">
        <v>7</v>
      </c>
    </row>
    <row r="48" spans="1:53" x14ac:dyDescent="0.2">
      <c r="A48" s="25">
        <v>41</v>
      </c>
      <c r="B48" s="26">
        <v>45051</v>
      </c>
      <c r="C48" s="27" t="s">
        <v>117</v>
      </c>
      <c r="D48" s="25"/>
      <c r="E48" s="28"/>
      <c r="F48" s="27"/>
      <c r="G48" s="28"/>
      <c r="H48" s="27"/>
      <c r="I48" s="28"/>
      <c r="J48" s="27">
        <v>1.2</v>
      </c>
      <c r="K48" s="29" t="s">
        <v>35</v>
      </c>
      <c r="M48" s="31"/>
      <c r="N48" s="27" t="s">
        <v>76</v>
      </c>
      <c r="P48" s="32"/>
      <c r="Q48" s="25"/>
      <c r="R48" s="27"/>
      <c r="S48" s="27"/>
      <c r="T48" s="28"/>
      <c r="U48" s="27"/>
      <c r="V48" s="27" t="s">
        <v>154</v>
      </c>
      <c r="W48" s="28"/>
      <c r="X48" s="33"/>
      <c r="Y48" s="32"/>
      <c r="Z48" s="25"/>
      <c r="AA48" s="27"/>
      <c r="AB48" s="28"/>
      <c r="AC48" s="27"/>
      <c r="AD48" s="27"/>
      <c r="AE48" s="33"/>
      <c r="AG48" s="25">
        <v>0.05</v>
      </c>
      <c r="AH48" s="34">
        <v>0.05</v>
      </c>
      <c r="AI48" s="27"/>
      <c r="AJ48" s="27"/>
      <c r="AK48" s="27"/>
      <c r="AL48" s="25"/>
      <c r="AM48" s="34"/>
      <c r="AN48" s="27">
        <v>0.05</v>
      </c>
      <c r="AO48" s="27">
        <v>0.05</v>
      </c>
      <c r="AP48" s="36">
        <v>0.05</v>
      </c>
      <c r="AQ48" s="37"/>
      <c r="AR48" s="32"/>
      <c r="AS48" s="25" t="s">
        <v>79</v>
      </c>
      <c r="AT48" s="27" t="s">
        <v>52</v>
      </c>
      <c r="AU48" s="27"/>
      <c r="AW48" s="25"/>
      <c r="AX48" s="27"/>
      <c r="AY48" s="27"/>
      <c r="AZ48" s="32"/>
      <c r="BA48" s="41">
        <v>0</v>
      </c>
    </row>
    <row r="49" spans="1:53" x14ac:dyDescent="0.2">
      <c r="A49" s="25">
        <v>42</v>
      </c>
      <c r="B49" s="26">
        <v>45052</v>
      </c>
      <c r="C49" s="27" t="s">
        <v>117</v>
      </c>
      <c r="D49" s="25"/>
      <c r="E49" s="28"/>
      <c r="F49" s="27"/>
      <c r="G49" s="28"/>
      <c r="H49" s="27"/>
      <c r="I49" s="28"/>
      <c r="J49" s="27">
        <v>1.2</v>
      </c>
      <c r="K49" s="29" t="s">
        <v>35</v>
      </c>
      <c r="L49" s="39"/>
      <c r="M49" s="31"/>
      <c r="N49" s="27" t="s">
        <v>76</v>
      </c>
      <c r="P49" s="32"/>
      <c r="Q49" s="25"/>
      <c r="R49" s="27"/>
      <c r="S49" s="27"/>
      <c r="T49" s="28"/>
      <c r="U49" s="27"/>
      <c r="V49" s="27" t="s">
        <v>154</v>
      </c>
      <c r="W49" s="28"/>
      <c r="X49" s="33"/>
      <c r="Y49" s="32"/>
      <c r="Z49" s="25"/>
      <c r="AA49" s="27"/>
      <c r="AB49" s="28"/>
      <c r="AC49" s="27"/>
      <c r="AD49" s="27"/>
      <c r="AE49" s="33"/>
      <c r="AG49" s="25">
        <v>0.05</v>
      </c>
      <c r="AH49" s="34">
        <v>0.05</v>
      </c>
      <c r="AI49" s="27"/>
      <c r="AJ49" s="27"/>
      <c r="AK49" s="27"/>
      <c r="AL49" s="25"/>
      <c r="AM49" s="34"/>
      <c r="AN49" s="27">
        <v>0.05</v>
      </c>
      <c r="AO49" s="27">
        <v>0.05</v>
      </c>
      <c r="AP49" s="36">
        <v>0.05</v>
      </c>
      <c r="AQ49" s="37"/>
      <c r="AR49" s="32"/>
      <c r="AS49" s="25" t="s">
        <v>79</v>
      </c>
      <c r="AT49" s="27" t="s">
        <v>52</v>
      </c>
      <c r="AU49" s="27"/>
      <c r="AW49" s="25"/>
      <c r="AX49" s="27"/>
      <c r="AY49" s="27"/>
      <c r="AZ49" s="32"/>
      <c r="BA49" s="41">
        <v>2</v>
      </c>
    </row>
    <row r="50" spans="1:53" ht="16" thickBot="1" x14ac:dyDescent="0.25">
      <c r="A50" s="25">
        <v>43</v>
      </c>
      <c r="B50" s="26">
        <v>45053</v>
      </c>
      <c r="C50" s="27"/>
      <c r="D50" s="25"/>
      <c r="E50" s="28"/>
      <c r="F50" s="27"/>
      <c r="G50" s="28"/>
      <c r="H50" s="27"/>
      <c r="I50" s="28"/>
      <c r="J50" s="27">
        <v>1.2</v>
      </c>
      <c r="K50" s="29" t="s">
        <v>35</v>
      </c>
      <c r="L50" s="39"/>
      <c r="M50" s="31"/>
      <c r="N50" s="27" t="s">
        <v>76</v>
      </c>
      <c r="P50" s="32"/>
      <c r="Q50" s="25"/>
      <c r="R50" s="27"/>
      <c r="S50" s="27"/>
      <c r="T50" s="28"/>
      <c r="U50" s="27"/>
      <c r="V50" s="27" t="s">
        <v>154</v>
      </c>
      <c r="W50" s="28"/>
      <c r="X50" s="33"/>
      <c r="Y50" s="32"/>
      <c r="Z50" s="25"/>
      <c r="AA50" s="27"/>
      <c r="AB50" s="28"/>
      <c r="AC50" s="27"/>
      <c r="AD50" s="27"/>
      <c r="AE50" s="33"/>
      <c r="AG50" s="25">
        <v>0.05</v>
      </c>
      <c r="AH50" s="34">
        <v>0.05</v>
      </c>
      <c r="AI50" s="27"/>
      <c r="AJ50" s="27"/>
      <c r="AK50" s="27"/>
      <c r="AL50" s="25"/>
      <c r="AM50" s="34"/>
      <c r="AN50" s="27">
        <v>0.05</v>
      </c>
      <c r="AO50" s="27">
        <v>0.05</v>
      </c>
      <c r="AP50" s="36">
        <v>0.05</v>
      </c>
      <c r="AQ50" s="37"/>
      <c r="AR50" s="32"/>
      <c r="AS50" s="25" t="s">
        <v>79</v>
      </c>
      <c r="AT50" s="27" t="s">
        <v>52</v>
      </c>
      <c r="AU50" s="27"/>
      <c r="AW50" s="25"/>
      <c r="AX50" s="27"/>
      <c r="AY50" s="27"/>
      <c r="AZ50" s="32"/>
      <c r="BA50" s="41">
        <v>0</v>
      </c>
    </row>
    <row r="51" spans="1:53" ht="16" thickBot="1" x14ac:dyDescent="0.25">
      <c r="A51" s="25">
        <v>44</v>
      </c>
      <c r="B51" s="26">
        <v>45054</v>
      </c>
      <c r="C51" s="27"/>
      <c r="D51" s="25"/>
      <c r="E51" s="28"/>
      <c r="F51" s="27"/>
      <c r="G51" s="28"/>
      <c r="H51" s="27"/>
      <c r="I51" s="28"/>
      <c r="J51" s="27">
        <v>1.2</v>
      </c>
      <c r="K51" s="29" t="s">
        <v>35</v>
      </c>
      <c r="L51" s="39"/>
      <c r="M51" s="31"/>
      <c r="N51" s="27" t="s">
        <v>76</v>
      </c>
      <c r="P51" s="32"/>
      <c r="Q51" s="27"/>
      <c r="R51" s="27"/>
      <c r="S51" s="27"/>
      <c r="T51" s="28"/>
      <c r="U51" s="27"/>
      <c r="V51" s="27" t="s">
        <v>154</v>
      </c>
      <c r="W51" s="28"/>
      <c r="X51" s="33"/>
      <c r="Y51" s="32"/>
      <c r="Z51" s="59"/>
      <c r="AA51" s="60"/>
      <c r="AB51" s="61"/>
      <c r="AC51" s="27"/>
      <c r="AD51" s="27"/>
      <c r="AE51" s="33"/>
      <c r="AG51" s="25">
        <v>0.05</v>
      </c>
      <c r="AH51" s="34">
        <v>0.05</v>
      </c>
      <c r="AI51" s="27"/>
      <c r="AJ51" s="27"/>
      <c r="AK51" s="27"/>
      <c r="AL51" s="25"/>
      <c r="AM51" s="34"/>
      <c r="AN51" s="27">
        <v>0.05</v>
      </c>
      <c r="AO51" s="27">
        <v>0.05</v>
      </c>
      <c r="AP51" s="36">
        <v>0.05</v>
      </c>
      <c r="AQ51" s="37"/>
      <c r="AR51" s="32"/>
      <c r="AS51" s="25" t="s">
        <v>79</v>
      </c>
      <c r="AT51" s="27" t="s">
        <v>52</v>
      </c>
      <c r="AU51" s="58" t="s">
        <v>81</v>
      </c>
      <c r="AW51" s="25"/>
      <c r="AX51" s="27"/>
      <c r="AY51" s="27"/>
      <c r="AZ51" s="32"/>
      <c r="BA51" s="41">
        <v>0</v>
      </c>
    </row>
    <row r="52" spans="1:53" x14ac:dyDescent="0.2">
      <c r="A52" s="25">
        <v>45</v>
      </c>
      <c r="B52" s="26">
        <v>45055</v>
      </c>
      <c r="C52" s="27" t="s">
        <v>117</v>
      </c>
      <c r="D52" s="25"/>
      <c r="E52" s="28"/>
      <c r="F52" s="27"/>
      <c r="G52" s="28"/>
      <c r="H52" s="27"/>
      <c r="I52" s="28"/>
      <c r="J52" s="27">
        <v>1.2</v>
      </c>
      <c r="K52" s="29" t="s">
        <v>35</v>
      </c>
      <c r="L52" s="39"/>
      <c r="M52" s="31"/>
      <c r="N52" s="27" t="s">
        <v>76</v>
      </c>
      <c r="P52" s="32"/>
      <c r="Q52" s="25"/>
      <c r="R52" s="27"/>
      <c r="S52" s="27"/>
      <c r="T52" s="28"/>
      <c r="U52" s="27"/>
      <c r="V52" s="27" t="s">
        <v>154</v>
      </c>
      <c r="W52" s="28"/>
      <c r="X52" s="33"/>
      <c r="Y52" s="32"/>
      <c r="Z52" s="25"/>
      <c r="AA52" s="27"/>
      <c r="AB52" s="28"/>
      <c r="AC52" s="27"/>
      <c r="AD52" s="27"/>
      <c r="AE52" s="33"/>
      <c r="AG52" s="25">
        <v>0.05</v>
      </c>
      <c r="AH52" s="34">
        <v>0.05</v>
      </c>
      <c r="AI52" s="27"/>
      <c r="AJ52" s="27"/>
      <c r="AK52" s="27"/>
      <c r="AL52" s="25"/>
      <c r="AM52" s="34"/>
      <c r="AN52" s="27">
        <v>0.05</v>
      </c>
      <c r="AO52" s="27">
        <v>0.05</v>
      </c>
      <c r="AP52" s="36">
        <v>0.05</v>
      </c>
      <c r="AQ52" s="37"/>
      <c r="AR52" s="32"/>
      <c r="AS52" s="25" t="s">
        <v>82</v>
      </c>
      <c r="AT52" s="27" t="s">
        <v>52</v>
      </c>
      <c r="AW52" s="25"/>
      <c r="AX52" s="27"/>
      <c r="AY52" s="27"/>
      <c r="AZ52" s="32"/>
      <c r="BA52" s="41">
        <v>4</v>
      </c>
    </row>
    <row r="53" spans="1:53" x14ac:dyDescent="0.2">
      <c r="A53" s="25">
        <v>46</v>
      </c>
      <c r="B53" s="26">
        <v>45056</v>
      </c>
      <c r="C53" s="27" t="s">
        <v>140</v>
      </c>
      <c r="D53" s="25"/>
      <c r="E53" s="28"/>
      <c r="F53" s="27"/>
      <c r="G53" s="28"/>
      <c r="H53" s="27"/>
      <c r="I53" s="28"/>
      <c r="J53" s="27">
        <v>1.2</v>
      </c>
      <c r="K53" s="29" t="s">
        <v>35</v>
      </c>
      <c r="L53" s="39"/>
      <c r="M53" s="31"/>
      <c r="N53" s="27" t="s">
        <v>76</v>
      </c>
      <c r="P53" s="32"/>
      <c r="Q53" s="25"/>
      <c r="R53" s="27"/>
      <c r="S53" s="27"/>
      <c r="T53" s="28"/>
      <c r="U53" s="27"/>
      <c r="V53" s="27" t="s">
        <v>154</v>
      </c>
      <c r="W53" s="28"/>
      <c r="X53" s="33"/>
      <c r="Y53" s="32"/>
      <c r="Z53" s="25"/>
      <c r="AA53" s="27"/>
      <c r="AB53" s="28"/>
      <c r="AC53" s="27"/>
      <c r="AD53" s="27"/>
      <c r="AE53" s="33"/>
      <c r="AG53" s="25">
        <v>0.05</v>
      </c>
      <c r="AH53" s="34">
        <v>0.05</v>
      </c>
      <c r="AI53" s="27"/>
      <c r="AJ53" s="27"/>
      <c r="AK53" s="27"/>
      <c r="AL53" s="25"/>
      <c r="AM53" s="34"/>
      <c r="AN53" s="27">
        <v>0.05</v>
      </c>
      <c r="AO53" s="27">
        <v>0.05</v>
      </c>
      <c r="AP53" s="36">
        <v>0.05</v>
      </c>
      <c r="AQ53" s="37"/>
      <c r="AR53" s="32"/>
      <c r="AS53" s="25" t="s">
        <v>82</v>
      </c>
      <c r="AT53" s="27" t="s">
        <v>52</v>
      </c>
      <c r="AU53" s="27"/>
      <c r="AW53" s="25"/>
      <c r="AX53" s="27"/>
      <c r="AY53" s="27"/>
      <c r="AZ53" s="32"/>
      <c r="BA53" s="41">
        <v>0</v>
      </c>
    </row>
    <row r="54" spans="1:53" x14ac:dyDescent="0.2">
      <c r="A54" s="25">
        <v>47</v>
      </c>
      <c r="B54" s="26">
        <v>45057</v>
      </c>
      <c r="C54" s="27" t="s">
        <v>140</v>
      </c>
      <c r="D54" s="25"/>
      <c r="E54" s="28"/>
      <c r="F54" s="27"/>
      <c r="G54" s="28"/>
      <c r="H54" s="27"/>
      <c r="I54" s="28"/>
      <c r="J54" s="27">
        <v>1.2</v>
      </c>
      <c r="K54" s="29" t="s">
        <v>35</v>
      </c>
      <c r="L54" s="39"/>
      <c r="M54" s="31"/>
      <c r="N54" s="27" t="s">
        <v>76</v>
      </c>
      <c r="P54" s="32"/>
      <c r="Q54" s="25"/>
      <c r="R54" s="27"/>
      <c r="S54" s="27"/>
      <c r="T54" s="28"/>
      <c r="U54" s="27"/>
      <c r="V54" s="27" t="s">
        <v>154</v>
      </c>
      <c r="W54" s="28"/>
      <c r="X54" s="33"/>
      <c r="Y54" s="32"/>
      <c r="Z54" s="25"/>
      <c r="AA54" s="27"/>
      <c r="AB54" s="28"/>
      <c r="AC54" s="27"/>
      <c r="AD54" s="27"/>
      <c r="AE54" s="33"/>
      <c r="AG54" s="25">
        <v>0.05</v>
      </c>
      <c r="AH54" s="34">
        <v>0.05</v>
      </c>
      <c r="AI54" s="27"/>
      <c r="AJ54" s="27"/>
      <c r="AK54" s="27"/>
      <c r="AL54" s="25"/>
      <c r="AM54" s="34"/>
      <c r="AN54" s="27">
        <v>0.05</v>
      </c>
      <c r="AO54" s="27">
        <v>0.05</v>
      </c>
      <c r="AP54" s="36">
        <v>0.05</v>
      </c>
      <c r="AQ54" s="37"/>
      <c r="AR54" s="32"/>
      <c r="AS54" s="25" t="s">
        <v>82</v>
      </c>
      <c r="AT54" s="27" t="s">
        <v>52</v>
      </c>
      <c r="AU54" s="27"/>
      <c r="AW54" s="25"/>
      <c r="AX54" s="27"/>
      <c r="AY54" s="27"/>
      <c r="AZ54" s="32"/>
      <c r="BA54" s="41">
        <v>1</v>
      </c>
    </row>
    <row r="55" spans="1:53" x14ac:dyDescent="0.2">
      <c r="A55" s="25">
        <v>48</v>
      </c>
      <c r="B55" s="26">
        <v>45058</v>
      </c>
      <c r="C55" s="27" t="s">
        <v>117</v>
      </c>
      <c r="D55" s="25"/>
      <c r="E55" s="28"/>
      <c r="F55" s="27"/>
      <c r="G55" s="28"/>
      <c r="H55" s="27"/>
      <c r="I55" s="28"/>
      <c r="J55" s="27">
        <v>1.2</v>
      </c>
      <c r="K55" s="29" t="s">
        <v>35</v>
      </c>
      <c r="M55" s="31"/>
      <c r="N55" s="27" t="s">
        <v>76</v>
      </c>
      <c r="P55" s="32"/>
      <c r="Q55" s="25"/>
      <c r="R55" s="27"/>
      <c r="S55" s="27"/>
      <c r="T55" s="28"/>
      <c r="U55" s="27"/>
      <c r="V55" s="27" t="s">
        <v>154</v>
      </c>
      <c r="W55" s="28"/>
      <c r="X55" s="33"/>
      <c r="Y55" s="32"/>
      <c r="Z55" s="25"/>
      <c r="AA55" s="27"/>
      <c r="AB55" s="28"/>
      <c r="AC55" s="27"/>
      <c r="AD55" s="27"/>
      <c r="AE55" s="33"/>
      <c r="AG55" s="25">
        <v>0.05</v>
      </c>
      <c r="AH55" s="34">
        <v>0.05</v>
      </c>
      <c r="AI55" s="27"/>
      <c r="AJ55" s="27"/>
      <c r="AK55" s="27"/>
      <c r="AL55" s="25"/>
      <c r="AM55" s="34"/>
      <c r="AN55" s="27">
        <v>0.05</v>
      </c>
      <c r="AO55" s="27">
        <v>0.05</v>
      </c>
      <c r="AP55" s="36">
        <v>0.05</v>
      </c>
      <c r="AQ55" s="37"/>
      <c r="AR55" s="32"/>
      <c r="AS55" s="25" t="s">
        <v>82</v>
      </c>
      <c r="AT55" s="27" t="s">
        <v>52</v>
      </c>
      <c r="AU55" s="27"/>
      <c r="AW55" s="25"/>
      <c r="AX55" s="27"/>
      <c r="AY55" s="27"/>
      <c r="AZ55" s="32"/>
      <c r="BA55" s="41">
        <v>1</v>
      </c>
    </row>
    <row r="56" spans="1:53" ht="16" thickBot="1" x14ac:dyDescent="0.25">
      <c r="A56" s="25">
        <v>49</v>
      </c>
      <c r="B56" s="26">
        <v>45059</v>
      </c>
      <c r="C56" s="27"/>
      <c r="D56" s="25"/>
      <c r="E56" s="28"/>
      <c r="F56" s="27"/>
      <c r="G56" s="28"/>
      <c r="H56" s="27"/>
      <c r="I56" s="28"/>
      <c r="J56" s="27">
        <v>1.2</v>
      </c>
      <c r="K56" s="29" t="s">
        <v>35</v>
      </c>
      <c r="L56" s="39"/>
      <c r="M56" s="31"/>
      <c r="N56" s="27" t="s">
        <v>76</v>
      </c>
      <c r="P56" s="32"/>
      <c r="Q56" s="25"/>
      <c r="R56" s="27"/>
      <c r="S56" s="27"/>
      <c r="T56" s="28"/>
      <c r="U56" s="27"/>
      <c r="V56" s="27" t="s">
        <v>154</v>
      </c>
      <c r="W56" s="28"/>
      <c r="X56" s="33"/>
      <c r="Y56" s="32"/>
      <c r="Z56" s="25"/>
      <c r="AA56" s="27"/>
      <c r="AB56" s="28"/>
      <c r="AC56" s="27"/>
      <c r="AD56" s="27"/>
      <c r="AE56" s="33"/>
      <c r="AG56" s="25">
        <v>0.05</v>
      </c>
      <c r="AH56" s="34">
        <v>0.05</v>
      </c>
      <c r="AI56" s="27"/>
      <c r="AJ56" s="27"/>
      <c r="AK56" s="27"/>
      <c r="AL56" s="25"/>
      <c r="AM56" s="34"/>
      <c r="AN56" s="27">
        <v>0.05</v>
      </c>
      <c r="AO56" s="27">
        <v>0.05</v>
      </c>
      <c r="AP56" s="36">
        <v>0.05</v>
      </c>
      <c r="AQ56" s="37"/>
      <c r="AR56" s="32"/>
      <c r="AS56" s="25" t="s">
        <v>82</v>
      </c>
      <c r="AT56" s="27" t="s">
        <v>52</v>
      </c>
      <c r="AU56" s="27"/>
      <c r="AW56" s="25"/>
      <c r="AX56" s="27"/>
      <c r="AY56" s="27"/>
      <c r="AZ56" s="32"/>
      <c r="BA56" s="41">
        <v>0</v>
      </c>
    </row>
    <row r="57" spans="1:53" ht="16" thickBot="1" x14ac:dyDescent="0.25">
      <c r="A57" s="25">
        <v>50</v>
      </c>
      <c r="B57" s="26">
        <v>45060</v>
      </c>
      <c r="C57" s="27" t="s">
        <v>117</v>
      </c>
      <c r="D57" s="25"/>
      <c r="E57" s="28"/>
      <c r="F57" s="27"/>
      <c r="G57" s="28"/>
      <c r="H57" s="27"/>
      <c r="I57" s="28"/>
      <c r="J57" s="27">
        <v>1.2</v>
      </c>
      <c r="K57" s="29" t="s">
        <v>35</v>
      </c>
      <c r="L57" s="44" t="s">
        <v>83</v>
      </c>
      <c r="M57" s="31"/>
      <c r="N57" s="27" t="s">
        <v>76</v>
      </c>
      <c r="O57" s="45" t="s">
        <v>84</v>
      </c>
      <c r="P57" s="46" t="s">
        <v>85</v>
      </c>
      <c r="Q57" s="25"/>
      <c r="R57" s="27"/>
      <c r="S57" s="27"/>
      <c r="T57" s="28"/>
      <c r="U57" s="27"/>
      <c r="V57" s="27" t="s">
        <v>154</v>
      </c>
      <c r="W57" s="28"/>
      <c r="X57" s="33"/>
      <c r="Y57" s="32"/>
      <c r="Z57" s="25"/>
      <c r="AA57" s="27"/>
      <c r="AB57" s="28"/>
      <c r="AC57" s="27"/>
      <c r="AD57" s="27"/>
      <c r="AE57" s="33"/>
      <c r="AG57" s="25">
        <v>0.05</v>
      </c>
      <c r="AH57" s="34">
        <v>0.05</v>
      </c>
      <c r="AI57" s="27"/>
      <c r="AJ57" s="27"/>
      <c r="AK57" s="27"/>
      <c r="AL57" s="25"/>
      <c r="AM57" s="34"/>
      <c r="AN57" s="27">
        <v>0.05</v>
      </c>
      <c r="AO57" s="27">
        <v>0.05</v>
      </c>
      <c r="AP57" s="36">
        <v>0.05</v>
      </c>
      <c r="AQ57" s="37"/>
      <c r="AR57" s="32"/>
      <c r="AS57" s="25" t="s">
        <v>86</v>
      </c>
      <c r="AT57" s="27" t="s">
        <v>87</v>
      </c>
      <c r="AU57" s="58" t="s">
        <v>88</v>
      </c>
      <c r="AW57" s="25"/>
      <c r="AX57" s="27"/>
      <c r="AY57" s="27"/>
      <c r="AZ57" s="32"/>
      <c r="BA57" s="41">
        <v>0</v>
      </c>
    </row>
    <row r="58" spans="1:53" ht="16" thickBot="1" x14ac:dyDescent="0.25">
      <c r="A58" s="25">
        <v>51</v>
      </c>
      <c r="B58" s="26">
        <v>45061</v>
      </c>
      <c r="C58" s="27" t="s">
        <v>117</v>
      </c>
      <c r="D58" s="25"/>
      <c r="E58" s="28"/>
      <c r="F58" s="27"/>
      <c r="G58" s="28"/>
      <c r="H58" s="27"/>
      <c r="I58" s="28"/>
      <c r="J58" s="27">
        <v>2</v>
      </c>
      <c r="K58" s="29" t="s">
        <v>35</v>
      </c>
      <c r="L58" s="88" t="s">
        <v>89</v>
      </c>
      <c r="M58" s="31"/>
      <c r="N58" s="27"/>
      <c r="P58" s="46"/>
      <c r="Q58" s="27"/>
      <c r="R58" s="27"/>
      <c r="S58" s="27"/>
      <c r="T58" s="28"/>
      <c r="U58" s="27"/>
      <c r="V58" s="27" t="s">
        <v>154</v>
      </c>
      <c r="W58" s="28"/>
      <c r="X58" s="33"/>
      <c r="Y58" s="32"/>
      <c r="Z58" s="25"/>
      <c r="AA58" s="27"/>
      <c r="AB58" s="28"/>
      <c r="AC58" s="27"/>
      <c r="AD58" s="27"/>
      <c r="AE58" s="33"/>
      <c r="AG58" s="25"/>
      <c r="AH58" s="34"/>
      <c r="AI58" s="27"/>
      <c r="AJ58" s="27"/>
      <c r="AK58" s="27"/>
      <c r="AL58" s="25"/>
      <c r="AM58" s="34"/>
      <c r="AN58" s="27"/>
      <c r="AO58" s="27"/>
      <c r="AP58" s="36"/>
      <c r="AQ58" s="37"/>
      <c r="AR58" s="32"/>
      <c r="AS58" s="25" t="s">
        <v>86</v>
      </c>
      <c r="AT58" s="27" t="s">
        <v>87</v>
      </c>
      <c r="AU58" s="27"/>
      <c r="AW58" s="25"/>
      <c r="AX58" s="27"/>
      <c r="AY58" s="27"/>
      <c r="AZ58" s="32"/>
      <c r="BA58" s="41">
        <v>0</v>
      </c>
    </row>
    <row r="59" spans="1:53" ht="16" thickBot="1" x14ac:dyDescent="0.25">
      <c r="A59" s="25">
        <v>52</v>
      </c>
      <c r="B59" s="26">
        <v>45062</v>
      </c>
      <c r="C59" s="27" t="s">
        <v>117</v>
      </c>
      <c r="D59" s="25"/>
      <c r="E59" s="28"/>
      <c r="F59" s="27"/>
      <c r="G59" s="28"/>
      <c r="H59" s="27"/>
      <c r="I59" s="28"/>
      <c r="J59" s="27">
        <v>2</v>
      </c>
      <c r="K59" s="29" t="s">
        <v>35</v>
      </c>
      <c r="L59" s="39"/>
      <c r="M59" s="31"/>
      <c r="N59" s="27"/>
      <c r="P59" s="32"/>
      <c r="Q59" s="25"/>
      <c r="R59" s="27"/>
      <c r="S59" s="27"/>
      <c r="T59" s="28"/>
      <c r="U59" s="27"/>
      <c r="V59" s="27" t="s">
        <v>154</v>
      </c>
      <c r="W59" s="28"/>
      <c r="X59" s="33"/>
      <c r="Y59" s="32"/>
      <c r="Z59" s="25"/>
      <c r="AA59" s="27"/>
      <c r="AB59" s="28"/>
      <c r="AC59" s="27"/>
      <c r="AD59" s="27"/>
      <c r="AE59" s="33"/>
      <c r="AG59" s="25">
        <v>0.05</v>
      </c>
      <c r="AH59" s="34">
        <v>0.05</v>
      </c>
      <c r="AI59" s="27"/>
      <c r="AJ59" s="27"/>
      <c r="AK59" s="27"/>
      <c r="AL59" s="25"/>
      <c r="AM59" s="34"/>
      <c r="AN59" s="27">
        <v>0.05</v>
      </c>
      <c r="AO59" s="27">
        <v>0.05</v>
      </c>
      <c r="AP59" s="36">
        <v>0.05</v>
      </c>
      <c r="AQ59" s="37"/>
      <c r="AR59" s="32"/>
      <c r="AS59" s="25" t="s">
        <v>86</v>
      </c>
      <c r="AT59" s="27" t="s">
        <v>87</v>
      </c>
      <c r="AW59" s="25"/>
      <c r="AX59" s="27"/>
      <c r="AY59" s="27"/>
      <c r="AZ59" s="32"/>
      <c r="BA59" s="41">
        <v>0</v>
      </c>
    </row>
    <row r="60" spans="1:53" ht="16" thickBot="1" x14ac:dyDescent="0.25">
      <c r="A60" s="25">
        <v>53</v>
      </c>
      <c r="B60" s="26">
        <v>45063</v>
      </c>
      <c r="C60" s="27" t="s">
        <v>117</v>
      </c>
      <c r="D60" s="25"/>
      <c r="E60" s="28"/>
      <c r="F60" s="27"/>
      <c r="G60" s="28"/>
      <c r="H60" s="27"/>
      <c r="I60" s="28"/>
      <c r="J60" s="27">
        <v>2</v>
      </c>
      <c r="K60" s="29" t="s">
        <v>35</v>
      </c>
      <c r="L60" s="39"/>
      <c r="M60" s="31"/>
      <c r="N60" s="27"/>
      <c r="P60" s="32"/>
      <c r="Q60" s="25"/>
      <c r="R60" s="27"/>
      <c r="S60" s="27"/>
      <c r="T60" s="28"/>
      <c r="U60" s="27"/>
      <c r="V60" s="27" t="s">
        <v>154</v>
      </c>
      <c r="W60" s="28"/>
      <c r="X60" s="33"/>
      <c r="Y60" s="32"/>
      <c r="Z60" s="25"/>
      <c r="AA60" s="27"/>
      <c r="AB60" s="28"/>
      <c r="AC60" s="27"/>
      <c r="AD60" s="27"/>
      <c r="AE60" s="33"/>
      <c r="AG60" s="25">
        <v>0.05</v>
      </c>
      <c r="AH60" s="34">
        <v>0.05</v>
      </c>
      <c r="AI60" s="27"/>
      <c r="AJ60" s="27"/>
      <c r="AK60" s="27"/>
      <c r="AL60" s="25"/>
      <c r="AM60" s="34"/>
      <c r="AN60" s="27">
        <v>0.05</v>
      </c>
      <c r="AO60" s="27">
        <v>0.05</v>
      </c>
      <c r="AP60" s="36">
        <v>0.1</v>
      </c>
      <c r="AQ60" s="37"/>
      <c r="AR60" s="32"/>
      <c r="AS60" s="25" t="s">
        <v>86</v>
      </c>
      <c r="AT60" s="27" t="s">
        <v>87</v>
      </c>
      <c r="AU60" s="27"/>
      <c r="AW60" s="25" t="s">
        <v>90</v>
      </c>
      <c r="AX60" s="27" t="s">
        <v>91</v>
      </c>
      <c r="AY60" s="89" t="s">
        <v>92</v>
      </c>
      <c r="AZ60" s="32"/>
      <c r="BA60" s="41">
        <v>0</v>
      </c>
    </row>
    <row r="61" spans="1:53" ht="16" thickBot="1" x14ac:dyDescent="0.25">
      <c r="A61" s="25">
        <v>54</v>
      </c>
      <c r="B61" s="26">
        <v>45064</v>
      </c>
      <c r="C61" s="27" t="s">
        <v>117</v>
      </c>
      <c r="D61" s="25"/>
      <c r="E61" s="28"/>
      <c r="F61" s="27"/>
      <c r="G61" s="28"/>
      <c r="H61" s="27"/>
      <c r="I61" s="28"/>
      <c r="J61" s="27">
        <v>2</v>
      </c>
      <c r="K61" s="29" t="s">
        <v>35</v>
      </c>
      <c r="L61" s="39"/>
      <c r="M61" s="31"/>
      <c r="N61" s="27"/>
      <c r="P61" s="32"/>
      <c r="Q61" s="25"/>
      <c r="R61" s="27"/>
      <c r="S61" s="27"/>
      <c r="T61" s="28"/>
      <c r="U61" s="27"/>
      <c r="V61" s="27" t="s">
        <v>154</v>
      </c>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U61" s="27"/>
      <c r="AW61" s="25" t="s">
        <v>90</v>
      </c>
      <c r="AX61" s="27" t="s">
        <v>91</v>
      </c>
      <c r="AY61" s="27"/>
      <c r="AZ61" s="32"/>
      <c r="BA61" s="41">
        <v>1</v>
      </c>
    </row>
    <row r="62" spans="1:53" ht="16" thickBot="1" x14ac:dyDescent="0.25">
      <c r="A62" s="25">
        <v>55</v>
      </c>
      <c r="B62" s="26">
        <v>45065</v>
      </c>
      <c r="C62" s="27" t="s">
        <v>117</v>
      </c>
      <c r="D62" s="25"/>
      <c r="E62" s="28"/>
      <c r="F62" s="27"/>
      <c r="G62" s="28"/>
      <c r="H62" s="27"/>
      <c r="I62" s="28"/>
      <c r="J62" s="27">
        <v>2</v>
      </c>
      <c r="K62" s="29" t="s">
        <v>35</v>
      </c>
      <c r="L62" s="39"/>
      <c r="M62" s="31"/>
      <c r="N62" s="27"/>
      <c r="P62" s="32"/>
      <c r="Q62" s="25"/>
      <c r="R62" s="27"/>
      <c r="S62" s="27"/>
      <c r="T62" s="28"/>
      <c r="U62" s="27"/>
      <c r="V62" s="27" t="s">
        <v>154</v>
      </c>
      <c r="W62" s="28"/>
      <c r="X62" s="33"/>
      <c r="Y62" s="32"/>
      <c r="Z62" s="25"/>
      <c r="AA62" s="27"/>
      <c r="AB62" s="28"/>
      <c r="AC62" s="27"/>
      <c r="AD62" s="27"/>
      <c r="AE62" s="33"/>
      <c r="AG62" s="25"/>
      <c r="AH62" s="34"/>
      <c r="AI62" s="27"/>
      <c r="AJ62" s="27"/>
      <c r="AK62" s="27"/>
      <c r="AL62" s="25"/>
      <c r="AM62" s="34"/>
      <c r="AN62" s="27"/>
      <c r="AO62" s="27"/>
      <c r="AP62" s="36"/>
      <c r="AQ62" s="82" t="s">
        <v>93</v>
      </c>
      <c r="AR62" s="32"/>
      <c r="AS62" s="25" t="s">
        <v>86</v>
      </c>
      <c r="AT62" s="27" t="s">
        <v>87</v>
      </c>
      <c r="AW62" s="25" t="s">
        <v>90</v>
      </c>
      <c r="AX62" s="27" t="s">
        <v>91</v>
      </c>
      <c r="AY62" s="27"/>
      <c r="AZ62" s="32"/>
      <c r="BA62" s="41">
        <v>2</v>
      </c>
    </row>
    <row r="63" spans="1:53" x14ac:dyDescent="0.2">
      <c r="A63" s="25">
        <v>56</v>
      </c>
      <c r="B63" s="26">
        <v>45066</v>
      </c>
      <c r="C63" s="27" t="s">
        <v>117</v>
      </c>
      <c r="D63" s="25"/>
      <c r="E63" s="28"/>
      <c r="F63" s="27"/>
      <c r="G63" s="28"/>
      <c r="H63" s="27"/>
      <c r="I63" s="28"/>
      <c r="J63" s="27">
        <v>2</v>
      </c>
      <c r="K63" s="29" t="s">
        <v>35</v>
      </c>
      <c r="L63" s="39"/>
      <c r="M63" s="31"/>
      <c r="N63" s="27"/>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c r="AO63" s="27"/>
      <c r="AP63" s="36"/>
      <c r="AQ63" s="37"/>
      <c r="AR63" s="32"/>
      <c r="AS63" s="25" t="s">
        <v>86</v>
      </c>
      <c r="AT63" s="27" t="s">
        <v>87</v>
      </c>
      <c r="AU63" s="27"/>
      <c r="AW63" s="25" t="s">
        <v>90</v>
      </c>
      <c r="AX63" s="27" t="s">
        <v>91</v>
      </c>
      <c r="AY63" s="27"/>
      <c r="AZ63" s="32"/>
      <c r="BA63" s="41">
        <v>0</v>
      </c>
    </row>
    <row r="64" spans="1:53" ht="16" thickBot="1" x14ac:dyDescent="0.25">
      <c r="A64" s="25">
        <v>57</v>
      </c>
      <c r="B64" s="26">
        <v>45067</v>
      </c>
      <c r="C64" s="27" t="s">
        <v>117</v>
      </c>
      <c r="D64" s="25"/>
      <c r="E64" s="28"/>
      <c r="F64" s="27"/>
      <c r="G64" s="28"/>
      <c r="H64" s="27"/>
      <c r="I64" s="28"/>
      <c r="J64" s="27">
        <v>2</v>
      </c>
      <c r="K64" s="29" t="s">
        <v>35</v>
      </c>
      <c r="L64" s="39"/>
      <c r="M64" s="31"/>
      <c r="N64" s="27"/>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c r="AO64" s="27"/>
      <c r="AP64" s="36"/>
      <c r="AQ64" s="37"/>
      <c r="AR64" s="32"/>
      <c r="AS64" s="25" t="s">
        <v>86</v>
      </c>
      <c r="AT64" s="27" t="s">
        <v>87</v>
      </c>
      <c r="AU64" s="27"/>
      <c r="AW64" s="25" t="s">
        <v>90</v>
      </c>
      <c r="AX64" s="27" t="s">
        <v>91</v>
      </c>
      <c r="AY64" s="27"/>
      <c r="AZ64" s="32"/>
      <c r="BA64" s="41">
        <v>0</v>
      </c>
    </row>
    <row r="65" spans="1:53" ht="16" thickBot="1" x14ac:dyDescent="0.25">
      <c r="A65" s="25">
        <v>58</v>
      </c>
      <c r="B65" s="26">
        <v>45068</v>
      </c>
      <c r="C65" s="27" t="s">
        <v>117</v>
      </c>
      <c r="D65" s="25"/>
      <c r="E65" s="28"/>
      <c r="F65" s="27"/>
      <c r="G65" s="28"/>
      <c r="H65" s="27"/>
      <c r="I65" s="28"/>
      <c r="J65" s="27">
        <v>2</v>
      </c>
      <c r="K65" s="29" t="s">
        <v>35</v>
      </c>
      <c r="L65" s="39"/>
      <c r="M65" s="31"/>
      <c r="N65" s="27"/>
      <c r="P65" s="32"/>
      <c r="Q65" s="25"/>
      <c r="R65" s="27"/>
      <c r="S65" s="27"/>
      <c r="T65" s="28"/>
      <c r="U65" s="27"/>
      <c r="V65" s="27" t="s">
        <v>154</v>
      </c>
      <c r="W65" s="28"/>
      <c r="X65" s="33"/>
      <c r="Y65" s="32"/>
      <c r="Z65" s="25"/>
      <c r="AA65" s="27"/>
      <c r="AB65" s="28"/>
      <c r="AC65" s="27"/>
      <c r="AD65" s="27"/>
      <c r="AE65" s="33"/>
      <c r="AG65" s="25">
        <v>0.05</v>
      </c>
      <c r="AH65" s="34">
        <v>0.05</v>
      </c>
      <c r="AI65" s="27"/>
      <c r="AJ65" s="27"/>
      <c r="AK65" s="27"/>
      <c r="AL65" s="25"/>
      <c r="AM65" s="34"/>
      <c r="AN65" s="27">
        <v>0.05</v>
      </c>
      <c r="AO65" s="27">
        <v>0.05</v>
      </c>
      <c r="AP65" s="36">
        <v>0.05</v>
      </c>
      <c r="AQ65" s="37"/>
      <c r="AR65" s="32"/>
      <c r="AS65" s="25" t="s">
        <v>86</v>
      </c>
      <c r="AT65" s="27" t="s">
        <v>87</v>
      </c>
      <c r="AU65" s="27"/>
      <c r="AW65" s="25" t="s">
        <v>90</v>
      </c>
      <c r="AX65" s="27" t="s">
        <v>91</v>
      </c>
      <c r="AY65" s="89" t="s">
        <v>94</v>
      </c>
      <c r="AZ65" s="32"/>
      <c r="BA65" s="41">
        <v>0</v>
      </c>
    </row>
    <row r="66" spans="1:53" ht="16" thickBot="1" x14ac:dyDescent="0.25">
      <c r="A66" s="25">
        <v>59</v>
      </c>
      <c r="B66" s="26">
        <v>45069</v>
      </c>
      <c r="C66" s="27" t="s">
        <v>117</v>
      </c>
      <c r="D66" s="25"/>
      <c r="E66" s="28"/>
      <c r="F66" s="27"/>
      <c r="G66" s="28"/>
      <c r="H66" s="27"/>
      <c r="I66" s="28"/>
      <c r="J66" s="27">
        <v>2</v>
      </c>
      <c r="K66" s="29" t="s">
        <v>35</v>
      </c>
      <c r="L66" s="39"/>
      <c r="M66" s="31"/>
      <c r="N66" s="27"/>
      <c r="P66" s="32"/>
      <c r="Q66" s="25"/>
      <c r="R66" s="27"/>
      <c r="S66" s="27"/>
      <c r="T66" s="28"/>
      <c r="U66" s="27"/>
      <c r="V66" s="27" t="s">
        <v>154</v>
      </c>
      <c r="W66" s="28"/>
      <c r="X66" s="33"/>
      <c r="Y66" s="32"/>
      <c r="Z66" s="25"/>
      <c r="AA66" s="27"/>
      <c r="AB66" s="28"/>
      <c r="AC66" s="27"/>
      <c r="AD66" s="27"/>
      <c r="AE66" s="33"/>
      <c r="AG66" s="25">
        <v>0.05</v>
      </c>
      <c r="AH66" s="34">
        <v>0.05</v>
      </c>
      <c r="AI66" s="27"/>
      <c r="AJ66" s="27"/>
      <c r="AK66" s="27"/>
      <c r="AL66" s="25"/>
      <c r="AM66" s="34"/>
      <c r="AN66" s="27">
        <v>0.1</v>
      </c>
      <c r="AO66" s="27">
        <v>0.1</v>
      </c>
      <c r="AP66" s="36">
        <v>0.1</v>
      </c>
      <c r="AQ66" s="37"/>
      <c r="AR66" s="32"/>
      <c r="AS66" s="25" t="s">
        <v>86</v>
      </c>
      <c r="AT66" s="27" t="s">
        <v>87</v>
      </c>
      <c r="AU66" s="27"/>
      <c r="AW66" s="25" t="s">
        <v>90</v>
      </c>
      <c r="AX66" s="27" t="s">
        <v>95</v>
      </c>
      <c r="AY66" s="27"/>
      <c r="AZ66" s="32"/>
      <c r="BA66" s="41">
        <v>0</v>
      </c>
    </row>
    <row r="67" spans="1:53" ht="16" thickBot="1" x14ac:dyDescent="0.25">
      <c r="A67" s="25">
        <v>60</v>
      </c>
      <c r="B67" s="26">
        <v>45070</v>
      </c>
      <c r="C67" s="27" t="s">
        <v>117</v>
      </c>
      <c r="D67" s="25"/>
      <c r="E67" s="28"/>
      <c r="F67" s="27"/>
      <c r="G67" s="28"/>
      <c r="H67" s="27"/>
      <c r="I67" s="28"/>
      <c r="J67" s="27">
        <v>2</v>
      </c>
      <c r="K67" s="29" t="s">
        <v>35</v>
      </c>
      <c r="L67" s="39"/>
      <c r="M67" s="31"/>
      <c r="N67" s="27"/>
      <c r="P67" s="32"/>
      <c r="Q67" s="25"/>
      <c r="R67" s="27"/>
      <c r="S67" s="27"/>
      <c r="T67" s="28"/>
      <c r="U67" s="27"/>
      <c r="V67" s="27" t="s">
        <v>154</v>
      </c>
      <c r="W67" s="28"/>
      <c r="X67" s="33"/>
      <c r="Y67" s="32"/>
      <c r="Z67" s="25"/>
      <c r="AA67" s="27"/>
      <c r="AB67" s="28"/>
      <c r="AC67" s="27"/>
      <c r="AD67" s="27"/>
      <c r="AE67" s="33"/>
      <c r="AG67" s="25">
        <v>0.05</v>
      </c>
      <c r="AH67" s="34">
        <v>0.05</v>
      </c>
      <c r="AI67" s="27"/>
      <c r="AJ67" s="27"/>
      <c r="AK67" s="27"/>
      <c r="AL67" s="25"/>
      <c r="AM67" s="34"/>
      <c r="AN67" s="27">
        <v>0.1</v>
      </c>
      <c r="AO67" s="27">
        <v>0.1</v>
      </c>
      <c r="AP67" s="36">
        <v>0.1</v>
      </c>
      <c r="AQ67" s="37"/>
      <c r="AR67" s="32"/>
      <c r="AS67" s="25" t="s">
        <v>96</v>
      </c>
      <c r="AT67" s="27" t="s">
        <v>87</v>
      </c>
      <c r="AU67" s="58" t="s">
        <v>97</v>
      </c>
      <c r="AW67" s="25" t="s">
        <v>90</v>
      </c>
      <c r="AX67" s="27" t="s">
        <v>95</v>
      </c>
      <c r="AY67" s="27"/>
      <c r="AZ67" s="32"/>
      <c r="BA67" s="41">
        <v>0</v>
      </c>
    </row>
    <row r="68" spans="1:53" x14ac:dyDescent="0.2">
      <c r="A68" s="25">
        <v>61</v>
      </c>
      <c r="B68" s="26">
        <v>45071</v>
      </c>
      <c r="C68" s="27" t="s">
        <v>117</v>
      </c>
      <c r="D68" s="25"/>
      <c r="E68" s="28"/>
      <c r="F68" s="27"/>
      <c r="G68" s="28"/>
      <c r="H68" s="27"/>
      <c r="I68" s="28"/>
      <c r="J68" s="27">
        <v>2</v>
      </c>
      <c r="K68" s="29" t="s">
        <v>35</v>
      </c>
      <c r="L68" s="39"/>
      <c r="M68" s="31"/>
      <c r="N68" s="27"/>
      <c r="P68" s="32"/>
      <c r="Q68" s="25"/>
      <c r="R68" s="27"/>
      <c r="S68" s="27"/>
      <c r="T68" s="28"/>
      <c r="U68" s="27"/>
      <c r="V68" s="27" t="s">
        <v>154</v>
      </c>
      <c r="W68" s="28"/>
      <c r="X68" s="33"/>
      <c r="Y68" s="32"/>
      <c r="Z68" s="25"/>
      <c r="AA68" s="27"/>
      <c r="AB68" s="28"/>
      <c r="AC68" s="27"/>
      <c r="AD68" s="27"/>
      <c r="AE68" s="33"/>
      <c r="AG68" s="25">
        <v>0.05</v>
      </c>
      <c r="AH68" s="34">
        <v>0.05</v>
      </c>
      <c r="AI68" s="27"/>
      <c r="AJ68" s="27"/>
      <c r="AK68" s="27"/>
      <c r="AL68" s="25"/>
      <c r="AM68" s="34"/>
      <c r="AN68" s="27">
        <v>0.1</v>
      </c>
      <c r="AO68" s="27">
        <v>0.1</v>
      </c>
      <c r="AP68" s="36">
        <v>0.1</v>
      </c>
      <c r="AQ68" s="37"/>
      <c r="AR68" s="32"/>
      <c r="AS68" s="25" t="s">
        <v>96</v>
      </c>
      <c r="AT68" s="27" t="s">
        <v>87</v>
      </c>
      <c r="AU68" s="27"/>
      <c r="AW68" s="25" t="s">
        <v>90</v>
      </c>
      <c r="AX68" s="27" t="s">
        <v>95</v>
      </c>
      <c r="AY68" s="27"/>
      <c r="AZ68" s="32"/>
      <c r="BA68" s="41">
        <v>0</v>
      </c>
    </row>
    <row r="69" spans="1:53" x14ac:dyDescent="0.2">
      <c r="A69" s="25">
        <v>62</v>
      </c>
      <c r="B69" s="26">
        <v>45072</v>
      </c>
      <c r="C69" s="27" t="s">
        <v>117</v>
      </c>
      <c r="D69" s="25"/>
      <c r="E69" s="28"/>
      <c r="F69" s="27"/>
      <c r="G69" s="28"/>
      <c r="H69" s="27"/>
      <c r="I69" s="28"/>
      <c r="J69" s="27">
        <v>2</v>
      </c>
      <c r="K69" s="29" t="s">
        <v>35</v>
      </c>
      <c r="L69" s="39"/>
      <c r="M69" s="31"/>
      <c r="N69" s="27"/>
      <c r="P69" s="32"/>
      <c r="Q69" s="25"/>
      <c r="R69" s="27"/>
      <c r="S69" s="27"/>
      <c r="T69" s="28"/>
      <c r="U69" s="27"/>
      <c r="V69" s="27" t="s">
        <v>154</v>
      </c>
      <c r="W69" s="28"/>
      <c r="X69" s="33"/>
      <c r="Y69" s="32"/>
      <c r="Z69" s="25"/>
      <c r="AA69" s="27"/>
      <c r="AB69" s="28"/>
      <c r="AC69" s="27"/>
      <c r="AD69" s="27"/>
      <c r="AE69" s="33"/>
      <c r="AG69" s="25">
        <v>0.05</v>
      </c>
      <c r="AH69" s="34">
        <v>0.05</v>
      </c>
      <c r="AI69" s="27"/>
      <c r="AJ69" s="27"/>
      <c r="AK69" s="27"/>
      <c r="AL69" s="25"/>
      <c r="AM69" s="34"/>
      <c r="AN69" s="27">
        <v>0.1</v>
      </c>
      <c r="AO69" s="27">
        <v>0.1</v>
      </c>
      <c r="AP69" s="36">
        <v>0.1</v>
      </c>
      <c r="AQ69" s="37"/>
      <c r="AR69" s="32"/>
      <c r="AS69" s="25" t="s">
        <v>96</v>
      </c>
      <c r="AT69" s="27" t="s">
        <v>87</v>
      </c>
      <c r="AU69" s="27"/>
      <c r="AW69" s="25" t="s">
        <v>90</v>
      </c>
      <c r="AX69" s="27" t="s">
        <v>95</v>
      </c>
      <c r="AY69" s="27"/>
      <c r="AZ69" s="32"/>
      <c r="BA69" s="41">
        <v>0</v>
      </c>
    </row>
    <row r="70" spans="1:53" x14ac:dyDescent="0.2">
      <c r="A70" s="25">
        <v>63</v>
      </c>
      <c r="B70" s="26">
        <v>45073</v>
      </c>
      <c r="C70" s="27"/>
      <c r="D70" s="25"/>
      <c r="E70" s="28"/>
      <c r="F70" s="27"/>
      <c r="G70" s="28"/>
      <c r="H70" s="27"/>
      <c r="I70" s="28"/>
      <c r="J70" s="27">
        <v>2</v>
      </c>
      <c r="K70" s="29" t="s">
        <v>35</v>
      </c>
      <c r="L70" s="39"/>
      <c r="M70" s="31"/>
      <c r="N70" s="27"/>
      <c r="P70" s="32"/>
      <c r="Q70" s="25"/>
      <c r="R70" s="27"/>
      <c r="S70" s="27"/>
      <c r="T70" s="28"/>
      <c r="U70" s="27"/>
      <c r="V70" s="27" t="s">
        <v>154</v>
      </c>
      <c r="W70" s="28"/>
      <c r="X70" s="33"/>
      <c r="Y70" s="32"/>
      <c r="Z70" s="25"/>
      <c r="AA70" s="27"/>
      <c r="AB70" s="28"/>
      <c r="AC70" s="27"/>
      <c r="AD70" s="27"/>
      <c r="AE70" s="33"/>
      <c r="AG70" s="25">
        <v>0.05</v>
      </c>
      <c r="AH70" s="34">
        <v>0.05</v>
      </c>
      <c r="AI70" s="27"/>
      <c r="AJ70" s="27"/>
      <c r="AK70" s="27"/>
      <c r="AL70" s="25"/>
      <c r="AM70" s="34"/>
      <c r="AN70" s="27">
        <v>0.1</v>
      </c>
      <c r="AO70" s="27">
        <v>0.1</v>
      </c>
      <c r="AP70" s="36">
        <v>0.1</v>
      </c>
      <c r="AQ70" s="37"/>
      <c r="AR70" s="32"/>
      <c r="AS70" s="25" t="s">
        <v>96</v>
      </c>
      <c r="AT70" s="27" t="s">
        <v>87</v>
      </c>
      <c r="AU70" s="27"/>
      <c r="AW70" s="25" t="s">
        <v>90</v>
      </c>
      <c r="AX70" s="27" t="s">
        <v>95</v>
      </c>
      <c r="AY70" s="27"/>
      <c r="AZ70" s="32"/>
      <c r="BA70" s="41">
        <v>0</v>
      </c>
    </row>
    <row r="71" spans="1:53" x14ac:dyDescent="0.2">
      <c r="A71" s="25">
        <v>64</v>
      </c>
      <c r="B71" s="26">
        <v>45074</v>
      </c>
      <c r="C71" s="27"/>
      <c r="D71" s="25"/>
      <c r="E71" s="28"/>
      <c r="F71" s="27"/>
      <c r="G71" s="28"/>
      <c r="H71" s="27"/>
      <c r="I71" s="28"/>
      <c r="J71" s="27">
        <v>2</v>
      </c>
      <c r="K71" s="29" t="s">
        <v>35</v>
      </c>
      <c r="L71" s="39"/>
      <c r="M71" s="31"/>
      <c r="N71" s="27"/>
      <c r="P71" s="32"/>
      <c r="Q71" s="25"/>
      <c r="R71" s="27"/>
      <c r="S71" s="27"/>
      <c r="T71" s="28"/>
      <c r="U71" s="27"/>
      <c r="V71" s="27" t="s">
        <v>154</v>
      </c>
      <c r="W71" s="28"/>
      <c r="X71" s="33"/>
      <c r="Y71" s="32"/>
      <c r="Z71" s="25"/>
      <c r="AA71" s="27"/>
      <c r="AB71" s="28"/>
      <c r="AC71" s="27"/>
      <c r="AD71" s="27"/>
      <c r="AE71" s="33"/>
      <c r="AG71" s="25">
        <v>0.05</v>
      </c>
      <c r="AH71" s="34">
        <v>0.05</v>
      </c>
      <c r="AI71" s="27"/>
      <c r="AJ71" s="27"/>
      <c r="AK71" s="27"/>
      <c r="AL71" s="25"/>
      <c r="AM71" s="34"/>
      <c r="AN71" s="27">
        <v>0.1</v>
      </c>
      <c r="AO71" s="27">
        <v>0.1</v>
      </c>
      <c r="AP71" s="36">
        <v>0.1</v>
      </c>
      <c r="AQ71" s="37"/>
      <c r="AR71" s="32"/>
      <c r="AS71" s="25" t="s">
        <v>96</v>
      </c>
      <c r="AT71" s="27" t="s">
        <v>87</v>
      </c>
      <c r="AU71" s="27"/>
      <c r="AW71" s="25" t="s">
        <v>90</v>
      </c>
      <c r="AX71" s="27" t="s">
        <v>95</v>
      </c>
      <c r="AY71" s="27"/>
      <c r="AZ71" s="32"/>
      <c r="BA71" s="41">
        <v>2</v>
      </c>
    </row>
    <row r="72" spans="1:53" x14ac:dyDescent="0.2">
      <c r="A72" s="25">
        <v>65</v>
      </c>
      <c r="B72" s="26">
        <v>45075</v>
      </c>
      <c r="C72" s="27" t="s">
        <v>117</v>
      </c>
      <c r="D72" s="25"/>
      <c r="E72" s="28"/>
      <c r="F72" s="27"/>
      <c r="G72" s="28"/>
      <c r="H72" s="27"/>
      <c r="I72" s="28"/>
      <c r="J72" s="27">
        <v>2</v>
      </c>
      <c r="K72" s="29" t="s">
        <v>35</v>
      </c>
      <c r="L72" s="39"/>
      <c r="M72" s="31"/>
      <c r="N72" s="27"/>
      <c r="P72" s="32"/>
      <c r="Q72" s="25"/>
      <c r="R72" s="27"/>
      <c r="S72" s="27"/>
      <c r="T72" s="28"/>
      <c r="U72" s="27"/>
      <c r="V72" s="27" t="s">
        <v>154</v>
      </c>
      <c r="W72" s="28"/>
      <c r="X72" s="33"/>
      <c r="Y72" s="32"/>
      <c r="Z72" s="25"/>
      <c r="AA72" s="27"/>
      <c r="AB72" s="28"/>
      <c r="AC72" s="27"/>
      <c r="AD72" s="27"/>
      <c r="AE72" s="33"/>
      <c r="AG72" s="25">
        <v>0.05</v>
      </c>
      <c r="AH72" s="34">
        <v>0.05</v>
      </c>
      <c r="AI72" s="27"/>
      <c r="AJ72" s="27"/>
      <c r="AK72" s="27"/>
      <c r="AL72" s="25"/>
      <c r="AM72" s="34"/>
      <c r="AN72" s="27">
        <v>0.1</v>
      </c>
      <c r="AO72" s="27">
        <v>0.1</v>
      </c>
      <c r="AP72" s="36">
        <v>0.1</v>
      </c>
      <c r="AQ72" s="37"/>
      <c r="AR72" s="32"/>
      <c r="AS72" s="25" t="s">
        <v>96</v>
      </c>
      <c r="AT72" s="27" t="s">
        <v>87</v>
      </c>
      <c r="AU72" s="27"/>
      <c r="AW72" s="25" t="s">
        <v>90</v>
      </c>
      <c r="AX72" s="27" t="s">
        <v>95</v>
      </c>
      <c r="AY72" s="27"/>
      <c r="AZ72" s="32"/>
      <c r="BA72" s="41">
        <v>1</v>
      </c>
    </row>
    <row r="73" spans="1:53" x14ac:dyDescent="0.2">
      <c r="A73" s="25">
        <v>66</v>
      </c>
      <c r="B73" s="26">
        <v>45076</v>
      </c>
      <c r="C73" s="27" t="s">
        <v>117</v>
      </c>
      <c r="D73" s="25"/>
      <c r="E73" s="28"/>
      <c r="F73" s="27"/>
      <c r="G73" s="28"/>
      <c r="H73" s="27"/>
      <c r="I73" s="28"/>
      <c r="J73" s="27">
        <v>2</v>
      </c>
      <c r="K73" s="29" t="s">
        <v>35</v>
      </c>
      <c r="L73" s="39"/>
      <c r="M73" s="31"/>
      <c r="N73" s="27"/>
      <c r="P73" s="32"/>
      <c r="Q73" s="25"/>
      <c r="R73" s="27"/>
      <c r="S73" s="27"/>
      <c r="T73" s="28"/>
      <c r="U73" s="27"/>
      <c r="V73" s="27" t="s">
        <v>154</v>
      </c>
      <c r="W73" s="28"/>
      <c r="X73" s="33"/>
      <c r="Y73" s="32"/>
      <c r="Z73" s="25"/>
      <c r="AA73" s="27"/>
      <c r="AB73" s="28"/>
      <c r="AC73" s="27"/>
      <c r="AD73" s="27"/>
      <c r="AE73" s="33"/>
      <c r="AG73" s="25">
        <v>0.05</v>
      </c>
      <c r="AH73" s="34">
        <v>0.05</v>
      </c>
      <c r="AI73" s="27"/>
      <c r="AJ73" s="27"/>
      <c r="AK73" s="27"/>
      <c r="AL73" s="25"/>
      <c r="AM73" s="34"/>
      <c r="AN73" s="27">
        <v>0.1</v>
      </c>
      <c r="AO73" s="27">
        <v>0.1</v>
      </c>
      <c r="AP73" s="36">
        <v>0.1</v>
      </c>
      <c r="AQ73" s="37"/>
      <c r="AR73" s="32"/>
      <c r="AS73" s="25" t="s">
        <v>96</v>
      </c>
      <c r="AT73" s="27" t="s">
        <v>87</v>
      </c>
      <c r="AU73" s="27"/>
      <c r="AW73" s="25" t="s">
        <v>90</v>
      </c>
      <c r="AX73" s="27" t="s">
        <v>95</v>
      </c>
      <c r="AY73" s="27"/>
      <c r="AZ73" s="32"/>
      <c r="BA73" s="41">
        <v>0</v>
      </c>
    </row>
    <row r="74" spans="1:53" x14ac:dyDescent="0.2">
      <c r="A74" s="25">
        <v>67</v>
      </c>
      <c r="B74" s="26">
        <v>45077</v>
      </c>
      <c r="C74" s="27" t="s">
        <v>117</v>
      </c>
      <c r="D74" s="25"/>
      <c r="E74" s="28"/>
      <c r="F74" s="27"/>
      <c r="G74" s="28"/>
      <c r="H74" s="27"/>
      <c r="I74" s="28"/>
      <c r="J74" s="27">
        <v>2</v>
      </c>
      <c r="K74" s="29" t="s">
        <v>35</v>
      </c>
      <c r="L74" s="39"/>
      <c r="M74" s="31"/>
      <c r="N74" s="27"/>
      <c r="P74" s="32"/>
      <c r="Q74" s="25"/>
      <c r="R74" s="27"/>
      <c r="S74" s="27"/>
      <c r="T74" s="28"/>
      <c r="U74" s="27"/>
      <c r="V74" s="27" t="s">
        <v>154</v>
      </c>
      <c r="W74" s="28"/>
      <c r="X74" s="33"/>
      <c r="Y74" s="32"/>
      <c r="Z74" s="25"/>
      <c r="AA74" s="27"/>
      <c r="AB74" s="28"/>
      <c r="AC74" s="27"/>
      <c r="AD74" s="27"/>
      <c r="AE74" s="33"/>
      <c r="AG74" s="25">
        <v>0.05</v>
      </c>
      <c r="AH74" s="34">
        <v>0.05</v>
      </c>
      <c r="AI74" s="27"/>
      <c r="AJ74" s="27"/>
      <c r="AK74" s="27"/>
      <c r="AL74" s="25"/>
      <c r="AM74" s="34"/>
      <c r="AN74" s="27">
        <v>0.1</v>
      </c>
      <c r="AO74" s="27">
        <v>0.1</v>
      </c>
      <c r="AP74" s="36">
        <v>0.1</v>
      </c>
      <c r="AQ74" s="37"/>
      <c r="AR74" s="32"/>
      <c r="AS74" s="25" t="s">
        <v>96</v>
      </c>
      <c r="AT74" s="27" t="s">
        <v>87</v>
      </c>
      <c r="AU74" s="27"/>
      <c r="AW74" s="25" t="s">
        <v>90</v>
      </c>
      <c r="AX74" s="27" t="s">
        <v>95</v>
      </c>
      <c r="AY74" s="27"/>
      <c r="AZ74" s="32"/>
      <c r="BA74" s="41">
        <v>0</v>
      </c>
    </row>
    <row r="75" spans="1:53" x14ac:dyDescent="0.2">
      <c r="A75" s="25">
        <v>68</v>
      </c>
      <c r="B75" s="26">
        <v>45078</v>
      </c>
      <c r="C75" s="27" t="s">
        <v>117</v>
      </c>
      <c r="D75" s="25"/>
      <c r="E75" s="28"/>
      <c r="F75" s="27"/>
      <c r="G75" s="28"/>
      <c r="H75" s="27"/>
      <c r="I75" s="28"/>
      <c r="J75" s="27">
        <v>2</v>
      </c>
      <c r="K75" s="29" t="s">
        <v>35</v>
      </c>
      <c r="L75" s="39"/>
      <c r="M75" s="31"/>
      <c r="N75" s="27"/>
      <c r="P75" s="32"/>
      <c r="Q75" s="25"/>
      <c r="R75" s="27"/>
      <c r="S75" s="27"/>
      <c r="T75" s="28"/>
      <c r="U75" s="27"/>
      <c r="V75" s="27"/>
      <c r="W75" s="28"/>
      <c r="X75" s="33"/>
      <c r="Y75" s="32"/>
      <c r="Z75" s="25"/>
      <c r="AA75" s="27"/>
      <c r="AB75" s="28"/>
      <c r="AC75" s="27"/>
      <c r="AD75" s="27"/>
      <c r="AE75" s="33"/>
      <c r="AG75" s="25"/>
      <c r="AH75" s="34"/>
      <c r="AI75" s="27"/>
      <c r="AJ75" s="27"/>
      <c r="AK75" s="27"/>
      <c r="AL75" s="25"/>
      <c r="AM75" s="34"/>
      <c r="AN75" s="27">
        <v>0.1</v>
      </c>
      <c r="AO75" s="27">
        <v>0.1</v>
      </c>
      <c r="AP75" s="36">
        <v>0.1</v>
      </c>
      <c r="AQ75" s="37"/>
      <c r="AR75" s="32"/>
      <c r="AS75" s="25" t="s">
        <v>96</v>
      </c>
      <c r="AT75" s="27" t="s">
        <v>87</v>
      </c>
      <c r="AU75" s="27"/>
      <c r="AW75" s="25" t="s">
        <v>90</v>
      </c>
      <c r="AX75" s="27" t="s">
        <v>95</v>
      </c>
      <c r="AY75" s="27"/>
      <c r="AZ75" s="32"/>
      <c r="BA75" s="41">
        <v>0</v>
      </c>
    </row>
    <row r="76" spans="1:53" x14ac:dyDescent="0.2">
      <c r="A76" s="25">
        <v>69</v>
      </c>
      <c r="B76" s="26">
        <v>45079</v>
      </c>
      <c r="C76" s="27" t="s">
        <v>117</v>
      </c>
      <c r="D76" s="25"/>
      <c r="E76" s="28"/>
      <c r="F76" s="27"/>
      <c r="G76" s="28"/>
      <c r="H76" s="27"/>
      <c r="I76" s="28"/>
      <c r="J76" s="27">
        <v>2</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v>0.1</v>
      </c>
      <c r="AO76" s="27">
        <v>0.1</v>
      </c>
      <c r="AP76" s="36">
        <v>0.1</v>
      </c>
      <c r="AQ76" s="37"/>
      <c r="AR76" s="32"/>
      <c r="AS76" s="25" t="s">
        <v>96</v>
      </c>
      <c r="AT76" s="27" t="s">
        <v>87</v>
      </c>
      <c r="AU76" s="27"/>
      <c r="AW76" s="25" t="s">
        <v>90</v>
      </c>
      <c r="AX76" s="27" t="s">
        <v>95</v>
      </c>
      <c r="AY76" s="27"/>
      <c r="AZ76" s="32"/>
      <c r="BA76" s="41">
        <v>0</v>
      </c>
    </row>
    <row r="77" spans="1:53" x14ac:dyDescent="0.2">
      <c r="A77" s="25">
        <v>70</v>
      </c>
      <c r="B77" s="26">
        <v>45080</v>
      </c>
      <c r="C77" s="27"/>
      <c r="D77" s="25"/>
      <c r="E77" s="28"/>
      <c r="F77" s="27"/>
      <c r="G77" s="28"/>
      <c r="H77" s="27"/>
      <c r="I77" s="28"/>
      <c r="J77" s="27">
        <v>2</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v>0.1</v>
      </c>
      <c r="AO77" s="27">
        <v>0.1</v>
      </c>
      <c r="AP77" s="36">
        <v>0.1</v>
      </c>
      <c r="AQ77" s="37"/>
      <c r="AR77" s="32"/>
      <c r="AS77" s="25" t="s">
        <v>96</v>
      </c>
      <c r="AT77" s="27" t="s">
        <v>87</v>
      </c>
      <c r="AU77" s="27"/>
      <c r="AW77" s="25" t="s">
        <v>90</v>
      </c>
      <c r="AX77" s="27" t="s">
        <v>95</v>
      </c>
      <c r="AY77" s="27"/>
      <c r="AZ77" s="32"/>
      <c r="BA77" s="41">
        <v>0</v>
      </c>
    </row>
    <row r="78" spans="1:53" x14ac:dyDescent="0.2">
      <c r="A78" s="25">
        <v>71</v>
      </c>
      <c r="B78" s="26">
        <v>45081</v>
      </c>
      <c r="C78" s="27"/>
      <c r="D78" s="25"/>
      <c r="E78" s="28"/>
      <c r="F78" s="27"/>
      <c r="G78" s="28"/>
      <c r="H78" s="27"/>
      <c r="I78" s="28"/>
      <c r="J78" s="27">
        <v>2</v>
      </c>
      <c r="K78" s="29" t="s">
        <v>35</v>
      </c>
      <c r="L78" s="39"/>
      <c r="M78" s="31"/>
      <c r="N78" s="27"/>
      <c r="P78" s="32"/>
      <c r="Q78" s="25"/>
      <c r="R78" s="27"/>
      <c r="S78" s="27"/>
      <c r="T78" s="28"/>
      <c r="U78" s="27"/>
      <c r="V78" s="27"/>
      <c r="W78" s="28"/>
      <c r="X78" s="33"/>
      <c r="Y78" s="32"/>
      <c r="Z78" s="25"/>
      <c r="AA78" s="27"/>
      <c r="AB78" s="28"/>
      <c r="AC78" s="27"/>
      <c r="AD78" s="27"/>
      <c r="AE78" s="33"/>
      <c r="AF78" s="32"/>
      <c r="AG78" s="90"/>
      <c r="AH78" s="91"/>
      <c r="AI78" s="27"/>
      <c r="AJ78" s="27"/>
      <c r="AK78" s="28"/>
      <c r="AL78" s="27"/>
      <c r="AM78" s="27"/>
      <c r="AN78" s="27">
        <v>0.1</v>
      </c>
      <c r="AO78" s="27">
        <v>0.1</v>
      </c>
      <c r="AP78" s="36">
        <v>0.1</v>
      </c>
      <c r="AQ78" s="37"/>
      <c r="AS78" s="25" t="s">
        <v>96</v>
      </c>
      <c r="AT78" s="27" t="s">
        <v>87</v>
      </c>
      <c r="AU78" s="27"/>
      <c r="AW78" s="25" t="s">
        <v>90</v>
      </c>
      <c r="AX78" s="27" t="s">
        <v>95</v>
      </c>
      <c r="AY78" s="27"/>
      <c r="AZ78" s="32"/>
      <c r="BA78" s="41">
        <v>0</v>
      </c>
    </row>
    <row r="79" spans="1:53" x14ac:dyDescent="0.2">
      <c r="A79" s="25">
        <v>72</v>
      </c>
      <c r="B79" s="26">
        <v>45082</v>
      </c>
      <c r="C79" s="27" t="s">
        <v>117</v>
      </c>
      <c r="D79" s="25"/>
      <c r="E79" s="28"/>
      <c r="F79" s="27"/>
      <c r="G79" s="28"/>
      <c r="H79" s="27"/>
      <c r="I79" s="28"/>
      <c r="J79" s="27">
        <v>2</v>
      </c>
      <c r="K79" s="29" t="s">
        <v>35</v>
      </c>
      <c r="L79" s="39"/>
      <c r="M79" s="31"/>
      <c r="N79" s="27"/>
      <c r="P79" s="32"/>
      <c r="Q79" s="25"/>
      <c r="R79" s="27"/>
      <c r="S79" s="27"/>
      <c r="T79" s="28"/>
      <c r="U79" s="27"/>
      <c r="V79" s="27"/>
      <c r="W79" s="28"/>
      <c r="X79" s="33"/>
      <c r="Y79" s="32"/>
      <c r="Z79" s="25"/>
      <c r="AA79" s="27"/>
      <c r="AB79" s="28"/>
      <c r="AC79" s="27"/>
      <c r="AD79" s="27"/>
      <c r="AE79" s="33"/>
      <c r="AF79" s="32"/>
      <c r="AG79" s="90"/>
      <c r="AH79" s="91"/>
      <c r="AI79" s="27"/>
      <c r="AJ79" s="27"/>
      <c r="AK79" s="28"/>
      <c r="AL79" s="27"/>
      <c r="AM79" s="27"/>
      <c r="AN79" s="27">
        <v>0.1</v>
      </c>
      <c r="AO79" s="27">
        <v>0.1</v>
      </c>
      <c r="AP79" s="36">
        <v>0.1</v>
      </c>
      <c r="AQ79" s="37"/>
      <c r="AS79" s="25" t="s">
        <v>96</v>
      </c>
      <c r="AT79" s="27" t="s">
        <v>87</v>
      </c>
      <c r="AU79" s="27"/>
      <c r="AW79" s="25" t="s">
        <v>90</v>
      </c>
      <c r="AX79" s="27" t="s">
        <v>95</v>
      </c>
      <c r="AY79" s="27"/>
      <c r="AZ79" s="32"/>
      <c r="BA79" s="41">
        <v>0</v>
      </c>
    </row>
    <row r="80" spans="1:53" x14ac:dyDescent="0.2">
      <c r="A80" s="25">
        <v>73</v>
      </c>
      <c r="B80" s="26">
        <v>45083</v>
      </c>
      <c r="C80" s="27" t="s">
        <v>117</v>
      </c>
      <c r="D80" s="25"/>
      <c r="E80" s="28"/>
      <c r="F80" s="27"/>
      <c r="G80" s="28"/>
      <c r="H80" s="27"/>
      <c r="I80" s="28"/>
      <c r="J80" s="27">
        <v>2</v>
      </c>
      <c r="K80" s="29" t="s">
        <v>35</v>
      </c>
      <c r="L80" s="155" t="s">
        <v>184</v>
      </c>
      <c r="M80" s="31"/>
      <c r="N80" s="27"/>
      <c r="P80" s="32"/>
      <c r="Q80" s="25"/>
      <c r="R80" s="27"/>
      <c r="S80" s="27"/>
      <c r="T80" s="28"/>
      <c r="U80" s="27"/>
      <c r="V80" s="27"/>
      <c r="W80" s="28"/>
      <c r="X80" s="33"/>
      <c r="Y80" s="32"/>
      <c r="Z80" s="25"/>
      <c r="AA80" s="27"/>
      <c r="AB80" s="28"/>
      <c r="AC80" s="27"/>
      <c r="AD80" s="27"/>
      <c r="AE80" s="33"/>
      <c r="AF80" s="32"/>
      <c r="AG80" s="90"/>
      <c r="AH80" s="91"/>
      <c r="AI80" s="27"/>
      <c r="AJ80" s="27"/>
      <c r="AK80" s="28"/>
      <c r="AL80" s="27"/>
      <c r="AM80" s="27"/>
      <c r="AN80" s="27">
        <v>0.1</v>
      </c>
      <c r="AO80" s="27">
        <v>0.1</v>
      </c>
      <c r="AP80" s="36">
        <v>0.1</v>
      </c>
      <c r="AQ80" s="37"/>
      <c r="AS80" s="25" t="s">
        <v>96</v>
      </c>
      <c r="AT80" s="27" t="s">
        <v>87</v>
      </c>
      <c r="AU80" s="27"/>
      <c r="AW80" s="25" t="s">
        <v>90</v>
      </c>
      <c r="AX80" s="27" t="s">
        <v>95</v>
      </c>
      <c r="AY80" s="27"/>
      <c r="AZ80" s="32"/>
      <c r="BA80" s="41">
        <v>0</v>
      </c>
    </row>
    <row r="81" spans="1:53" x14ac:dyDescent="0.2">
      <c r="A81" s="25">
        <v>74</v>
      </c>
      <c r="B81" s="26">
        <v>45084</v>
      </c>
      <c r="C81" s="27" t="s">
        <v>117</v>
      </c>
      <c r="D81" s="25"/>
      <c r="E81" s="28"/>
      <c r="F81" s="27"/>
      <c r="G81" s="28"/>
      <c r="H81" s="27"/>
      <c r="I81" s="28"/>
      <c r="J81" s="27">
        <v>2</v>
      </c>
      <c r="K81" s="29" t="s">
        <v>35</v>
      </c>
      <c r="L81" s="39"/>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v>0.1</v>
      </c>
      <c r="AO81" s="27">
        <v>0.1</v>
      </c>
      <c r="AP81" s="36">
        <v>0.1</v>
      </c>
      <c r="AQ81" s="37"/>
      <c r="AS81" s="25" t="s">
        <v>96</v>
      </c>
      <c r="AT81" s="27" t="s">
        <v>87</v>
      </c>
      <c r="AU81" s="27"/>
      <c r="AW81" s="25" t="s">
        <v>90</v>
      </c>
      <c r="AX81" s="27" t="s">
        <v>95</v>
      </c>
      <c r="AY81" s="27"/>
      <c r="AZ81" s="32"/>
      <c r="BA81" s="41">
        <v>0</v>
      </c>
    </row>
    <row r="82" spans="1:53" x14ac:dyDescent="0.2">
      <c r="A82" s="25">
        <v>75</v>
      </c>
      <c r="B82" s="26">
        <v>45085</v>
      </c>
      <c r="C82" s="27" t="s">
        <v>117</v>
      </c>
      <c r="D82" s="25"/>
      <c r="E82" s="28"/>
      <c r="F82" s="27"/>
      <c r="G82" s="28"/>
      <c r="H82" s="27"/>
      <c r="I82" s="28"/>
      <c r="J82" s="27">
        <v>2</v>
      </c>
      <c r="K82" s="29" t="s">
        <v>35</v>
      </c>
      <c r="L82" s="39" t="s">
        <v>190</v>
      </c>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v>0.1</v>
      </c>
      <c r="AO82" s="27">
        <v>0.1</v>
      </c>
      <c r="AP82" s="36">
        <v>0.1</v>
      </c>
      <c r="AQ82" s="37"/>
      <c r="AR82" s="32"/>
      <c r="AS82" s="25" t="s">
        <v>96</v>
      </c>
      <c r="AT82" s="27" t="s">
        <v>87</v>
      </c>
      <c r="AU82" s="27"/>
      <c r="AW82" s="25" t="s">
        <v>90</v>
      </c>
      <c r="AX82" s="27" t="s">
        <v>95</v>
      </c>
      <c r="AY82" s="27"/>
      <c r="AZ82" s="32"/>
      <c r="BA82" s="41">
        <v>0</v>
      </c>
    </row>
    <row r="83" spans="1:53" x14ac:dyDescent="0.2">
      <c r="A83" s="25">
        <v>76</v>
      </c>
      <c r="B83" s="26">
        <v>45086</v>
      </c>
      <c r="C83" s="27" t="s">
        <v>186</v>
      </c>
      <c r="D83" s="25"/>
      <c r="E83" s="28"/>
      <c r="F83" s="27"/>
      <c r="G83" s="28"/>
      <c r="H83" s="27"/>
      <c r="I83" s="28"/>
      <c r="J83" s="27">
        <v>2</v>
      </c>
      <c r="K83" s="29" t="s">
        <v>35</v>
      </c>
      <c r="L83" s="39"/>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v>0.1</v>
      </c>
      <c r="AO83" s="27">
        <v>0.1</v>
      </c>
      <c r="AP83" s="36">
        <v>0.1</v>
      </c>
      <c r="AQ83" s="37"/>
      <c r="AR83" s="32"/>
      <c r="AS83" s="25" t="s">
        <v>96</v>
      </c>
      <c r="AT83" s="27" t="s">
        <v>87</v>
      </c>
      <c r="AU83" s="27"/>
      <c r="AW83" s="25" t="s">
        <v>90</v>
      </c>
      <c r="AX83" s="27" t="s">
        <v>95</v>
      </c>
      <c r="AY83" s="27"/>
      <c r="AZ83" s="32"/>
      <c r="BA83" s="41">
        <v>0</v>
      </c>
    </row>
    <row r="84" spans="1:53" x14ac:dyDescent="0.2">
      <c r="A84" s="25">
        <v>77</v>
      </c>
      <c r="B84" s="26">
        <v>45087</v>
      </c>
      <c r="C84" s="27" t="s">
        <v>186</v>
      </c>
      <c r="D84" s="25"/>
      <c r="E84" s="28"/>
      <c r="F84" s="27"/>
      <c r="G84" s="28"/>
      <c r="H84" s="27"/>
      <c r="I84" s="28"/>
      <c r="J84" s="27">
        <v>2</v>
      </c>
      <c r="K84" s="29" t="s">
        <v>35</v>
      </c>
      <c r="L84" s="39"/>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v>0.1</v>
      </c>
      <c r="AO84" s="27">
        <v>0.1</v>
      </c>
      <c r="AP84" s="36">
        <v>0.1</v>
      </c>
      <c r="AQ84" s="37"/>
      <c r="AR84" s="32"/>
      <c r="AS84" s="25" t="s">
        <v>96</v>
      </c>
      <c r="AT84" s="27" t="s">
        <v>87</v>
      </c>
      <c r="AU84" s="27"/>
      <c r="AW84" s="25" t="s">
        <v>90</v>
      </c>
      <c r="AX84" s="27" t="s">
        <v>95</v>
      </c>
      <c r="AY84" s="27"/>
      <c r="AZ84" s="32"/>
      <c r="BA84" s="41">
        <v>0</v>
      </c>
    </row>
    <row r="85" spans="1:53" x14ac:dyDescent="0.2">
      <c r="A85" s="25">
        <v>78</v>
      </c>
      <c r="B85" s="26">
        <v>45088</v>
      </c>
      <c r="C85" s="27" t="s">
        <v>186</v>
      </c>
      <c r="D85" s="25"/>
      <c r="E85" s="28"/>
      <c r="F85" s="27"/>
      <c r="G85" s="28"/>
      <c r="H85" s="27"/>
      <c r="I85" s="28"/>
      <c r="J85" s="27">
        <v>2</v>
      </c>
      <c r="K85" s="29" t="s">
        <v>35</v>
      </c>
      <c r="L85" s="39"/>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v>0.1</v>
      </c>
      <c r="AO85" s="27">
        <v>0.1</v>
      </c>
      <c r="AP85" s="36">
        <v>0.1</v>
      </c>
      <c r="AQ85" s="37"/>
      <c r="AR85" s="32"/>
      <c r="AS85" s="25" t="s">
        <v>96</v>
      </c>
      <c r="AT85" s="27" t="s">
        <v>87</v>
      </c>
      <c r="AU85" s="27"/>
      <c r="AW85" s="25" t="s">
        <v>90</v>
      </c>
      <c r="AX85" s="27" t="s">
        <v>95</v>
      </c>
      <c r="AY85" s="27"/>
      <c r="AZ85" s="32"/>
      <c r="BA85" s="41">
        <v>0</v>
      </c>
    </row>
    <row r="86" spans="1:53" x14ac:dyDescent="0.2">
      <c r="A86" s="25">
        <v>79</v>
      </c>
      <c r="B86" s="26">
        <v>45089</v>
      </c>
      <c r="C86" s="27"/>
      <c r="D86" s="25"/>
      <c r="E86" s="28"/>
      <c r="F86" s="27"/>
      <c r="G86" s="28"/>
      <c r="H86" s="27"/>
      <c r="I86" s="28"/>
      <c r="J86" s="27">
        <v>2</v>
      </c>
      <c r="K86" s="29" t="s">
        <v>35</v>
      </c>
      <c r="L86" s="39"/>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v>0.1</v>
      </c>
      <c r="AO86" s="27">
        <v>0.1</v>
      </c>
      <c r="AP86" s="36">
        <v>0.1</v>
      </c>
      <c r="AQ86" s="37"/>
      <c r="AR86" s="32"/>
      <c r="AS86" s="25" t="s">
        <v>96</v>
      </c>
      <c r="AT86" s="27" t="s">
        <v>87</v>
      </c>
      <c r="AU86" s="27"/>
      <c r="AW86" s="25" t="s">
        <v>90</v>
      </c>
      <c r="AX86" s="27" t="s">
        <v>95</v>
      </c>
      <c r="AY86" s="27"/>
      <c r="AZ86" s="32"/>
      <c r="BA86" s="41">
        <v>0</v>
      </c>
    </row>
    <row r="87" spans="1:53" x14ac:dyDescent="0.2">
      <c r="A87" s="25">
        <v>80</v>
      </c>
      <c r="B87" s="26">
        <v>45090</v>
      </c>
      <c r="C87" s="27" t="s">
        <v>186</v>
      </c>
      <c r="D87" s="25"/>
      <c r="E87" s="28"/>
      <c r="F87" s="27"/>
      <c r="G87" s="28"/>
      <c r="H87" s="27"/>
      <c r="I87" s="28"/>
      <c r="J87" s="27">
        <v>2</v>
      </c>
      <c r="K87" s="29" t="s">
        <v>35</v>
      </c>
      <c r="L87" s="39"/>
      <c r="M87" s="31"/>
      <c r="N87" s="27"/>
      <c r="P87" s="32"/>
      <c r="Q87" s="25"/>
      <c r="R87" s="27"/>
      <c r="S87" s="27"/>
      <c r="T87" s="28"/>
      <c r="U87" s="27"/>
      <c r="V87" s="27"/>
      <c r="W87" s="28"/>
      <c r="X87" s="33"/>
      <c r="Y87" s="32"/>
      <c r="Z87" s="25"/>
      <c r="AA87" s="27"/>
      <c r="AB87" s="28"/>
      <c r="AC87" s="27"/>
      <c r="AD87" s="27"/>
      <c r="AE87" s="33"/>
      <c r="AF87" s="32"/>
      <c r="AG87" s="90">
        <v>0.05</v>
      </c>
      <c r="AH87" s="91">
        <v>0.05</v>
      </c>
      <c r="AI87" s="27"/>
      <c r="AJ87" s="27"/>
      <c r="AK87" s="28"/>
      <c r="AL87" s="27"/>
      <c r="AM87" s="27"/>
      <c r="AN87" s="27">
        <v>0.1</v>
      </c>
      <c r="AO87" s="27">
        <v>0.1</v>
      </c>
      <c r="AP87" s="36">
        <v>0.1</v>
      </c>
      <c r="AQ87" s="37"/>
      <c r="AR87" s="32"/>
      <c r="AS87" s="25" t="s">
        <v>96</v>
      </c>
      <c r="AT87" s="27" t="s">
        <v>87</v>
      </c>
      <c r="AU87" s="27"/>
      <c r="AW87" s="25" t="s">
        <v>90</v>
      </c>
      <c r="AX87" s="27" t="s">
        <v>95</v>
      </c>
      <c r="AY87" s="27"/>
      <c r="AZ87" s="32"/>
      <c r="BA87" s="41">
        <v>1</v>
      </c>
    </row>
    <row r="88" spans="1:53" x14ac:dyDescent="0.2">
      <c r="A88" s="25">
        <v>81</v>
      </c>
      <c r="B88" s="26">
        <v>45091</v>
      </c>
      <c r="C88" s="27" t="s">
        <v>186</v>
      </c>
      <c r="D88" s="25"/>
      <c r="E88" s="28"/>
      <c r="F88" s="27"/>
      <c r="G88" s="28"/>
      <c r="H88" s="27"/>
      <c r="I88" s="28"/>
      <c r="J88" s="27">
        <v>2</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v>0.1</v>
      </c>
      <c r="AO88" s="27">
        <v>0.1</v>
      </c>
      <c r="AP88" s="36">
        <v>0.1</v>
      </c>
      <c r="AQ88" s="37"/>
      <c r="AR88" s="32"/>
      <c r="AS88" s="25" t="s">
        <v>96</v>
      </c>
      <c r="AT88" s="27" t="s">
        <v>87</v>
      </c>
      <c r="AU88" s="27" t="s">
        <v>187</v>
      </c>
      <c r="AW88" s="25" t="s">
        <v>90</v>
      </c>
      <c r="AX88" s="27" t="s">
        <v>95</v>
      </c>
      <c r="AY88" s="27"/>
      <c r="AZ88" s="32"/>
      <c r="BA88" s="41">
        <v>0</v>
      </c>
    </row>
    <row r="89" spans="1:53" x14ac:dyDescent="0.2">
      <c r="A89" s="25">
        <v>82</v>
      </c>
      <c r="B89" s="26">
        <v>45092</v>
      </c>
      <c r="C89" s="27" t="s">
        <v>186</v>
      </c>
      <c r="D89" s="25"/>
      <c r="E89" s="28"/>
      <c r="F89" s="27"/>
      <c r="G89" s="28"/>
      <c r="H89" s="27"/>
      <c r="I89" s="28"/>
      <c r="J89" s="27">
        <v>2</v>
      </c>
      <c r="K89" s="29" t="s">
        <v>35</v>
      </c>
      <c r="L89" s="39"/>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v>0.1</v>
      </c>
      <c r="AO89" s="27">
        <v>0.1</v>
      </c>
      <c r="AP89" s="36">
        <v>0.1</v>
      </c>
      <c r="AQ89" s="37"/>
      <c r="AR89" s="32"/>
      <c r="AS89" s="25" t="s">
        <v>96</v>
      </c>
      <c r="AT89" s="27" t="s">
        <v>87</v>
      </c>
      <c r="AU89" s="27"/>
      <c r="AW89" s="25" t="s">
        <v>90</v>
      </c>
      <c r="AX89" s="27" t="s">
        <v>95</v>
      </c>
      <c r="AY89" s="27"/>
      <c r="AZ89" s="32"/>
      <c r="BA89" s="41">
        <v>3</v>
      </c>
    </row>
    <row r="90" spans="1:53" x14ac:dyDescent="0.2">
      <c r="A90" s="25">
        <v>83</v>
      </c>
      <c r="B90" s="26">
        <v>45093</v>
      </c>
      <c r="C90" s="27" t="s">
        <v>117</v>
      </c>
      <c r="D90" s="25"/>
      <c r="E90" s="28"/>
      <c r="F90" s="27"/>
      <c r="G90" s="28"/>
      <c r="H90" s="27"/>
      <c r="I90" s="28"/>
      <c r="J90" s="27">
        <v>2</v>
      </c>
      <c r="K90" s="29" t="s">
        <v>35</v>
      </c>
      <c r="L90" s="39"/>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v>0.1</v>
      </c>
      <c r="AO90" s="27">
        <v>0.1</v>
      </c>
      <c r="AP90" s="36">
        <v>0.1</v>
      </c>
      <c r="AQ90" s="37"/>
      <c r="AR90" s="32"/>
      <c r="AS90" s="25" t="s">
        <v>96</v>
      </c>
      <c r="AT90" s="27" t="s">
        <v>87</v>
      </c>
      <c r="AU90" s="27"/>
      <c r="AW90" s="25" t="s">
        <v>90</v>
      </c>
      <c r="AX90" s="27" t="s">
        <v>95</v>
      </c>
      <c r="AY90" s="27"/>
      <c r="AZ90" s="32"/>
      <c r="BA90" s="41">
        <v>0</v>
      </c>
    </row>
    <row r="91" spans="1:53" x14ac:dyDescent="0.2">
      <c r="A91" s="25">
        <v>84</v>
      </c>
      <c r="B91" s="26">
        <v>45094</v>
      </c>
      <c r="C91" s="27" t="s">
        <v>117</v>
      </c>
      <c r="D91" s="25"/>
      <c r="E91" s="28"/>
      <c r="F91" s="27"/>
      <c r="G91" s="28"/>
      <c r="H91" s="27"/>
      <c r="I91" s="28"/>
      <c r="J91" s="27">
        <v>2</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v>0.1</v>
      </c>
      <c r="AO91" s="27">
        <v>0.1</v>
      </c>
      <c r="AP91" s="36">
        <v>0.1</v>
      </c>
      <c r="AQ91" s="37"/>
      <c r="AR91" s="32"/>
      <c r="AS91" s="25" t="s">
        <v>96</v>
      </c>
      <c r="AT91" s="27" t="s">
        <v>87</v>
      </c>
      <c r="AU91" s="27"/>
      <c r="AW91" s="25" t="s">
        <v>90</v>
      </c>
      <c r="AX91" s="27" t="s">
        <v>95</v>
      </c>
      <c r="AY91" s="27"/>
      <c r="AZ91" s="32"/>
      <c r="BA91" s="41">
        <v>0</v>
      </c>
    </row>
    <row r="92" spans="1:53" x14ac:dyDescent="0.2">
      <c r="A92" s="25">
        <v>85</v>
      </c>
      <c r="B92" s="26">
        <v>45095</v>
      </c>
      <c r="C92" s="27"/>
      <c r="D92" s="25"/>
      <c r="E92" s="28"/>
      <c r="F92" s="27"/>
      <c r="G92" s="28"/>
      <c r="H92" s="27"/>
      <c r="I92" s="28"/>
      <c r="J92" s="27">
        <v>2</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v>0.1</v>
      </c>
      <c r="AO92" s="27">
        <v>0.1</v>
      </c>
      <c r="AP92" s="36">
        <v>0.1</v>
      </c>
      <c r="AQ92" s="37"/>
      <c r="AR92" s="32"/>
      <c r="AS92" s="25" t="s">
        <v>96</v>
      </c>
      <c r="AT92" s="27" t="s">
        <v>87</v>
      </c>
      <c r="AU92" s="27"/>
      <c r="AW92" s="25" t="s">
        <v>90</v>
      </c>
      <c r="AX92" s="27" t="s">
        <v>95</v>
      </c>
      <c r="AY92" s="27"/>
      <c r="AZ92" s="32"/>
      <c r="BA92" s="41">
        <v>0</v>
      </c>
    </row>
    <row r="93" spans="1:53" x14ac:dyDescent="0.2">
      <c r="A93" s="25">
        <v>86</v>
      </c>
      <c r="B93" s="26">
        <v>45096</v>
      </c>
      <c r="C93" s="27" t="s">
        <v>117</v>
      </c>
      <c r="D93" s="25"/>
      <c r="E93" s="28"/>
      <c r="F93" s="27"/>
      <c r="G93" s="28"/>
      <c r="H93" s="27"/>
      <c r="I93" s="28"/>
      <c r="J93" s="27">
        <v>2</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v>0.1</v>
      </c>
      <c r="AO93" s="27">
        <v>0.1</v>
      </c>
      <c r="AP93" s="36">
        <v>0.1</v>
      </c>
      <c r="AQ93" s="37"/>
      <c r="AR93" s="32"/>
      <c r="AS93" s="25" t="s">
        <v>96</v>
      </c>
      <c r="AT93" s="27" t="s">
        <v>87</v>
      </c>
      <c r="AU93" s="27"/>
      <c r="AW93" s="25" t="s">
        <v>90</v>
      </c>
      <c r="AX93" s="27" t="s">
        <v>95</v>
      </c>
      <c r="AY93" s="27"/>
      <c r="AZ93" s="32"/>
      <c r="BA93" s="41">
        <v>1</v>
      </c>
    </row>
    <row r="94" spans="1:53" x14ac:dyDescent="0.2">
      <c r="A94" s="25">
        <v>87</v>
      </c>
      <c r="B94" s="26">
        <v>45097</v>
      </c>
      <c r="C94" s="27" t="s">
        <v>117</v>
      </c>
      <c r="D94" s="25"/>
      <c r="E94" s="28"/>
      <c r="F94" s="27"/>
      <c r="G94" s="28"/>
      <c r="H94" s="27"/>
      <c r="I94" s="28"/>
      <c r="J94" s="27">
        <v>2</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v>0.1</v>
      </c>
      <c r="AO94" s="27">
        <v>0.1</v>
      </c>
      <c r="AP94" s="36">
        <v>0.1</v>
      </c>
      <c r="AQ94" s="37"/>
      <c r="AR94" s="32"/>
      <c r="AS94" s="25" t="s">
        <v>96</v>
      </c>
      <c r="AT94" s="27" t="s">
        <v>87</v>
      </c>
      <c r="AU94" s="27"/>
      <c r="AW94" s="25" t="s">
        <v>90</v>
      </c>
      <c r="AX94" s="27" t="s">
        <v>95</v>
      </c>
      <c r="AY94" s="27"/>
      <c r="AZ94" s="32"/>
      <c r="BA94" s="41">
        <v>0</v>
      </c>
    </row>
    <row r="95" spans="1:53" x14ac:dyDescent="0.2">
      <c r="A95" s="25">
        <v>88</v>
      </c>
      <c r="B95" s="26">
        <v>45098</v>
      </c>
      <c r="C95" s="27" t="s">
        <v>140</v>
      </c>
      <c r="D95" s="25"/>
      <c r="E95" s="28"/>
      <c r="F95" s="27"/>
      <c r="G95" s="28"/>
      <c r="H95" s="27"/>
      <c r="I95" s="28"/>
      <c r="J95" s="27">
        <v>2</v>
      </c>
      <c r="K95" s="29" t="s">
        <v>35</v>
      </c>
      <c r="L95" s="39" t="s">
        <v>191</v>
      </c>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t="s">
        <v>96</v>
      </c>
      <c r="AT95" s="27" t="s">
        <v>87</v>
      </c>
      <c r="AU95" s="27"/>
      <c r="AW95" s="25" t="s">
        <v>90</v>
      </c>
      <c r="AX95" s="27" t="s">
        <v>95</v>
      </c>
      <c r="AY95" s="27"/>
      <c r="AZ95" s="32"/>
      <c r="BA95" s="41">
        <v>0</v>
      </c>
    </row>
    <row r="96" spans="1:53" x14ac:dyDescent="0.2">
      <c r="A96" s="25">
        <v>89</v>
      </c>
      <c r="B96" s="26">
        <v>45099</v>
      </c>
      <c r="C96" s="27" t="s">
        <v>140</v>
      </c>
      <c r="D96" s="25"/>
      <c r="E96" s="28"/>
      <c r="F96" s="27"/>
      <c r="G96" s="28"/>
      <c r="H96" s="27"/>
      <c r="I96" s="28"/>
      <c r="J96" s="27">
        <v>2</v>
      </c>
      <c r="K96" s="29" t="s">
        <v>35</v>
      </c>
      <c r="L96" s="39" t="s">
        <v>194</v>
      </c>
      <c r="M96" s="31"/>
      <c r="N96" s="27"/>
      <c r="P96" s="32"/>
      <c r="Q96" s="25"/>
      <c r="R96" s="27"/>
      <c r="S96" s="27"/>
      <c r="T96" s="28"/>
      <c r="U96" s="27"/>
      <c r="V96" s="27"/>
      <c r="W96" s="28"/>
      <c r="X96" s="33"/>
      <c r="Y96" s="32"/>
      <c r="Z96" s="25"/>
      <c r="AA96" s="27"/>
      <c r="AB96" s="28"/>
      <c r="AC96" s="27"/>
      <c r="AD96" s="27"/>
      <c r="AE96" s="33"/>
      <c r="AF96" s="32"/>
      <c r="AG96" s="90">
        <v>0.05</v>
      </c>
      <c r="AH96" s="91">
        <v>0.05</v>
      </c>
      <c r="AI96" s="27"/>
      <c r="AJ96" s="27"/>
      <c r="AK96" s="28"/>
      <c r="AL96" s="27"/>
      <c r="AM96" s="27"/>
      <c r="AN96" s="27">
        <v>0.1</v>
      </c>
      <c r="AO96" s="27">
        <v>0.1</v>
      </c>
      <c r="AP96" s="36">
        <v>0.1</v>
      </c>
      <c r="AQ96" s="37"/>
      <c r="AR96" s="32"/>
      <c r="AS96" s="25" t="s">
        <v>96</v>
      </c>
      <c r="AT96" s="27" t="s">
        <v>87</v>
      </c>
      <c r="AU96" s="27"/>
      <c r="AW96" s="25" t="s">
        <v>90</v>
      </c>
      <c r="AX96" s="27" t="s">
        <v>95</v>
      </c>
      <c r="AY96" s="27"/>
      <c r="AZ96" s="32"/>
      <c r="BA96" s="41">
        <v>0</v>
      </c>
    </row>
    <row r="97" spans="1:53" x14ac:dyDescent="0.2">
      <c r="A97" s="25">
        <v>90</v>
      </c>
      <c r="B97" s="26">
        <v>45100</v>
      </c>
      <c r="C97" s="27" t="s">
        <v>140</v>
      </c>
      <c r="D97" s="25"/>
      <c r="E97" s="28"/>
      <c r="F97" s="27"/>
      <c r="G97" s="28"/>
      <c r="H97" s="27"/>
      <c r="I97" s="28"/>
      <c r="J97" s="27">
        <v>2</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t="s">
        <v>96</v>
      </c>
      <c r="AT97" s="27" t="s">
        <v>87</v>
      </c>
      <c r="AU97" s="27"/>
      <c r="AW97" s="25" t="s">
        <v>90</v>
      </c>
      <c r="AX97" s="27" t="s">
        <v>95</v>
      </c>
      <c r="AY97" s="27"/>
      <c r="AZ97" s="32"/>
      <c r="BA97" s="41"/>
    </row>
    <row r="98" spans="1:53" x14ac:dyDescent="0.2">
      <c r="A98" s="25">
        <v>91</v>
      </c>
      <c r="B98" s="26">
        <v>45101</v>
      </c>
      <c r="C98" s="27"/>
      <c r="AS98" s="25" t="s">
        <v>96</v>
      </c>
      <c r="AT98" s="27" t="s">
        <v>87</v>
      </c>
      <c r="AU98" s="27"/>
      <c r="AW98" s="25" t="s">
        <v>90</v>
      </c>
      <c r="AX98" s="27" t="s">
        <v>95</v>
      </c>
    </row>
    <row r="99" spans="1:53" x14ac:dyDescent="0.2">
      <c r="A99" s="25">
        <v>92</v>
      </c>
      <c r="B99" s="26">
        <v>45102</v>
      </c>
      <c r="C99" s="27"/>
      <c r="AS99" s="25" t="s">
        <v>96</v>
      </c>
      <c r="AT99" s="27" t="s">
        <v>87</v>
      </c>
      <c r="AU99" s="27"/>
      <c r="AW99" s="25" t="s">
        <v>90</v>
      </c>
      <c r="AX99" s="27" t="s">
        <v>95</v>
      </c>
    </row>
    <row r="100" spans="1:53" x14ac:dyDescent="0.2">
      <c r="A100" s="25">
        <v>93</v>
      </c>
      <c r="B100" s="26">
        <v>45103</v>
      </c>
      <c r="C100" s="27" t="s">
        <v>140</v>
      </c>
      <c r="AS100" s="25" t="s">
        <v>96</v>
      </c>
      <c r="AT100" s="27" t="s">
        <v>87</v>
      </c>
      <c r="AU100" s="27"/>
      <c r="AW100" s="25" t="s">
        <v>90</v>
      </c>
      <c r="AX100" s="27" t="s">
        <v>95</v>
      </c>
    </row>
    <row r="101" spans="1:53" x14ac:dyDescent="0.2">
      <c r="A101" s="25">
        <v>94</v>
      </c>
      <c r="B101" s="26">
        <v>45104</v>
      </c>
      <c r="C101" s="27" t="s">
        <v>140</v>
      </c>
      <c r="AS101" s="25" t="s">
        <v>96</v>
      </c>
      <c r="AT101" s="27" t="s">
        <v>87</v>
      </c>
      <c r="AU101" s="27"/>
      <c r="AW101" s="25" t="s">
        <v>90</v>
      </c>
      <c r="AX101" s="27" t="s">
        <v>95</v>
      </c>
    </row>
    <row r="102" spans="1:53" x14ac:dyDescent="0.2">
      <c r="A102" s="25">
        <v>95</v>
      </c>
      <c r="B102" s="26">
        <v>45105</v>
      </c>
      <c r="C102" s="27" t="s">
        <v>140</v>
      </c>
      <c r="AS102" s="25" t="s">
        <v>96</v>
      </c>
      <c r="AT102" s="27" t="s">
        <v>87</v>
      </c>
      <c r="AU102" s="27"/>
      <c r="AW102" s="25" t="s">
        <v>90</v>
      </c>
      <c r="AX102" s="27" t="s">
        <v>95</v>
      </c>
    </row>
    <row r="103" spans="1:53" x14ac:dyDescent="0.2">
      <c r="A103" s="25">
        <v>96</v>
      </c>
      <c r="B103" s="26">
        <v>45106</v>
      </c>
      <c r="C103" s="27" t="s">
        <v>186</v>
      </c>
      <c r="AN103">
        <v>0.1</v>
      </c>
      <c r="AO103">
        <v>0.1</v>
      </c>
      <c r="AP103">
        <v>0.1</v>
      </c>
      <c r="AS103" s="25" t="s">
        <v>96</v>
      </c>
      <c r="AT103" s="27" t="s">
        <v>87</v>
      </c>
      <c r="AU103" s="27"/>
      <c r="AW103" s="25" t="s">
        <v>90</v>
      </c>
      <c r="AX103" s="27" t="s">
        <v>95</v>
      </c>
      <c r="BA103">
        <v>0</v>
      </c>
    </row>
    <row r="104" spans="1:53" x14ac:dyDescent="0.2">
      <c r="A104" s="25">
        <v>97</v>
      </c>
      <c r="B104" s="26">
        <v>45107</v>
      </c>
      <c r="C104" s="27" t="s">
        <v>117</v>
      </c>
      <c r="AN104">
        <v>0.1</v>
      </c>
      <c r="AO104">
        <v>0.1</v>
      </c>
      <c r="AP104">
        <v>0.1</v>
      </c>
      <c r="AS104" s="25" t="s">
        <v>96</v>
      </c>
      <c r="AT104" s="27" t="s">
        <v>87</v>
      </c>
      <c r="AU104" s="27"/>
      <c r="AW104" s="25" t="s">
        <v>90</v>
      </c>
      <c r="AX104" s="27" t="s">
        <v>95</v>
      </c>
    </row>
    <row r="105" spans="1:53" x14ac:dyDescent="0.2">
      <c r="A105" s="25">
        <v>98</v>
      </c>
      <c r="B105" s="26">
        <v>45108</v>
      </c>
      <c r="C105" s="27" t="s">
        <v>186</v>
      </c>
      <c r="J105">
        <v>2</v>
      </c>
      <c r="K105" s="172">
        <v>0.5083333333333333</v>
      </c>
      <c r="AG105">
        <v>0.05</v>
      </c>
      <c r="AH105">
        <v>0.05</v>
      </c>
      <c r="AN105">
        <v>0.1</v>
      </c>
      <c r="AO105">
        <v>0.1</v>
      </c>
      <c r="AP105">
        <v>0.1</v>
      </c>
      <c r="AS105" s="25" t="s">
        <v>96</v>
      </c>
      <c r="AT105" s="27" t="s">
        <v>87</v>
      </c>
      <c r="AU105" s="27"/>
      <c r="AW105" s="25" t="s">
        <v>90</v>
      </c>
      <c r="AX105" s="27" t="s">
        <v>95</v>
      </c>
      <c r="BA105">
        <v>0</v>
      </c>
    </row>
    <row r="106" spans="1:53" x14ac:dyDescent="0.2">
      <c r="A106" s="25">
        <v>99</v>
      </c>
      <c r="B106" s="26">
        <v>45109</v>
      </c>
      <c r="AS106" s="25" t="s">
        <v>96</v>
      </c>
      <c r="AT106" s="27" t="s">
        <v>87</v>
      </c>
      <c r="AU106" s="27"/>
      <c r="AW106" s="25" t="s">
        <v>90</v>
      </c>
      <c r="AX106" s="27" t="s">
        <v>95</v>
      </c>
    </row>
    <row r="107" spans="1:53" x14ac:dyDescent="0.2">
      <c r="A107" s="25">
        <v>100</v>
      </c>
      <c r="B107" s="26">
        <v>45110</v>
      </c>
      <c r="C107" s="27" t="s">
        <v>117</v>
      </c>
      <c r="AN107">
        <v>0.1</v>
      </c>
      <c r="AO107">
        <v>0.1</v>
      </c>
      <c r="AP107">
        <v>0.1</v>
      </c>
      <c r="AS107" s="25" t="s">
        <v>96</v>
      </c>
      <c r="AT107" s="27" t="s">
        <v>87</v>
      </c>
      <c r="AU107" s="27"/>
      <c r="AW107" s="25" t="s">
        <v>90</v>
      </c>
      <c r="AX107" s="27" t="s">
        <v>95</v>
      </c>
    </row>
    <row r="108" spans="1:53" x14ac:dyDescent="0.2">
      <c r="A108" s="25">
        <v>101</v>
      </c>
      <c r="B108" s="26">
        <v>45111</v>
      </c>
      <c r="C108" s="27" t="s">
        <v>117</v>
      </c>
      <c r="AS108" s="25" t="s">
        <v>96</v>
      </c>
      <c r="AT108" s="27" t="s">
        <v>87</v>
      </c>
      <c r="AU108" s="27"/>
      <c r="AW108" s="25" t="s">
        <v>90</v>
      </c>
      <c r="AX108" s="27" t="s">
        <v>95</v>
      </c>
    </row>
    <row r="109" spans="1:53" x14ac:dyDescent="0.2">
      <c r="A109" s="25">
        <v>102</v>
      </c>
      <c r="B109" s="26">
        <v>45112</v>
      </c>
      <c r="C109" s="27" t="s">
        <v>117</v>
      </c>
      <c r="AS109" s="25" t="s">
        <v>96</v>
      </c>
      <c r="AT109" s="27" t="s">
        <v>87</v>
      </c>
      <c r="AU109" s="27"/>
      <c r="AW109" s="25" t="s">
        <v>90</v>
      </c>
      <c r="AX109" s="27" t="s">
        <v>95</v>
      </c>
    </row>
    <row r="110" spans="1:53" x14ac:dyDescent="0.2">
      <c r="A110" s="25">
        <v>103</v>
      </c>
      <c r="B110" s="26">
        <v>45113</v>
      </c>
      <c r="C110" s="27" t="s">
        <v>117</v>
      </c>
      <c r="AS110" s="25" t="s">
        <v>96</v>
      </c>
      <c r="AT110" s="27" t="s">
        <v>87</v>
      </c>
      <c r="AU110" s="27"/>
      <c r="AW110" s="25" t="s">
        <v>90</v>
      </c>
      <c r="AX110" s="27" t="s">
        <v>95</v>
      </c>
    </row>
    <row r="111" spans="1:53" x14ac:dyDescent="0.2">
      <c r="A111" s="25">
        <v>104</v>
      </c>
      <c r="B111" s="26">
        <v>45114</v>
      </c>
      <c r="C111" s="27" t="s">
        <v>117</v>
      </c>
      <c r="AS111" s="25" t="s">
        <v>96</v>
      </c>
      <c r="AT111" s="27" t="s">
        <v>87</v>
      </c>
      <c r="AU111" s="27"/>
      <c r="AW111" s="25" t="s">
        <v>90</v>
      </c>
      <c r="AX111" s="27" t="s">
        <v>95</v>
      </c>
    </row>
    <row r="112" spans="1:53" x14ac:dyDescent="0.2">
      <c r="A112" s="25">
        <v>105</v>
      </c>
      <c r="B112" s="26">
        <v>45115</v>
      </c>
      <c r="C112" s="27" t="s">
        <v>186</v>
      </c>
      <c r="AS112" s="25" t="s">
        <v>96</v>
      </c>
      <c r="AT112" s="27" t="s">
        <v>87</v>
      </c>
      <c r="AU112" s="27"/>
      <c r="AW112" s="25" t="s">
        <v>90</v>
      </c>
      <c r="AX112" s="27" t="s">
        <v>95</v>
      </c>
    </row>
    <row r="113" spans="1:42" x14ac:dyDescent="0.2">
      <c r="A113" s="25">
        <v>106</v>
      </c>
      <c r="B113" s="26">
        <v>45116</v>
      </c>
    </row>
    <row r="114" spans="1:42" x14ac:dyDescent="0.2">
      <c r="A114" s="25">
        <v>107</v>
      </c>
      <c r="B114" s="26">
        <v>45117</v>
      </c>
      <c r="C114" s="27" t="s">
        <v>117</v>
      </c>
      <c r="AN114">
        <v>0.1</v>
      </c>
      <c r="AO114">
        <v>0.1</v>
      </c>
      <c r="AP114">
        <v>0.1</v>
      </c>
    </row>
    <row r="115" spans="1:42" x14ac:dyDescent="0.2">
      <c r="A115" s="25">
        <v>108</v>
      </c>
      <c r="B115" s="26">
        <v>45118</v>
      </c>
      <c r="C115" s="27" t="s">
        <v>117</v>
      </c>
    </row>
    <row r="116" spans="1:42" x14ac:dyDescent="0.2">
      <c r="A116" s="25">
        <v>109</v>
      </c>
      <c r="B116" s="26">
        <v>45119</v>
      </c>
      <c r="C116" s="27" t="s">
        <v>117</v>
      </c>
    </row>
    <row r="117" spans="1:42" x14ac:dyDescent="0.2">
      <c r="A117" s="25">
        <v>110</v>
      </c>
      <c r="B117" s="26">
        <v>45120</v>
      </c>
      <c r="C117" s="27" t="s">
        <v>117</v>
      </c>
    </row>
    <row r="118" spans="1:42" x14ac:dyDescent="0.2">
      <c r="A118" s="25">
        <v>111</v>
      </c>
      <c r="B118" s="26">
        <v>45121</v>
      </c>
      <c r="C118" s="27" t="s">
        <v>117</v>
      </c>
    </row>
    <row r="119" spans="1:42" s="125" customFormat="1" x14ac:dyDescent="0.2">
      <c r="A119" s="108">
        <v>112</v>
      </c>
      <c r="B119" s="109">
        <v>45122</v>
      </c>
      <c r="C119" s="112" t="s">
        <v>117</v>
      </c>
      <c r="J119" s="125" t="s">
        <v>196</v>
      </c>
    </row>
    <row r="120" spans="1:42" x14ac:dyDescent="0.2">
      <c r="A120" s="25">
        <v>113</v>
      </c>
      <c r="B120" s="26">
        <v>45123</v>
      </c>
      <c r="C120" s="27" t="s">
        <v>117</v>
      </c>
    </row>
    <row r="121" spans="1:42" x14ac:dyDescent="0.2">
      <c r="A121" s="25">
        <v>114</v>
      </c>
      <c r="B121" s="26">
        <v>45124</v>
      </c>
      <c r="C121" s="27" t="s">
        <v>117</v>
      </c>
    </row>
    <row r="122" spans="1:42" x14ac:dyDescent="0.2">
      <c r="A122" s="25">
        <v>115</v>
      </c>
      <c r="B122" s="26">
        <v>45125</v>
      </c>
      <c r="C122" s="27" t="s">
        <v>117</v>
      </c>
    </row>
  </sheetData>
  <mergeCells count="52">
    <mergeCell ref="X11:X18"/>
    <mergeCell ref="AV4:AV6"/>
    <mergeCell ref="AW4:AW6"/>
    <mergeCell ref="AG4:AG5"/>
    <mergeCell ref="X4:X6"/>
    <mergeCell ref="O27:O47"/>
    <mergeCell ref="AR4:AR6"/>
    <mergeCell ref="AS4:AS6"/>
    <mergeCell ref="AT4:AT6"/>
    <mergeCell ref="AU4:AU6"/>
    <mergeCell ref="AH4:AH6"/>
    <mergeCell ref="AI4:AK5"/>
    <mergeCell ref="AL4:AL6"/>
    <mergeCell ref="AM4:AM5"/>
    <mergeCell ref="AN4:AP5"/>
    <mergeCell ref="AQ4:AQ6"/>
    <mergeCell ref="Y4:Y6"/>
    <mergeCell ref="Z4:AB5"/>
    <mergeCell ref="AC4:AD5"/>
    <mergeCell ref="AE4:AE6"/>
    <mergeCell ref="AF4:AF6"/>
    <mergeCell ref="H4:I5"/>
    <mergeCell ref="J4:J6"/>
    <mergeCell ref="K4:K6"/>
    <mergeCell ref="L4:L6"/>
    <mergeCell ref="M4:M6"/>
    <mergeCell ref="N4:N6"/>
    <mergeCell ref="AS1:AV3"/>
    <mergeCell ref="AW1:AZ3"/>
    <mergeCell ref="BA1:BA3"/>
    <mergeCell ref="AG3:AK3"/>
    <mergeCell ref="AM3:AP3"/>
    <mergeCell ref="AG1:AP2"/>
    <mergeCell ref="O4:O6"/>
    <mergeCell ref="P4:P6"/>
    <mergeCell ref="Q4:Q6"/>
    <mergeCell ref="R4:T5"/>
    <mergeCell ref="U4:W5"/>
    <mergeCell ref="AX4:AX6"/>
    <mergeCell ref="AY4:AY6"/>
    <mergeCell ref="AZ4:AZ6"/>
    <mergeCell ref="BA4:BA6"/>
    <mergeCell ref="A4:A6"/>
    <mergeCell ref="B4:B6"/>
    <mergeCell ref="C4:C6"/>
    <mergeCell ref="D4:E5"/>
    <mergeCell ref="F4:G5"/>
    <mergeCell ref="A1:C3"/>
    <mergeCell ref="D1:M3"/>
    <mergeCell ref="N1:P3"/>
    <mergeCell ref="Q1:Y3"/>
    <mergeCell ref="Z1:AF3"/>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98"/>
  <sheetViews>
    <sheetView workbookViewId="0">
      <pane xSplit="1" topLeftCell="B1" activePane="topRight" state="frozen"/>
      <selection pane="topRight" activeCell="L33" sqref="L33"/>
    </sheetView>
  </sheetViews>
  <sheetFormatPr baseColWidth="10" defaultColWidth="8.83203125" defaultRowHeight="15" x14ac:dyDescent="0.2"/>
  <cols>
    <col min="1" max="1" width="21.33203125" bestFit="1" customWidth="1"/>
    <col min="2" max="2" width="23.1640625" bestFit="1" customWidth="1"/>
    <col min="3" max="3" width="14.1640625" customWidth="1"/>
    <col min="4" max="4" width="11.1640625"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3.1640625" bestFit="1"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ht="23" x14ac:dyDescent="0.2">
      <c r="A1" s="209" t="s">
        <v>0</v>
      </c>
      <c r="B1" s="210"/>
      <c r="C1" s="210"/>
      <c r="D1" s="215" t="s">
        <v>1</v>
      </c>
      <c r="E1" s="215"/>
      <c r="F1" s="215"/>
      <c r="G1" s="215"/>
      <c r="H1" s="215"/>
      <c r="I1" s="215"/>
      <c r="J1" s="215"/>
      <c r="K1" s="215"/>
      <c r="L1" s="215"/>
      <c r="M1" s="215"/>
      <c r="N1" s="218" t="s">
        <v>2</v>
      </c>
      <c r="O1" s="218"/>
      <c r="P1" s="219"/>
      <c r="Q1" s="224" t="s">
        <v>3</v>
      </c>
      <c r="R1" s="225"/>
      <c r="S1" s="225"/>
      <c r="T1" s="225"/>
      <c r="U1" s="225"/>
      <c r="V1" s="225"/>
      <c r="W1" s="225"/>
      <c r="X1" s="225"/>
      <c r="Y1" s="226"/>
      <c r="Z1" s="230" t="s">
        <v>4</v>
      </c>
      <c r="AA1" s="231"/>
      <c r="AB1" s="231"/>
      <c r="AC1" s="231"/>
      <c r="AD1" s="231"/>
      <c r="AE1" s="231"/>
      <c r="AF1" s="232"/>
      <c r="AG1" s="271" t="s">
        <v>5</v>
      </c>
      <c r="AH1" s="271"/>
      <c r="AI1" s="271"/>
      <c r="AJ1" s="271"/>
      <c r="AK1" s="271"/>
      <c r="AL1" s="271"/>
      <c r="AM1" s="271"/>
      <c r="AN1" s="271"/>
      <c r="AO1" s="271"/>
      <c r="AP1" s="271"/>
      <c r="AQ1" s="1"/>
      <c r="AR1" s="2"/>
      <c r="AS1" s="251" t="s">
        <v>6</v>
      </c>
      <c r="AT1" s="252"/>
      <c r="AU1" s="252"/>
      <c r="AV1" s="252"/>
      <c r="AW1" s="257" t="s">
        <v>7</v>
      </c>
      <c r="AX1" s="258"/>
      <c r="AY1" s="258"/>
      <c r="AZ1" s="259"/>
      <c r="BA1" s="266" t="s">
        <v>8</v>
      </c>
    </row>
    <row r="2" spans="1:53" ht="23" x14ac:dyDescent="0.2">
      <c r="A2" s="211"/>
      <c r="B2" s="212"/>
      <c r="C2" s="212"/>
      <c r="D2" s="216"/>
      <c r="E2" s="216"/>
      <c r="F2" s="216"/>
      <c r="G2" s="216"/>
      <c r="H2" s="216"/>
      <c r="I2" s="216"/>
      <c r="J2" s="216"/>
      <c r="K2" s="216"/>
      <c r="L2" s="216"/>
      <c r="M2" s="216"/>
      <c r="N2" s="220"/>
      <c r="O2" s="220"/>
      <c r="P2" s="221"/>
      <c r="Q2" s="227"/>
      <c r="R2" s="228"/>
      <c r="S2" s="228"/>
      <c r="T2" s="228"/>
      <c r="U2" s="228"/>
      <c r="V2" s="228"/>
      <c r="W2" s="228"/>
      <c r="X2" s="228"/>
      <c r="Y2" s="229"/>
      <c r="Z2" s="233"/>
      <c r="AA2" s="234"/>
      <c r="AB2" s="234"/>
      <c r="AC2" s="234"/>
      <c r="AD2" s="234"/>
      <c r="AE2" s="234"/>
      <c r="AF2" s="235"/>
      <c r="AG2" s="272"/>
      <c r="AH2" s="272"/>
      <c r="AI2" s="272"/>
      <c r="AJ2" s="272"/>
      <c r="AK2" s="272"/>
      <c r="AL2" s="272"/>
      <c r="AM2" s="272"/>
      <c r="AN2" s="272"/>
      <c r="AO2" s="272"/>
      <c r="AP2" s="272"/>
      <c r="AQ2" s="3"/>
      <c r="AR2" s="4"/>
      <c r="AS2" s="253"/>
      <c r="AT2" s="254"/>
      <c r="AU2" s="254"/>
      <c r="AV2" s="254"/>
      <c r="AW2" s="260"/>
      <c r="AX2" s="261"/>
      <c r="AY2" s="261"/>
      <c r="AZ2" s="262"/>
      <c r="BA2" s="267"/>
    </row>
    <row r="3" spans="1:53" ht="21" thickBot="1" x14ac:dyDescent="0.25">
      <c r="A3" s="213"/>
      <c r="B3" s="214"/>
      <c r="C3" s="214"/>
      <c r="D3" s="217"/>
      <c r="E3" s="217"/>
      <c r="F3" s="217"/>
      <c r="G3" s="217"/>
      <c r="H3" s="217"/>
      <c r="I3" s="217"/>
      <c r="J3" s="217"/>
      <c r="K3" s="217"/>
      <c r="L3" s="217"/>
      <c r="M3" s="217"/>
      <c r="N3" s="222"/>
      <c r="O3" s="222"/>
      <c r="P3" s="223"/>
      <c r="Q3" s="227"/>
      <c r="R3" s="228"/>
      <c r="S3" s="228"/>
      <c r="T3" s="228"/>
      <c r="U3" s="228"/>
      <c r="V3" s="228"/>
      <c r="W3" s="228"/>
      <c r="X3" s="228"/>
      <c r="Y3" s="229"/>
      <c r="Z3" s="233"/>
      <c r="AA3" s="234"/>
      <c r="AB3" s="234"/>
      <c r="AC3" s="234"/>
      <c r="AD3" s="234"/>
      <c r="AE3" s="234"/>
      <c r="AF3" s="235"/>
      <c r="AG3" s="269" t="s">
        <v>9</v>
      </c>
      <c r="AH3" s="269"/>
      <c r="AI3" s="269"/>
      <c r="AJ3" s="269"/>
      <c r="AK3" s="270"/>
      <c r="AL3" s="5"/>
      <c r="AM3" s="269" t="s">
        <v>10</v>
      </c>
      <c r="AN3" s="269"/>
      <c r="AO3" s="269"/>
      <c r="AP3" s="270"/>
      <c r="AQ3" s="6"/>
      <c r="AR3" s="7"/>
      <c r="AS3" s="255"/>
      <c r="AT3" s="256"/>
      <c r="AU3" s="256"/>
      <c r="AV3" s="256"/>
      <c r="AW3" s="263"/>
      <c r="AX3" s="264"/>
      <c r="AY3" s="264"/>
      <c r="AZ3" s="265"/>
      <c r="BA3" s="268"/>
    </row>
    <row r="4" spans="1:53" x14ac:dyDescent="0.2">
      <c r="A4" s="236" t="s">
        <v>11</v>
      </c>
      <c r="B4" s="239" t="s">
        <v>12</v>
      </c>
      <c r="C4" s="239" t="s">
        <v>13</v>
      </c>
      <c r="D4" s="242" t="s">
        <v>14</v>
      </c>
      <c r="E4" s="243"/>
      <c r="F4" s="246" t="s">
        <v>15</v>
      </c>
      <c r="G4" s="243"/>
      <c r="H4" s="292" t="s">
        <v>16</v>
      </c>
      <c r="I4" s="293"/>
      <c r="J4" s="296" t="s">
        <v>17</v>
      </c>
      <c r="K4" s="299" t="s">
        <v>18</v>
      </c>
      <c r="L4" s="292" t="s">
        <v>19</v>
      </c>
      <c r="M4" s="303" t="s">
        <v>20</v>
      </c>
      <c r="N4" s="248" t="s">
        <v>21</v>
      </c>
      <c r="O4" s="248" t="s">
        <v>19</v>
      </c>
      <c r="P4" s="248" t="s">
        <v>20</v>
      </c>
      <c r="Q4" s="273" t="s">
        <v>22</v>
      </c>
      <c r="R4" s="276" t="s">
        <v>23</v>
      </c>
      <c r="S4" s="276"/>
      <c r="T4" s="277"/>
      <c r="U4" s="280" t="s">
        <v>24</v>
      </c>
      <c r="V4" s="280"/>
      <c r="W4" s="281"/>
      <c r="X4" s="353" t="s">
        <v>19</v>
      </c>
      <c r="Y4" s="330" t="s">
        <v>20</v>
      </c>
      <c r="Z4" s="333" t="s">
        <v>23</v>
      </c>
      <c r="AA4" s="334"/>
      <c r="AB4" s="335"/>
      <c r="AC4" s="339" t="s">
        <v>24</v>
      </c>
      <c r="AD4" s="339"/>
      <c r="AE4" s="339" t="s">
        <v>19</v>
      </c>
      <c r="AF4" s="342" t="s">
        <v>20</v>
      </c>
      <c r="AG4" s="351" t="s">
        <v>25</v>
      </c>
      <c r="AH4" s="318" t="s">
        <v>26</v>
      </c>
      <c r="AI4" s="321" t="s">
        <v>24</v>
      </c>
      <c r="AJ4" s="321"/>
      <c r="AK4" s="321"/>
      <c r="AL4" s="323" t="s">
        <v>27</v>
      </c>
      <c r="AM4" s="325" t="s">
        <v>25</v>
      </c>
      <c r="AN4" s="321" t="s">
        <v>24</v>
      </c>
      <c r="AO4" s="321"/>
      <c r="AP4" s="309"/>
      <c r="AQ4" s="327" t="s">
        <v>19</v>
      </c>
      <c r="AR4" s="309" t="s">
        <v>20</v>
      </c>
      <c r="AS4" s="312" t="s">
        <v>28</v>
      </c>
      <c r="AT4" s="315" t="s">
        <v>29</v>
      </c>
      <c r="AU4" s="315" t="s">
        <v>19</v>
      </c>
      <c r="AV4" s="315" t="s">
        <v>20</v>
      </c>
      <c r="AW4" s="348" t="s">
        <v>30</v>
      </c>
      <c r="AX4" s="284" t="s">
        <v>29</v>
      </c>
      <c r="AY4" s="284" t="s">
        <v>19</v>
      </c>
      <c r="AZ4" s="287" t="s">
        <v>20</v>
      </c>
      <c r="BA4" s="290" t="s">
        <v>31</v>
      </c>
    </row>
    <row r="5" spans="1:53" x14ac:dyDescent="0.2">
      <c r="A5" s="237"/>
      <c r="B5" s="240"/>
      <c r="C5" s="240"/>
      <c r="D5" s="244"/>
      <c r="E5" s="245"/>
      <c r="F5" s="247"/>
      <c r="G5" s="245"/>
      <c r="H5" s="294"/>
      <c r="I5" s="295"/>
      <c r="J5" s="297"/>
      <c r="K5" s="300"/>
      <c r="L5" s="294"/>
      <c r="M5" s="304"/>
      <c r="N5" s="249"/>
      <c r="O5" s="249"/>
      <c r="P5" s="249"/>
      <c r="Q5" s="274"/>
      <c r="R5" s="278"/>
      <c r="S5" s="278"/>
      <c r="T5" s="279"/>
      <c r="U5" s="282"/>
      <c r="V5" s="282"/>
      <c r="W5" s="283"/>
      <c r="X5" s="354"/>
      <c r="Y5" s="331"/>
      <c r="Z5" s="336"/>
      <c r="AA5" s="337"/>
      <c r="AB5" s="338"/>
      <c r="AC5" s="340"/>
      <c r="AD5" s="340"/>
      <c r="AE5" s="340"/>
      <c r="AF5" s="343"/>
      <c r="AG5" s="352"/>
      <c r="AH5" s="319"/>
      <c r="AI5" s="322"/>
      <c r="AJ5" s="322"/>
      <c r="AK5" s="322"/>
      <c r="AL5" s="324"/>
      <c r="AM5" s="326"/>
      <c r="AN5" s="322"/>
      <c r="AO5" s="322"/>
      <c r="AP5" s="310"/>
      <c r="AQ5" s="328"/>
      <c r="AR5" s="310"/>
      <c r="AS5" s="313"/>
      <c r="AT5" s="316"/>
      <c r="AU5" s="316"/>
      <c r="AV5" s="316"/>
      <c r="AW5" s="349"/>
      <c r="AX5" s="285"/>
      <c r="AY5" s="285"/>
      <c r="AZ5" s="288"/>
      <c r="BA5" s="290"/>
    </row>
    <row r="6" spans="1:53" ht="16" thickBot="1" x14ac:dyDescent="0.25">
      <c r="A6" s="238"/>
      <c r="B6" s="241"/>
      <c r="C6" s="241"/>
      <c r="D6" s="8" t="s">
        <v>32</v>
      </c>
      <c r="E6" s="9" t="s">
        <v>33</v>
      </c>
      <c r="F6" s="10" t="s">
        <v>32</v>
      </c>
      <c r="G6" s="9" t="s">
        <v>33</v>
      </c>
      <c r="H6" s="11" t="s">
        <v>32</v>
      </c>
      <c r="I6" s="12" t="s">
        <v>33</v>
      </c>
      <c r="J6" s="298"/>
      <c r="K6" s="301"/>
      <c r="L6" s="302"/>
      <c r="M6" s="305"/>
      <c r="N6" s="250"/>
      <c r="O6" s="250"/>
      <c r="P6" s="250"/>
      <c r="Q6" s="275"/>
      <c r="R6" s="13" t="s">
        <v>32</v>
      </c>
      <c r="S6" s="13" t="s">
        <v>34</v>
      </c>
      <c r="T6" s="14" t="s">
        <v>33</v>
      </c>
      <c r="U6" s="15" t="s">
        <v>32</v>
      </c>
      <c r="V6" s="15" t="s">
        <v>34</v>
      </c>
      <c r="W6" s="16" t="s">
        <v>33</v>
      </c>
      <c r="X6" s="355"/>
      <c r="Y6" s="332"/>
      <c r="Z6" s="17" t="s">
        <v>32</v>
      </c>
      <c r="AA6" s="18" t="s">
        <v>34</v>
      </c>
      <c r="AB6" s="19" t="s">
        <v>33</v>
      </c>
      <c r="AC6" s="20" t="s">
        <v>32</v>
      </c>
      <c r="AD6" s="20" t="s">
        <v>34</v>
      </c>
      <c r="AE6" s="341"/>
      <c r="AF6" s="344"/>
      <c r="AG6" s="21" t="s">
        <v>34</v>
      </c>
      <c r="AH6" s="320"/>
      <c r="AI6" s="22" t="s">
        <v>32</v>
      </c>
      <c r="AJ6" s="22" t="s">
        <v>34</v>
      </c>
      <c r="AK6" s="22" t="s">
        <v>33</v>
      </c>
      <c r="AL6" s="324"/>
      <c r="AM6" s="23" t="s">
        <v>33</v>
      </c>
      <c r="AN6" s="22" t="s">
        <v>32</v>
      </c>
      <c r="AO6" s="22" t="s">
        <v>34</v>
      </c>
      <c r="AP6" s="24" t="s">
        <v>33</v>
      </c>
      <c r="AQ6" s="329"/>
      <c r="AR6" s="311"/>
      <c r="AS6" s="314"/>
      <c r="AT6" s="317"/>
      <c r="AU6" s="317"/>
      <c r="AV6" s="317"/>
      <c r="AW6" s="350"/>
      <c r="AX6" s="286"/>
      <c r="AY6" s="286"/>
      <c r="AZ6" s="289"/>
      <c r="BA6" s="291"/>
    </row>
    <row r="7" spans="1:53" ht="16" thickBot="1" x14ac:dyDescent="0.25">
      <c r="A7" s="25">
        <v>0</v>
      </c>
      <c r="B7" s="26">
        <v>45099</v>
      </c>
      <c r="C7" s="27" t="s">
        <v>140</v>
      </c>
      <c r="D7" s="25"/>
      <c r="E7" s="28"/>
      <c r="F7" s="27"/>
      <c r="G7" s="28"/>
      <c r="H7" s="27"/>
      <c r="I7" s="28"/>
      <c r="J7" s="27">
        <v>0.8</v>
      </c>
      <c r="K7" s="29" t="s">
        <v>35</v>
      </c>
      <c r="L7" s="30" t="s">
        <v>36</v>
      </c>
      <c r="M7" s="31"/>
      <c r="N7" s="27"/>
      <c r="P7" s="32"/>
      <c r="Q7" s="25"/>
      <c r="R7" s="27"/>
      <c r="S7" s="27"/>
      <c r="T7" s="28"/>
      <c r="U7" s="27"/>
      <c r="V7" s="27"/>
      <c r="W7" s="28"/>
      <c r="X7" s="33"/>
      <c r="Y7" s="32"/>
      <c r="Z7" s="25"/>
      <c r="AA7" s="27"/>
      <c r="AB7" s="28"/>
      <c r="AC7" s="27"/>
      <c r="AD7" s="27"/>
      <c r="AE7" s="33"/>
      <c r="AG7" s="25"/>
      <c r="AH7" s="34"/>
      <c r="AI7" s="27"/>
      <c r="AJ7" s="27"/>
      <c r="AK7" s="27"/>
      <c r="AL7" s="25"/>
      <c r="AM7" s="35"/>
      <c r="AN7" s="27"/>
      <c r="AO7" s="27"/>
      <c r="AP7" s="36"/>
      <c r="AQ7" s="37"/>
      <c r="AR7" s="32"/>
      <c r="AS7" s="25"/>
      <c r="AT7" s="27"/>
      <c r="AU7" s="27"/>
      <c r="AW7" s="25"/>
      <c r="AX7" s="27"/>
      <c r="AY7" s="27"/>
      <c r="AZ7" s="32"/>
      <c r="BA7" s="38"/>
    </row>
    <row r="8" spans="1:53" ht="16" thickBot="1" x14ac:dyDescent="0.25">
      <c r="A8" s="25">
        <v>1</v>
      </c>
      <c r="B8" s="26">
        <v>45100</v>
      </c>
      <c r="C8" s="27"/>
      <c r="D8" s="25"/>
      <c r="E8" s="28"/>
      <c r="F8" s="27"/>
      <c r="G8" s="28"/>
      <c r="H8" s="27"/>
      <c r="I8" s="28"/>
      <c r="J8" s="27">
        <v>0.8</v>
      </c>
      <c r="K8" s="29" t="s">
        <v>35</v>
      </c>
      <c r="L8" s="39"/>
      <c r="M8" s="31"/>
      <c r="N8" s="27"/>
      <c r="P8" s="32"/>
      <c r="Q8" s="40"/>
      <c r="R8" s="27"/>
      <c r="S8" s="27"/>
      <c r="T8" s="28"/>
      <c r="U8" s="27"/>
      <c r="V8" s="27"/>
      <c r="W8" s="28"/>
      <c r="X8" s="33"/>
      <c r="Y8" s="32"/>
      <c r="Z8" s="25"/>
      <c r="AA8" s="27"/>
      <c r="AB8" s="28"/>
      <c r="AC8" s="27"/>
      <c r="AD8" s="27"/>
      <c r="AE8" s="33"/>
      <c r="AG8" s="25"/>
      <c r="AH8" s="34"/>
      <c r="AI8" s="27"/>
      <c r="AJ8" s="27"/>
      <c r="AK8" s="27"/>
      <c r="AL8" s="25"/>
      <c r="AM8" s="34"/>
      <c r="AN8" s="27"/>
      <c r="AO8" s="27"/>
      <c r="AP8" s="36"/>
      <c r="AQ8" s="37"/>
      <c r="AR8" s="32"/>
      <c r="AS8" s="25"/>
      <c r="AT8" s="27"/>
      <c r="AU8" s="27"/>
      <c r="AW8" s="25"/>
      <c r="AX8" s="27"/>
      <c r="AY8" s="27"/>
      <c r="AZ8" s="32"/>
      <c r="BA8" s="41"/>
    </row>
    <row r="9" spans="1:53" ht="16" thickBot="1" x14ac:dyDescent="0.25">
      <c r="A9" s="25">
        <v>2</v>
      </c>
      <c r="B9" s="26">
        <v>45101</v>
      </c>
      <c r="C9" s="27" t="s">
        <v>186</v>
      </c>
      <c r="D9" s="25"/>
      <c r="E9" s="28"/>
      <c r="F9" s="27"/>
      <c r="G9" s="28"/>
      <c r="H9" s="27"/>
      <c r="I9" s="28"/>
      <c r="J9" s="27">
        <v>0.8</v>
      </c>
      <c r="K9" s="29" t="s">
        <v>35</v>
      </c>
      <c r="L9" s="39"/>
      <c r="M9" s="31"/>
      <c r="N9" s="27"/>
      <c r="O9" s="42"/>
      <c r="Q9" s="43" t="s">
        <v>37</v>
      </c>
      <c r="R9" s="27"/>
      <c r="S9" s="27"/>
      <c r="T9" s="28"/>
      <c r="U9" s="27"/>
      <c r="V9" s="27"/>
      <c r="W9" s="28"/>
      <c r="X9" s="33"/>
      <c r="Y9" s="32"/>
      <c r="Z9" s="25"/>
      <c r="AA9" s="27"/>
      <c r="AB9" s="28"/>
      <c r="AC9" s="27"/>
      <c r="AD9" s="27"/>
      <c r="AE9" s="33"/>
      <c r="AG9" s="25"/>
      <c r="AH9" s="34"/>
      <c r="AI9" s="27"/>
      <c r="AJ9" s="27"/>
      <c r="AK9" s="27"/>
      <c r="AL9" s="25"/>
      <c r="AM9" s="34"/>
      <c r="AN9" s="27"/>
      <c r="AO9" s="27"/>
      <c r="AP9" s="36"/>
      <c r="AQ9" s="37"/>
      <c r="AR9" s="32"/>
      <c r="AS9" s="25"/>
      <c r="AT9" s="27"/>
      <c r="AU9" s="27"/>
      <c r="AW9" s="25"/>
      <c r="AX9" s="27"/>
      <c r="AY9" s="27"/>
      <c r="AZ9" s="32"/>
      <c r="BA9" s="41"/>
    </row>
    <row r="10" spans="1:53" ht="16" thickBot="1" x14ac:dyDescent="0.25">
      <c r="A10" s="25">
        <v>3</v>
      </c>
      <c r="B10" s="26">
        <v>45102</v>
      </c>
      <c r="C10" s="27" t="s">
        <v>117</v>
      </c>
      <c r="D10" s="25"/>
      <c r="E10" s="28"/>
      <c r="F10" s="27"/>
      <c r="G10" s="28"/>
      <c r="H10" s="27"/>
      <c r="I10" s="28"/>
      <c r="J10" s="27">
        <v>1.2</v>
      </c>
      <c r="K10" s="29" t="s">
        <v>35</v>
      </c>
      <c r="L10" s="44" t="s">
        <v>38</v>
      </c>
      <c r="M10" s="31" t="s">
        <v>39</v>
      </c>
      <c r="N10" s="27" t="s">
        <v>40</v>
      </c>
      <c r="O10" s="45" t="s">
        <v>41</v>
      </c>
      <c r="P10" s="46"/>
      <c r="Q10" s="25"/>
      <c r="R10" s="27"/>
      <c r="S10" s="27"/>
      <c r="T10" s="28"/>
      <c r="U10" s="27">
        <v>5</v>
      </c>
      <c r="V10" s="27"/>
      <c r="W10" s="28">
        <v>5</v>
      </c>
      <c r="X10" s="47" t="s">
        <v>43</v>
      </c>
      <c r="Y10" s="32" t="s">
        <v>44</v>
      </c>
      <c r="Z10" s="25"/>
      <c r="AA10" s="27"/>
      <c r="AB10" s="28"/>
      <c r="AC10" s="27">
        <v>5</v>
      </c>
      <c r="AD10" s="27"/>
      <c r="AE10" s="48" t="s">
        <v>45</v>
      </c>
      <c r="AG10" s="25"/>
      <c r="AH10" s="34"/>
      <c r="AI10" s="27"/>
      <c r="AJ10" s="27"/>
      <c r="AK10" s="27"/>
      <c r="AL10" s="25"/>
      <c r="AM10" s="34"/>
      <c r="AN10" s="27"/>
      <c r="AO10" s="27"/>
      <c r="AP10" s="36"/>
      <c r="AQ10" s="37"/>
      <c r="AR10" s="32"/>
      <c r="AS10" s="25"/>
      <c r="AT10" s="27"/>
      <c r="AU10" s="27"/>
      <c r="AW10" s="25"/>
      <c r="AX10" s="27"/>
      <c r="AY10" s="27"/>
      <c r="AZ10" s="32"/>
      <c r="BA10" s="41"/>
    </row>
    <row r="11" spans="1:53" x14ac:dyDescent="0.2">
      <c r="A11" s="25">
        <v>4</v>
      </c>
      <c r="B11" s="26">
        <v>45103</v>
      </c>
      <c r="C11" s="27" t="s">
        <v>117</v>
      </c>
      <c r="D11" s="25"/>
      <c r="E11" s="28"/>
      <c r="F11" s="27"/>
      <c r="G11" s="28"/>
      <c r="H11" s="27"/>
      <c r="I11" s="28"/>
      <c r="J11" s="27">
        <v>1.2</v>
      </c>
      <c r="K11" s="29" t="s">
        <v>35</v>
      </c>
      <c r="L11" s="39"/>
      <c r="M11" s="31"/>
      <c r="N11" s="27" t="s">
        <v>40</v>
      </c>
      <c r="O11" t="s">
        <v>46</v>
      </c>
      <c r="P11" s="32"/>
      <c r="Q11" s="25"/>
      <c r="R11" s="27"/>
      <c r="S11" s="27"/>
      <c r="T11" s="28"/>
      <c r="U11" s="27">
        <v>5</v>
      </c>
      <c r="V11" s="27"/>
      <c r="W11" s="28">
        <v>5</v>
      </c>
      <c r="X11" s="345" t="s">
        <v>47</v>
      </c>
      <c r="Y11" s="32"/>
      <c r="Z11" s="25"/>
      <c r="AA11" s="27"/>
      <c r="AB11" s="28"/>
      <c r="AC11" s="27">
        <v>5</v>
      </c>
      <c r="AD11" s="27"/>
      <c r="AE11" s="33"/>
      <c r="AG11" s="25"/>
      <c r="AH11" s="34"/>
      <c r="AI11" s="27"/>
      <c r="AJ11" s="27"/>
      <c r="AK11" s="27"/>
      <c r="AL11" s="25"/>
      <c r="AM11" s="34"/>
      <c r="AN11" s="27"/>
      <c r="AO11" s="27"/>
      <c r="AP11" s="36"/>
      <c r="AQ11" s="37"/>
      <c r="AR11" s="32"/>
      <c r="AS11" s="25"/>
      <c r="AT11" s="27"/>
      <c r="AU11" s="27"/>
      <c r="AW11" s="25"/>
      <c r="AX11" s="27"/>
      <c r="AY11" s="27"/>
      <c r="AZ11" s="32"/>
      <c r="BA11" s="41"/>
    </row>
    <row r="12" spans="1:53" s="171" customFormat="1" x14ac:dyDescent="0.2">
      <c r="A12" s="157">
        <v>5</v>
      </c>
      <c r="B12" s="158">
        <v>45104</v>
      </c>
      <c r="C12" s="159" t="s">
        <v>186</v>
      </c>
      <c r="D12" s="157" t="s">
        <v>195</v>
      </c>
      <c r="E12" s="160"/>
      <c r="F12" s="159"/>
      <c r="G12" s="160"/>
      <c r="H12" s="159"/>
      <c r="I12" s="160"/>
      <c r="J12" s="159">
        <v>1.2</v>
      </c>
      <c r="K12" s="161" t="s">
        <v>35</v>
      </c>
      <c r="L12" s="162"/>
      <c r="M12" s="163"/>
      <c r="N12" s="159" t="s">
        <v>40</v>
      </c>
      <c r="O12" s="164"/>
      <c r="P12" s="165"/>
      <c r="Q12" s="157"/>
      <c r="R12" s="159"/>
      <c r="S12" s="159"/>
      <c r="T12" s="160"/>
      <c r="U12" s="159">
        <v>5</v>
      </c>
      <c r="V12" s="159"/>
      <c r="W12" s="160">
        <v>5</v>
      </c>
      <c r="X12" s="346"/>
      <c r="Y12" s="165"/>
      <c r="Z12" s="157"/>
      <c r="AA12" s="159"/>
      <c r="AB12" s="160"/>
      <c r="AC12" s="159">
        <v>5</v>
      </c>
      <c r="AD12" s="159"/>
      <c r="AE12" s="166"/>
      <c r="AF12" s="164"/>
      <c r="AG12" s="157"/>
      <c r="AH12" s="167"/>
      <c r="AI12" s="159"/>
      <c r="AJ12" s="159"/>
      <c r="AK12" s="159"/>
      <c r="AL12" s="157"/>
      <c r="AM12" s="167"/>
      <c r="AN12" s="159"/>
      <c r="AO12" s="159"/>
      <c r="AP12" s="168"/>
      <c r="AQ12" s="169"/>
      <c r="AR12" s="165"/>
      <c r="AS12" s="157"/>
      <c r="AT12" s="159"/>
      <c r="AU12" s="159"/>
      <c r="AV12" s="164"/>
      <c r="AW12" s="157"/>
      <c r="AX12" s="159"/>
      <c r="AY12" s="159"/>
      <c r="AZ12" s="165"/>
      <c r="BA12" s="170">
        <v>3</v>
      </c>
    </row>
    <row r="13" spans="1:53" x14ac:dyDescent="0.2">
      <c r="A13" s="25">
        <v>6</v>
      </c>
      <c r="B13" s="26">
        <v>45105</v>
      </c>
      <c r="C13" s="27"/>
      <c r="D13" s="25"/>
      <c r="E13" s="28"/>
      <c r="F13" s="27"/>
      <c r="G13" s="28"/>
      <c r="H13" s="27"/>
      <c r="I13" s="28"/>
      <c r="J13" s="27">
        <v>1.2</v>
      </c>
      <c r="K13" s="29" t="s">
        <v>35</v>
      </c>
      <c r="L13" s="39"/>
      <c r="M13" s="31"/>
      <c r="N13" s="27" t="s">
        <v>40</v>
      </c>
      <c r="P13" s="32"/>
      <c r="Q13" s="25"/>
      <c r="R13" s="27"/>
      <c r="S13" s="27"/>
      <c r="T13" s="28"/>
      <c r="U13" s="27">
        <v>5</v>
      </c>
      <c r="V13" s="27"/>
      <c r="W13" s="28">
        <v>5</v>
      </c>
      <c r="X13" s="346"/>
      <c r="Y13" s="32"/>
      <c r="Z13" s="25"/>
      <c r="AA13" s="27"/>
      <c r="AB13" s="28"/>
      <c r="AC13" s="27">
        <v>5</v>
      </c>
      <c r="AD13" s="27"/>
      <c r="AE13" s="33"/>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7</v>
      </c>
      <c r="B14" s="26">
        <v>45106</v>
      </c>
      <c r="C14" s="27"/>
      <c r="D14" s="25"/>
      <c r="E14" s="28"/>
      <c r="F14" s="27"/>
      <c r="G14" s="28"/>
      <c r="H14" s="27"/>
      <c r="I14" s="28"/>
      <c r="J14" s="27">
        <v>1.2</v>
      </c>
      <c r="K14" s="29" t="s">
        <v>35</v>
      </c>
      <c r="L14" s="39"/>
      <c r="M14" s="31"/>
      <c r="N14" s="27" t="s">
        <v>40</v>
      </c>
      <c r="P14" s="32"/>
      <c r="Q14" s="25"/>
      <c r="R14" s="27"/>
      <c r="S14" s="27"/>
      <c r="T14" s="28"/>
      <c r="U14" s="27">
        <v>5</v>
      </c>
      <c r="V14" s="27"/>
      <c r="W14" s="28">
        <v>5</v>
      </c>
      <c r="X14" s="346"/>
      <c r="Y14" s="32"/>
      <c r="Z14" s="25"/>
      <c r="AA14" s="27"/>
      <c r="AB14" s="28"/>
      <c r="AC14" s="27">
        <v>5</v>
      </c>
      <c r="AD14" s="27"/>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8</v>
      </c>
      <c r="B15" s="26">
        <v>45107</v>
      </c>
      <c r="C15" s="27"/>
      <c r="D15" s="25"/>
      <c r="E15" s="28"/>
      <c r="F15" s="27"/>
      <c r="G15" s="28"/>
      <c r="H15" s="27"/>
      <c r="I15" s="28"/>
      <c r="J15" s="27">
        <v>1.2</v>
      </c>
      <c r="K15" s="29" t="s">
        <v>35</v>
      </c>
      <c r="L15" s="39"/>
      <c r="M15" s="31"/>
      <c r="N15" s="27" t="s">
        <v>40</v>
      </c>
      <c r="P15" s="32"/>
      <c r="Q15" s="25"/>
      <c r="R15" s="27"/>
      <c r="S15" s="27"/>
      <c r="T15" s="28"/>
      <c r="U15" s="27">
        <v>5</v>
      </c>
      <c r="V15" s="27"/>
      <c r="W15" s="28">
        <v>5</v>
      </c>
      <c r="X15" s="346"/>
      <c r="Y15" s="32"/>
      <c r="Z15" s="25"/>
      <c r="AA15" s="27"/>
      <c r="AB15" s="28"/>
      <c r="AC15" s="27">
        <v>5</v>
      </c>
      <c r="AD15" s="27"/>
      <c r="AE15" s="33"/>
      <c r="AG15" s="25"/>
      <c r="AH15" s="34"/>
      <c r="AI15" s="27"/>
      <c r="AJ15" s="27"/>
      <c r="AK15" s="27"/>
      <c r="AL15" s="25"/>
      <c r="AM15" s="34"/>
      <c r="AN15" s="27"/>
      <c r="AO15" s="27"/>
      <c r="AP15" s="36"/>
      <c r="AQ15" s="37"/>
      <c r="AR15" s="32"/>
      <c r="AS15" s="25"/>
      <c r="AT15" s="27"/>
      <c r="AU15" s="27"/>
      <c r="AW15" s="25"/>
      <c r="AX15" s="27"/>
      <c r="AY15" s="27"/>
      <c r="AZ15" s="32"/>
      <c r="BA15" s="41"/>
    </row>
    <row r="16" spans="1:53" ht="16" thickBot="1" x14ac:dyDescent="0.25">
      <c r="A16" s="25">
        <v>9</v>
      </c>
      <c r="B16" s="26">
        <v>45108</v>
      </c>
      <c r="C16" s="27"/>
      <c r="D16" s="25"/>
      <c r="E16" s="28"/>
      <c r="F16" s="27"/>
      <c r="G16" s="28"/>
      <c r="H16" s="27"/>
      <c r="I16" s="28"/>
      <c r="J16" s="27">
        <v>1.2</v>
      </c>
      <c r="K16" s="29" t="s">
        <v>35</v>
      </c>
      <c r="L16" s="39"/>
      <c r="M16" s="31"/>
      <c r="N16" s="27" t="s">
        <v>40</v>
      </c>
      <c r="P16" s="32"/>
      <c r="Q16" s="25"/>
      <c r="R16" s="27"/>
      <c r="S16" s="27"/>
      <c r="T16" s="28"/>
      <c r="U16" s="27">
        <v>5</v>
      </c>
      <c r="V16" s="27"/>
      <c r="W16" s="28">
        <v>5</v>
      </c>
      <c r="X16" s="346"/>
      <c r="Y16" s="32"/>
      <c r="Z16" s="25"/>
      <c r="AA16" s="27"/>
      <c r="AB16" s="28"/>
      <c r="AC16" s="27">
        <v>5</v>
      </c>
      <c r="AD16" s="27"/>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10</v>
      </c>
      <c r="B17" s="26">
        <v>45109</v>
      </c>
      <c r="C17" s="27"/>
      <c r="D17" s="25"/>
      <c r="E17" s="28"/>
      <c r="F17" s="27"/>
      <c r="G17" s="28"/>
      <c r="H17" s="27"/>
      <c r="I17" s="28"/>
      <c r="J17" s="27">
        <v>1.2</v>
      </c>
      <c r="K17" s="29" t="s">
        <v>35</v>
      </c>
      <c r="L17" s="39"/>
      <c r="M17" s="31"/>
      <c r="N17" s="27" t="s">
        <v>40</v>
      </c>
      <c r="O17" s="49"/>
      <c r="P17" s="32"/>
      <c r="Q17" s="25"/>
      <c r="R17" s="27"/>
      <c r="S17" s="27"/>
      <c r="T17" s="28"/>
      <c r="U17" s="27">
        <v>5</v>
      </c>
      <c r="V17" s="27"/>
      <c r="W17" s="28">
        <v>5</v>
      </c>
      <c r="X17" s="346"/>
      <c r="Y17" s="32"/>
      <c r="Z17" s="25"/>
      <c r="AA17" s="27"/>
      <c r="AB17" s="28"/>
      <c r="AC17" s="27">
        <v>10</v>
      </c>
      <c r="AD17" s="27"/>
      <c r="AE17" s="50"/>
      <c r="AF17" s="51"/>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11</v>
      </c>
      <c r="B18" s="26">
        <v>45110</v>
      </c>
      <c r="C18" s="27"/>
      <c r="D18" s="25"/>
      <c r="E18" s="28"/>
      <c r="F18" s="27"/>
      <c r="G18" s="28"/>
      <c r="H18" s="27"/>
      <c r="I18" s="28"/>
      <c r="J18" s="27">
        <v>1.2</v>
      </c>
      <c r="K18" s="29" t="s">
        <v>35</v>
      </c>
      <c r="L18" s="52"/>
      <c r="M18" s="31"/>
      <c r="N18" s="27" t="s">
        <v>40</v>
      </c>
      <c r="P18" s="32"/>
      <c r="Q18" s="25"/>
      <c r="R18" s="27"/>
      <c r="S18" s="27"/>
      <c r="T18" s="28"/>
      <c r="U18" s="27">
        <v>5</v>
      </c>
      <c r="V18" s="27"/>
      <c r="W18" s="28">
        <v>5</v>
      </c>
      <c r="X18" s="347"/>
      <c r="Y18" s="32"/>
      <c r="Z18" s="25"/>
      <c r="AA18" s="27"/>
      <c r="AB18" s="28"/>
      <c r="AC18" s="27">
        <v>10</v>
      </c>
      <c r="AD18" s="27"/>
      <c r="AE18" s="33"/>
      <c r="AF18" s="46"/>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12</v>
      </c>
      <c r="B19" s="26">
        <v>45111</v>
      </c>
      <c r="C19" s="27"/>
      <c r="D19" s="25"/>
      <c r="E19" s="28"/>
      <c r="F19" s="27"/>
      <c r="G19" s="28"/>
      <c r="H19" s="27"/>
      <c r="I19" s="28"/>
      <c r="J19" s="27">
        <v>1.2</v>
      </c>
      <c r="K19" s="29" t="s">
        <v>35</v>
      </c>
      <c r="L19" s="53"/>
      <c r="M19" s="31"/>
      <c r="N19" s="27" t="s">
        <v>40</v>
      </c>
      <c r="P19" s="32"/>
      <c r="Q19" s="25"/>
      <c r="R19" s="27"/>
      <c r="S19" s="27"/>
      <c r="T19" s="28"/>
      <c r="U19" s="27">
        <v>5</v>
      </c>
      <c r="V19" s="27"/>
      <c r="W19" s="28">
        <v>5</v>
      </c>
      <c r="X19" s="54" t="s">
        <v>49</v>
      </c>
      <c r="Y19" s="32"/>
      <c r="Z19" s="25"/>
      <c r="AA19" s="27"/>
      <c r="AB19" s="28"/>
      <c r="AC19" s="27">
        <v>15</v>
      </c>
      <c r="AD19" s="27"/>
      <c r="AE19" s="33"/>
      <c r="AG19" s="25"/>
      <c r="AH19" s="34"/>
      <c r="AI19" s="27"/>
      <c r="AJ19" s="27"/>
      <c r="AK19" s="27"/>
      <c r="AL19" s="25"/>
      <c r="AM19" s="34"/>
      <c r="AN19" s="27"/>
      <c r="AO19" s="27"/>
      <c r="AP19" s="36"/>
      <c r="AQ19" s="37"/>
      <c r="AR19" s="32"/>
      <c r="AS19" s="25"/>
      <c r="AT19" s="27"/>
      <c r="AU19" s="27"/>
      <c r="AW19" s="25"/>
      <c r="AX19" s="27"/>
      <c r="AY19" s="27"/>
      <c r="AZ19" s="32"/>
      <c r="BA19" s="41"/>
    </row>
    <row r="20" spans="1:53" ht="16" thickBot="1" x14ac:dyDescent="0.25">
      <c r="A20" s="25">
        <v>13</v>
      </c>
      <c r="B20" s="26">
        <v>45112</v>
      </c>
      <c r="C20" s="27"/>
      <c r="D20" s="25"/>
      <c r="E20" s="28"/>
      <c r="F20" s="27"/>
      <c r="G20" s="28"/>
      <c r="H20" s="27"/>
      <c r="I20" s="28"/>
      <c r="J20" s="27">
        <v>1.2</v>
      </c>
      <c r="K20" s="29" t="s">
        <v>35</v>
      </c>
      <c r="L20" s="39"/>
      <c r="M20" s="31"/>
      <c r="N20" s="27" t="s">
        <v>40</v>
      </c>
      <c r="P20" s="32"/>
      <c r="Q20" s="25"/>
      <c r="R20" s="27"/>
      <c r="S20" s="27"/>
      <c r="T20" s="28"/>
      <c r="U20" s="27">
        <v>1</v>
      </c>
      <c r="V20" s="27"/>
      <c r="W20" s="28">
        <v>1</v>
      </c>
      <c r="X20" s="33"/>
      <c r="Y20" s="32"/>
      <c r="Z20" s="55"/>
      <c r="AA20" s="56"/>
      <c r="AB20" s="57"/>
      <c r="AC20" s="27">
        <v>15</v>
      </c>
      <c r="AD20" s="27"/>
      <c r="AE20" s="33"/>
      <c r="AG20" s="25"/>
      <c r="AH20" s="34"/>
      <c r="AI20" s="27"/>
      <c r="AJ20" s="27"/>
      <c r="AK20" s="27"/>
      <c r="AL20" s="25"/>
      <c r="AM20" s="34"/>
      <c r="AN20" s="27"/>
      <c r="AO20" s="27"/>
      <c r="AP20" s="36"/>
      <c r="AQ20" s="37"/>
      <c r="AR20" s="32"/>
      <c r="AS20" s="131" t="s">
        <v>51</v>
      </c>
      <c r="AT20" s="132" t="s">
        <v>52</v>
      </c>
      <c r="AU20" s="133" t="s">
        <v>53</v>
      </c>
      <c r="AW20" s="25"/>
      <c r="AX20" s="27"/>
      <c r="AY20" s="27"/>
      <c r="AZ20" s="32"/>
      <c r="BA20" s="41"/>
    </row>
    <row r="21" spans="1:53" ht="16" thickBot="1" x14ac:dyDescent="0.25">
      <c r="A21" s="25">
        <v>14</v>
      </c>
      <c r="B21" s="26">
        <v>45113</v>
      </c>
      <c r="C21" s="27"/>
      <c r="D21" s="25"/>
      <c r="E21" s="28"/>
      <c r="F21" s="27"/>
      <c r="G21" s="28"/>
      <c r="H21" s="27"/>
      <c r="I21" s="28"/>
      <c r="J21" s="27">
        <v>1.2</v>
      </c>
      <c r="K21" s="29" t="s">
        <v>35</v>
      </c>
      <c r="L21" s="39"/>
      <c r="M21" s="31"/>
      <c r="N21" s="27" t="s">
        <v>40</v>
      </c>
      <c r="P21" s="32"/>
      <c r="Q21" s="25"/>
      <c r="R21" s="27"/>
      <c r="S21" s="27"/>
      <c r="T21" s="28"/>
      <c r="U21" s="27">
        <v>1</v>
      </c>
      <c r="V21" s="27"/>
      <c r="W21" s="27">
        <v>1</v>
      </c>
      <c r="X21" s="33"/>
      <c r="Y21" s="32"/>
      <c r="Z21" s="59"/>
      <c r="AA21" s="60"/>
      <c r="AB21" s="61"/>
      <c r="AC21" s="27">
        <v>15</v>
      </c>
      <c r="AD21" s="27"/>
      <c r="AE21" s="33"/>
      <c r="AG21" s="25"/>
      <c r="AH21" s="34"/>
      <c r="AI21" s="27"/>
      <c r="AJ21" s="27"/>
      <c r="AK21" s="27"/>
      <c r="AL21" s="25"/>
      <c r="AM21" s="34"/>
      <c r="AN21" s="27"/>
      <c r="AO21" s="27"/>
      <c r="AP21" s="36"/>
      <c r="AQ21" s="37"/>
      <c r="AR21" s="32"/>
      <c r="AS21" s="131" t="s">
        <v>51</v>
      </c>
      <c r="AT21" s="132" t="s">
        <v>52</v>
      </c>
      <c r="AU21" s="134"/>
      <c r="AW21" s="25"/>
      <c r="AX21" s="27"/>
      <c r="AY21" s="27"/>
      <c r="AZ21" s="32"/>
      <c r="BA21" s="62"/>
    </row>
    <row r="22" spans="1:53" ht="16" thickBot="1" x14ac:dyDescent="0.25">
      <c r="A22" s="25">
        <v>15</v>
      </c>
      <c r="B22" s="26">
        <v>45114</v>
      </c>
      <c r="C22" s="27"/>
      <c r="D22" s="25"/>
      <c r="E22" s="28"/>
      <c r="F22" s="27"/>
      <c r="G22" s="28"/>
      <c r="H22" s="27"/>
      <c r="I22" s="28"/>
      <c r="J22" s="27">
        <v>1.2</v>
      </c>
      <c r="K22" s="29" t="s">
        <v>35</v>
      </c>
      <c r="L22" s="39"/>
      <c r="M22" s="31"/>
      <c r="N22" s="27" t="s">
        <v>40</v>
      </c>
      <c r="P22" s="32"/>
      <c r="Q22" s="25"/>
      <c r="R22" s="27"/>
      <c r="S22" s="27"/>
      <c r="T22" s="28"/>
      <c r="U22" s="27">
        <v>1</v>
      </c>
      <c r="V22" s="27"/>
      <c r="W22" s="28">
        <v>1</v>
      </c>
      <c r="X22" s="33"/>
      <c r="Y22" s="32"/>
      <c r="Z22" s="25"/>
      <c r="AA22" s="27"/>
      <c r="AB22" s="28"/>
      <c r="AC22" s="27">
        <v>15</v>
      </c>
      <c r="AD22" s="27"/>
      <c r="AE22" s="33"/>
      <c r="AG22" s="25"/>
      <c r="AH22" s="34"/>
      <c r="AI22" s="27"/>
      <c r="AJ22" s="27"/>
      <c r="AK22" s="27"/>
      <c r="AL22" s="25"/>
      <c r="AM22" s="34"/>
      <c r="AN22" s="27"/>
      <c r="AO22" s="27"/>
      <c r="AP22" s="36"/>
      <c r="AQ22" s="37"/>
      <c r="AR22" s="46"/>
      <c r="AS22" s="131" t="s">
        <v>57</v>
      </c>
      <c r="AT22" s="132" t="s">
        <v>52</v>
      </c>
      <c r="AU22" s="133" t="s">
        <v>58</v>
      </c>
      <c r="AW22" s="25"/>
      <c r="AX22" s="27"/>
      <c r="AY22" s="27"/>
      <c r="AZ22" s="32"/>
      <c r="BA22" s="41"/>
    </row>
    <row r="23" spans="1:53" ht="16" thickBot="1" x14ac:dyDescent="0.25">
      <c r="A23" s="25">
        <v>16</v>
      </c>
      <c r="B23" s="26">
        <v>45115</v>
      </c>
      <c r="C23" s="27"/>
      <c r="D23" s="25"/>
      <c r="E23" s="28"/>
      <c r="F23" s="27"/>
      <c r="G23" s="28"/>
      <c r="H23" s="27"/>
      <c r="I23" s="28"/>
      <c r="J23" s="27">
        <v>1.2</v>
      </c>
      <c r="K23" s="29" t="s">
        <v>35</v>
      </c>
      <c r="L23" s="44" t="s">
        <v>59</v>
      </c>
      <c r="M23" s="31"/>
      <c r="N23" s="27" t="s">
        <v>40</v>
      </c>
      <c r="P23" s="32"/>
      <c r="Q23" s="25"/>
      <c r="R23" s="27"/>
      <c r="S23" s="27"/>
      <c r="T23" s="28"/>
      <c r="U23" s="27">
        <v>1</v>
      </c>
      <c r="V23" s="27"/>
      <c r="W23" s="28">
        <v>1</v>
      </c>
      <c r="X23" s="63" t="s">
        <v>60</v>
      </c>
      <c r="Y23" s="46" t="s">
        <v>61</v>
      </c>
      <c r="AB23" s="28"/>
      <c r="AC23" s="27">
        <v>15</v>
      </c>
      <c r="AD23" s="27"/>
      <c r="AE23" s="33"/>
      <c r="AG23" s="25"/>
      <c r="AH23" s="34"/>
      <c r="AI23" s="27"/>
      <c r="AJ23" s="27"/>
      <c r="AK23" s="27"/>
      <c r="AL23" s="25"/>
      <c r="AM23" s="34"/>
      <c r="AN23" s="27"/>
      <c r="AO23" s="27"/>
      <c r="AP23" s="36"/>
      <c r="AQ23" s="64"/>
      <c r="AR23" s="65"/>
      <c r="AS23" s="131" t="s">
        <v>57</v>
      </c>
      <c r="AT23" s="132" t="s">
        <v>52</v>
      </c>
      <c r="AU23" s="132"/>
      <c r="AW23" s="25"/>
      <c r="AX23" s="27"/>
      <c r="AY23" s="27"/>
      <c r="AZ23" s="32"/>
      <c r="BA23" s="41"/>
    </row>
    <row r="24" spans="1:53" x14ac:dyDescent="0.2">
      <c r="A24" s="25">
        <v>17</v>
      </c>
      <c r="B24" s="26">
        <v>45116</v>
      </c>
      <c r="C24" s="27"/>
      <c r="D24" s="25"/>
      <c r="E24" s="28"/>
      <c r="F24" s="27"/>
      <c r="G24" s="28"/>
      <c r="H24" s="27"/>
      <c r="I24" s="28"/>
      <c r="J24" s="27">
        <v>1.2</v>
      </c>
      <c r="K24" s="29" t="s">
        <v>35</v>
      </c>
      <c r="L24" s="39"/>
      <c r="M24" s="31"/>
      <c r="N24" s="27" t="s">
        <v>40</v>
      </c>
      <c r="P24" s="32"/>
      <c r="Q24" s="25"/>
      <c r="R24" s="27"/>
      <c r="S24" s="27"/>
      <c r="T24" s="28"/>
      <c r="U24" s="27" t="s">
        <v>55</v>
      </c>
      <c r="V24" s="27" t="s">
        <v>154</v>
      </c>
      <c r="W24" s="28" t="s">
        <v>55</v>
      </c>
      <c r="X24" s="33" t="s">
        <v>155</v>
      </c>
      <c r="Y24" s="32"/>
      <c r="Z24" s="25"/>
      <c r="AA24" s="27"/>
      <c r="AB24" s="28"/>
      <c r="AC24" s="27">
        <v>15</v>
      </c>
      <c r="AD24" s="27"/>
      <c r="AE24" s="33"/>
      <c r="AG24" s="25"/>
      <c r="AH24" s="34"/>
      <c r="AI24" s="27"/>
      <c r="AJ24" s="27"/>
      <c r="AK24" s="27"/>
      <c r="AL24" s="25"/>
      <c r="AM24" s="34"/>
      <c r="AN24" s="27"/>
      <c r="AO24" s="27"/>
      <c r="AP24" s="36"/>
      <c r="AQ24" s="37"/>
      <c r="AR24" s="32"/>
      <c r="AS24" s="131" t="s">
        <v>57</v>
      </c>
      <c r="AT24" s="132" t="s">
        <v>52</v>
      </c>
      <c r="AU24" s="132"/>
      <c r="AW24" s="25"/>
      <c r="AX24" s="27"/>
      <c r="AY24" s="27"/>
      <c r="AZ24" s="32"/>
      <c r="BA24" s="41"/>
    </row>
    <row r="25" spans="1:53" ht="16" thickBot="1" x14ac:dyDescent="0.25">
      <c r="A25" s="25">
        <v>18</v>
      </c>
      <c r="B25" s="26">
        <v>45117</v>
      </c>
      <c r="C25" s="27"/>
      <c r="D25" s="25"/>
      <c r="E25" s="28"/>
      <c r="F25" s="27"/>
      <c r="G25" s="28"/>
      <c r="H25" s="27"/>
      <c r="I25" s="28"/>
      <c r="J25" s="27">
        <v>1.2</v>
      </c>
      <c r="K25" s="29" t="s">
        <v>35</v>
      </c>
      <c r="L25" s="39"/>
      <c r="M25" s="31"/>
      <c r="N25" s="27" t="s">
        <v>40</v>
      </c>
      <c r="P25" s="66"/>
      <c r="Q25" s="25"/>
      <c r="R25" s="27"/>
      <c r="S25" s="27"/>
      <c r="T25" s="28"/>
      <c r="U25" s="27">
        <v>0</v>
      </c>
      <c r="V25" s="27" t="s">
        <v>154</v>
      </c>
      <c r="W25" s="28">
        <v>0</v>
      </c>
      <c r="X25" s="33" t="s">
        <v>62</v>
      </c>
      <c r="Y25" s="32"/>
      <c r="Z25" s="25"/>
      <c r="AA25" s="27"/>
      <c r="AB25" s="28"/>
      <c r="AC25" s="27">
        <v>15</v>
      </c>
      <c r="AD25" s="27"/>
      <c r="AE25" s="33"/>
      <c r="AG25" s="25"/>
      <c r="AH25" s="34"/>
      <c r="AI25" s="27"/>
      <c r="AJ25" s="27"/>
      <c r="AK25" s="27"/>
      <c r="AL25" s="25"/>
      <c r="AM25" s="34"/>
      <c r="AN25" s="27"/>
      <c r="AO25" s="27"/>
      <c r="AP25" s="36"/>
      <c r="AQ25" s="67" t="s">
        <v>63</v>
      </c>
      <c r="AR25" s="46" t="s">
        <v>64</v>
      </c>
      <c r="AS25" s="131" t="s">
        <v>57</v>
      </c>
      <c r="AT25" s="132" t="s">
        <v>52</v>
      </c>
      <c r="AU25" s="134"/>
      <c r="AW25" s="25"/>
      <c r="AX25" s="27"/>
      <c r="AY25" s="27"/>
      <c r="AZ25" s="32"/>
      <c r="BA25" s="41"/>
    </row>
    <row r="26" spans="1:53" ht="16" thickBot="1" x14ac:dyDescent="0.25">
      <c r="A26" s="25">
        <v>19</v>
      </c>
      <c r="B26" s="26">
        <v>45118</v>
      </c>
      <c r="C26" s="27"/>
      <c r="D26" s="25"/>
      <c r="E26" s="28"/>
      <c r="F26" s="27"/>
      <c r="G26" s="28"/>
      <c r="H26" s="27"/>
      <c r="I26" s="28"/>
      <c r="J26" s="27">
        <v>1.2</v>
      </c>
      <c r="K26" s="29" t="s">
        <v>35</v>
      </c>
      <c r="L26" s="39"/>
      <c r="M26" s="31"/>
      <c r="N26" s="27" t="s">
        <v>40</v>
      </c>
      <c r="P26" s="32"/>
      <c r="Q26" s="25"/>
      <c r="R26" s="27"/>
      <c r="S26" s="27"/>
      <c r="T26" s="28"/>
      <c r="U26" s="27"/>
      <c r="V26" s="27" t="s">
        <v>154</v>
      </c>
      <c r="W26" s="28"/>
      <c r="X26" s="33"/>
      <c r="Y26" s="32"/>
      <c r="Z26" s="25"/>
      <c r="AA26" s="27"/>
      <c r="AB26" s="28"/>
      <c r="AC26" s="27">
        <v>15</v>
      </c>
      <c r="AD26" s="27"/>
      <c r="AE26" s="33"/>
      <c r="AG26" s="25"/>
      <c r="AH26" s="34"/>
      <c r="AI26" s="27"/>
      <c r="AJ26" s="27"/>
      <c r="AK26" s="27"/>
      <c r="AL26" s="25"/>
      <c r="AM26" s="34"/>
      <c r="AN26" s="27"/>
      <c r="AO26" s="27"/>
      <c r="AP26" s="36"/>
      <c r="AQ26" s="68" t="s">
        <v>65</v>
      </c>
      <c r="AR26" s="32" t="s">
        <v>64</v>
      </c>
      <c r="AS26" s="131" t="s">
        <v>57</v>
      </c>
      <c r="AT26" s="132" t="s">
        <v>52</v>
      </c>
      <c r="AU26" s="132"/>
      <c r="AW26" s="25"/>
      <c r="AX26" s="27"/>
      <c r="AY26" s="27"/>
      <c r="AZ26" s="32"/>
      <c r="BA26" s="62"/>
    </row>
    <row r="27" spans="1:53" x14ac:dyDescent="0.2">
      <c r="A27" s="25">
        <v>20</v>
      </c>
      <c r="B27" s="26">
        <v>45119</v>
      </c>
      <c r="C27" s="27"/>
      <c r="D27" s="25"/>
      <c r="E27" s="28"/>
      <c r="F27" s="27"/>
      <c r="G27" s="28"/>
      <c r="H27" s="27"/>
      <c r="I27" s="28"/>
      <c r="J27" s="27">
        <v>1.2</v>
      </c>
      <c r="K27" s="29" t="s">
        <v>35</v>
      </c>
      <c r="L27" s="39"/>
      <c r="M27" s="69"/>
      <c r="N27" s="27" t="s">
        <v>40</v>
      </c>
      <c r="O27" s="306" t="s">
        <v>66</v>
      </c>
      <c r="P27" s="32"/>
      <c r="Q27" s="25"/>
      <c r="R27" s="27"/>
      <c r="S27" s="27"/>
      <c r="T27" s="28"/>
      <c r="U27" s="27"/>
      <c r="V27" s="27" t="s">
        <v>154</v>
      </c>
      <c r="W27" s="28"/>
      <c r="X27" s="33"/>
      <c r="Y27" s="32"/>
      <c r="Z27" s="25"/>
      <c r="AA27" s="27"/>
      <c r="AB27" s="28"/>
      <c r="AC27" s="27">
        <v>15</v>
      </c>
      <c r="AD27" s="27"/>
      <c r="AE27" s="33"/>
      <c r="AG27" s="25"/>
      <c r="AH27" s="34"/>
      <c r="AI27" s="27"/>
      <c r="AJ27" s="27"/>
      <c r="AK27" s="27"/>
      <c r="AL27" s="25"/>
      <c r="AM27" s="34"/>
      <c r="AN27" s="27"/>
      <c r="AO27" s="27"/>
      <c r="AP27" s="36"/>
      <c r="AQ27" s="37"/>
      <c r="AR27" s="32"/>
      <c r="AS27" s="131" t="s">
        <v>57</v>
      </c>
      <c r="AT27" s="132" t="s">
        <v>52</v>
      </c>
      <c r="AU27" s="132"/>
      <c r="AW27" s="25"/>
      <c r="AX27" s="27"/>
      <c r="AY27" s="27"/>
      <c r="AZ27" s="32"/>
      <c r="BA27" s="41"/>
    </row>
    <row r="28" spans="1:53" ht="16" thickBot="1" x14ac:dyDescent="0.25">
      <c r="A28" s="70">
        <v>21</v>
      </c>
      <c r="B28" s="26">
        <v>45120</v>
      </c>
      <c r="C28" s="71"/>
      <c r="D28" s="70"/>
      <c r="E28" s="72"/>
      <c r="F28" s="71"/>
      <c r="G28" s="72"/>
      <c r="H28" s="71"/>
      <c r="I28" s="72"/>
      <c r="J28" s="27">
        <v>1.2</v>
      </c>
      <c r="K28" s="29" t="s">
        <v>35</v>
      </c>
      <c r="L28" s="39"/>
      <c r="M28" s="73"/>
      <c r="N28" s="27" t="s">
        <v>40</v>
      </c>
      <c r="O28" s="307"/>
      <c r="P28" s="74"/>
      <c r="Q28" s="70"/>
      <c r="R28" s="71"/>
      <c r="S28" s="71"/>
      <c r="T28" s="72"/>
      <c r="U28" s="71"/>
      <c r="V28" s="71" t="s">
        <v>154</v>
      </c>
      <c r="W28" s="72"/>
      <c r="X28" s="33"/>
      <c r="Y28" s="75"/>
      <c r="Z28" s="70"/>
      <c r="AA28" s="71"/>
      <c r="AB28" s="72"/>
      <c r="AC28" s="27">
        <v>15</v>
      </c>
      <c r="AD28" s="71"/>
      <c r="AE28" s="33"/>
      <c r="AF28" s="76"/>
      <c r="AG28" s="70"/>
      <c r="AH28" s="77"/>
      <c r="AI28" s="71"/>
      <c r="AJ28" s="71"/>
      <c r="AK28" s="71"/>
      <c r="AL28" s="70"/>
      <c r="AM28" s="77"/>
      <c r="AN28" s="27"/>
      <c r="AO28" s="71"/>
      <c r="AP28" s="78"/>
      <c r="AQ28" s="37"/>
      <c r="AR28" s="75"/>
      <c r="AS28" s="135" t="s">
        <v>57</v>
      </c>
      <c r="AT28" s="132" t="s">
        <v>52</v>
      </c>
      <c r="AU28" s="136"/>
      <c r="AV28" s="76"/>
      <c r="AW28" s="70"/>
      <c r="AX28" s="71"/>
      <c r="AY28" s="71"/>
      <c r="AZ28" s="75"/>
      <c r="BA28" s="79"/>
    </row>
    <row r="29" spans="1:53" ht="16" thickBot="1" x14ac:dyDescent="0.25">
      <c r="A29" s="25">
        <v>22</v>
      </c>
      <c r="B29" s="26">
        <v>45121</v>
      </c>
      <c r="C29" s="27"/>
      <c r="D29" s="25"/>
      <c r="E29" s="28"/>
      <c r="F29" s="27"/>
      <c r="G29" s="28"/>
      <c r="H29" s="27"/>
      <c r="I29" s="28"/>
      <c r="J29" s="27">
        <v>1.2</v>
      </c>
      <c r="K29" s="29" t="s">
        <v>35</v>
      </c>
      <c r="L29" s="39"/>
      <c r="M29" s="69"/>
      <c r="N29" s="27" t="s">
        <v>40</v>
      </c>
      <c r="O29" s="307"/>
      <c r="P29" s="46" t="s">
        <v>67</v>
      </c>
      <c r="Q29" s="43"/>
      <c r="R29" s="27"/>
      <c r="S29" s="27"/>
      <c r="T29" s="28"/>
      <c r="U29" s="27"/>
      <c r="V29" s="27" t="s">
        <v>154</v>
      </c>
      <c r="W29" s="28"/>
      <c r="X29" s="33"/>
      <c r="Y29" s="32"/>
      <c r="Z29" s="60"/>
      <c r="AA29" s="60"/>
      <c r="AB29" s="61"/>
      <c r="AC29" s="27">
        <v>15</v>
      </c>
      <c r="AD29" s="27"/>
      <c r="AE29" s="33"/>
      <c r="AG29" s="25"/>
      <c r="AH29" s="34"/>
      <c r="AI29" s="27"/>
      <c r="AJ29" s="27"/>
      <c r="AK29" s="27"/>
      <c r="AL29" s="25"/>
      <c r="AM29" s="34"/>
      <c r="AN29" s="27"/>
      <c r="AO29" s="27"/>
      <c r="AP29" s="36"/>
      <c r="AQ29" s="37"/>
      <c r="AR29" s="32"/>
      <c r="AS29" s="131" t="s">
        <v>57</v>
      </c>
      <c r="AT29" s="132" t="s">
        <v>52</v>
      </c>
      <c r="AU29" s="132"/>
      <c r="AW29" s="25"/>
      <c r="AX29" s="27"/>
      <c r="AY29" s="27"/>
      <c r="AZ29" s="32"/>
      <c r="BA29" s="80" t="s">
        <v>68</v>
      </c>
    </row>
    <row r="30" spans="1:53" ht="16" thickBot="1" x14ac:dyDescent="0.25">
      <c r="A30" s="25">
        <v>23</v>
      </c>
      <c r="B30" s="26">
        <v>45122</v>
      </c>
      <c r="C30" s="27"/>
      <c r="D30" s="25"/>
      <c r="E30" s="28"/>
      <c r="F30" s="27"/>
      <c r="G30" s="28"/>
      <c r="H30" s="27"/>
      <c r="I30" s="28"/>
      <c r="J30" s="27">
        <v>1.2</v>
      </c>
      <c r="K30" s="29" t="s">
        <v>35</v>
      </c>
      <c r="L30" s="39"/>
      <c r="M30" s="31"/>
      <c r="N30" s="27" t="s">
        <v>40</v>
      </c>
      <c r="O30" s="307"/>
      <c r="P30" s="32" t="s">
        <v>69</v>
      </c>
      <c r="Q30" s="25"/>
      <c r="R30" s="27"/>
      <c r="S30" s="27"/>
      <c r="T30" s="28"/>
      <c r="U30" s="27"/>
      <c r="V30" s="27" t="s">
        <v>154</v>
      </c>
      <c r="W30" s="28"/>
      <c r="X30" s="33"/>
      <c r="Y30" s="32"/>
      <c r="Z30" s="25"/>
      <c r="AA30" s="27"/>
      <c r="AB30" s="28"/>
      <c r="AC30" s="27">
        <v>15</v>
      </c>
      <c r="AD30" s="27"/>
      <c r="AE30" s="33"/>
      <c r="AG30" s="25"/>
      <c r="AH30" s="34"/>
      <c r="AI30" s="27"/>
      <c r="AJ30" s="27"/>
      <c r="AK30" s="27"/>
      <c r="AL30" s="25"/>
      <c r="AM30" s="34"/>
      <c r="AN30" s="27"/>
      <c r="AO30" s="27"/>
      <c r="AP30" s="36"/>
      <c r="AQ30" s="37"/>
      <c r="AR30" s="32"/>
      <c r="AS30" s="131" t="s">
        <v>57</v>
      </c>
      <c r="AT30" s="132" t="s">
        <v>52</v>
      </c>
      <c r="AU30" s="133" t="s">
        <v>70</v>
      </c>
      <c r="AW30" s="25"/>
      <c r="AX30" s="27"/>
      <c r="AY30" s="27"/>
      <c r="AZ30" s="32"/>
      <c r="BA30" s="41"/>
    </row>
    <row r="31" spans="1:53" ht="16" thickBot="1" x14ac:dyDescent="0.25">
      <c r="A31" s="25">
        <v>24</v>
      </c>
      <c r="B31" s="26">
        <v>45123</v>
      </c>
      <c r="C31" s="27"/>
      <c r="D31" s="25"/>
      <c r="E31" s="28"/>
      <c r="F31" s="27"/>
      <c r="G31" s="28"/>
      <c r="H31" s="27"/>
      <c r="I31" s="28"/>
      <c r="J31" s="27">
        <v>1.2</v>
      </c>
      <c r="K31" s="29" t="s">
        <v>35</v>
      </c>
      <c r="L31" s="44" t="s">
        <v>71</v>
      </c>
      <c r="M31" s="31"/>
      <c r="N31" s="27" t="s">
        <v>40</v>
      </c>
      <c r="O31" s="307"/>
      <c r="P31" s="32"/>
      <c r="Q31" s="25"/>
      <c r="R31" s="27"/>
      <c r="S31" s="27"/>
      <c r="T31" s="28"/>
      <c r="U31" s="27"/>
      <c r="V31" s="27" t="s">
        <v>154</v>
      </c>
      <c r="W31" s="28"/>
      <c r="X31" s="33"/>
      <c r="Y31" s="32"/>
      <c r="Z31" s="25"/>
      <c r="AA31" s="27"/>
      <c r="AB31" s="28"/>
      <c r="AC31" s="27">
        <v>15</v>
      </c>
      <c r="AD31" s="27"/>
      <c r="AE31" s="50"/>
      <c r="AF31" s="46"/>
      <c r="AG31" s="25"/>
      <c r="AH31" s="34"/>
      <c r="AI31" s="27"/>
      <c r="AJ31" s="27"/>
      <c r="AK31" s="27"/>
      <c r="AL31" s="25"/>
      <c r="AM31" s="34"/>
      <c r="AN31" s="27"/>
      <c r="AO31" s="27"/>
      <c r="AP31" s="36"/>
      <c r="AQ31" s="37"/>
      <c r="AR31" s="46"/>
      <c r="AS31" s="25" t="s">
        <v>72</v>
      </c>
      <c r="AT31" s="27" t="s">
        <v>52</v>
      </c>
      <c r="AU31" s="58" t="s">
        <v>73</v>
      </c>
      <c r="AW31" s="25"/>
      <c r="AX31" s="27"/>
      <c r="AY31" s="27"/>
      <c r="AZ31" s="32"/>
      <c r="BA31" s="41"/>
    </row>
    <row r="32" spans="1:53" ht="16" thickBot="1" x14ac:dyDescent="0.25">
      <c r="A32" s="25">
        <v>25</v>
      </c>
      <c r="B32" s="26">
        <v>45124</v>
      </c>
      <c r="C32" s="27"/>
      <c r="D32" s="25"/>
      <c r="E32" s="28"/>
      <c r="F32" s="27"/>
      <c r="G32" s="28"/>
      <c r="H32" s="27"/>
      <c r="I32" s="28"/>
      <c r="J32" s="27">
        <v>1.2</v>
      </c>
      <c r="K32" s="29" t="s">
        <v>35</v>
      </c>
      <c r="L32" s="39"/>
      <c r="M32" s="31"/>
      <c r="N32" s="27" t="s">
        <v>40</v>
      </c>
      <c r="O32" s="307"/>
      <c r="P32" s="81" t="s">
        <v>74</v>
      </c>
      <c r="Q32" s="43"/>
      <c r="R32" s="27"/>
      <c r="S32" s="27"/>
      <c r="T32" s="28"/>
      <c r="U32" s="27"/>
      <c r="V32" s="27" t="s">
        <v>154</v>
      </c>
      <c r="W32" s="28"/>
      <c r="X32" s="33"/>
      <c r="Y32" s="32"/>
      <c r="Z32" s="27"/>
      <c r="AA32" s="27"/>
      <c r="AB32" s="28"/>
      <c r="AC32" s="27"/>
      <c r="AD32" s="27"/>
      <c r="AE32" s="33"/>
      <c r="AG32" s="25"/>
      <c r="AH32" s="34"/>
      <c r="AI32" s="27"/>
      <c r="AJ32" s="27"/>
      <c r="AK32" s="27"/>
      <c r="AL32" s="25"/>
      <c r="AM32" s="34"/>
      <c r="AN32" s="27"/>
      <c r="AO32" s="27"/>
      <c r="AP32" s="36"/>
      <c r="AQ32" s="37"/>
      <c r="AR32" s="32" t="s">
        <v>64</v>
      </c>
      <c r="AS32" s="25" t="s">
        <v>72</v>
      </c>
      <c r="AT32" s="27" t="s">
        <v>52</v>
      </c>
      <c r="AW32" s="25"/>
      <c r="AX32" s="27"/>
      <c r="AY32" s="27"/>
      <c r="AZ32" s="32"/>
      <c r="BA32" s="41"/>
    </row>
    <row r="33" spans="1:53" ht="16" thickBot="1" x14ac:dyDescent="0.25">
      <c r="A33" s="25">
        <v>26</v>
      </c>
      <c r="B33" s="26">
        <v>45125</v>
      </c>
      <c r="C33" s="27"/>
      <c r="D33" s="25"/>
      <c r="E33" s="28"/>
      <c r="F33" s="27"/>
      <c r="G33" s="28"/>
      <c r="H33" s="27"/>
      <c r="I33" s="28"/>
      <c r="J33" s="27">
        <v>1.2</v>
      </c>
      <c r="K33" s="29" t="s">
        <v>35</v>
      </c>
      <c r="L33" s="39"/>
      <c r="M33" s="31"/>
      <c r="N33" s="27" t="s">
        <v>40</v>
      </c>
      <c r="O33" s="307"/>
      <c r="P33" s="32"/>
      <c r="Q33" s="25"/>
      <c r="R33" s="27"/>
      <c r="S33" s="27"/>
      <c r="T33" s="28"/>
      <c r="U33" s="27"/>
      <c r="V33" s="27" t="s">
        <v>154</v>
      </c>
      <c r="W33" s="28"/>
      <c r="X33" s="33"/>
      <c r="Y33" s="32"/>
      <c r="Z33" s="25"/>
      <c r="AA33" s="27"/>
      <c r="AB33" s="28"/>
      <c r="AC33" s="27"/>
      <c r="AD33" s="27"/>
      <c r="AE33" s="33"/>
      <c r="AG33" s="25"/>
      <c r="AH33" s="34"/>
      <c r="AI33" s="27"/>
      <c r="AJ33" s="27"/>
      <c r="AK33" s="27"/>
      <c r="AL33" s="25"/>
      <c r="AM33" s="34"/>
      <c r="AN33" s="27"/>
      <c r="AO33" s="27"/>
      <c r="AP33" s="36"/>
      <c r="AQ33" s="37"/>
      <c r="AR33" s="32" t="s">
        <v>64</v>
      </c>
      <c r="AS33" s="25" t="s">
        <v>72</v>
      </c>
      <c r="AT33" s="27" t="s">
        <v>52</v>
      </c>
      <c r="AW33" s="25"/>
      <c r="AX33" s="27"/>
      <c r="AY33" s="27"/>
      <c r="AZ33" s="32"/>
      <c r="BA33" s="41"/>
    </row>
    <row r="34" spans="1:53" ht="16" thickBot="1" x14ac:dyDescent="0.25">
      <c r="A34" s="25">
        <v>27</v>
      </c>
      <c r="B34" s="26">
        <v>45126</v>
      </c>
      <c r="C34" s="27"/>
      <c r="D34" s="25"/>
      <c r="E34" s="28"/>
      <c r="F34" s="27"/>
      <c r="G34" s="28"/>
      <c r="H34" s="27"/>
      <c r="I34" s="28"/>
      <c r="J34" s="27">
        <v>1.2</v>
      </c>
      <c r="K34" s="29" t="s">
        <v>35</v>
      </c>
      <c r="L34" s="39"/>
      <c r="M34" s="31"/>
      <c r="N34" s="27" t="s">
        <v>40</v>
      </c>
      <c r="O34" s="307"/>
      <c r="P34" s="32"/>
      <c r="Q34" s="25"/>
      <c r="R34" s="27"/>
      <c r="S34" s="27"/>
      <c r="T34" s="28"/>
      <c r="U34" s="27"/>
      <c r="V34" s="27" t="s">
        <v>154</v>
      </c>
      <c r="W34" s="28"/>
      <c r="X34" s="33"/>
      <c r="Y34" s="32"/>
      <c r="Z34" s="25"/>
      <c r="AA34" s="27"/>
      <c r="AB34" s="28"/>
      <c r="AC34" s="27"/>
      <c r="AD34" s="27"/>
      <c r="AE34" s="33"/>
      <c r="AG34" s="25"/>
      <c r="AH34" s="34"/>
      <c r="AI34" s="27"/>
      <c r="AJ34" s="27"/>
      <c r="AK34" s="27"/>
      <c r="AL34" s="25"/>
      <c r="AM34" s="34"/>
      <c r="AN34" s="27"/>
      <c r="AO34" s="27"/>
      <c r="AP34" s="36"/>
      <c r="AQ34" s="82"/>
      <c r="AR34" s="32" t="s">
        <v>75</v>
      </c>
      <c r="AS34" s="25" t="s">
        <v>72</v>
      </c>
      <c r="AT34" s="27" t="s">
        <v>52</v>
      </c>
      <c r="AU34" s="27"/>
      <c r="AW34" s="25"/>
      <c r="AX34" s="27"/>
      <c r="AY34" s="27"/>
      <c r="AZ34" s="32"/>
      <c r="BA34" s="41"/>
    </row>
    <row r="35" spans="1:53" x14ac:dyDescent="0.2">
      <c r="A35" s="25">
        <v>28</v>
      </c>
      <c r="B35" s="26">
        <v>45127</v>
      </c>
      <c r="C35" s="27"/>
      <c r="D35" s="25"/>
      <c r="E35" s="28"/>
      <c r="F35" s="27"/>
      <c r="G35" s="28"/>
      <c r="H35" s="27"/>
      <c r="I35" s="28"/>
      <c r="J35" s="27">
        <v>1.2</v>
      </c>
      <c r="K35" s="29" t="s">
        <v>35</v>
      </c>
      <c r="L35" s="39"/>
      <c r="M35" s="31"/>
      <c r="N35" s="27" t="s">
        <v>40</v>
      </c>
      <c r="O35" s="307"/>
      <c r="P35" s="32"/>
      <c r="Q35" s="25"/>
      <c r="R35" s="27"/>
      <c r="S35" s="27"/>
      <c r="T35" s="28"/>
      <c r="U35" s="27"/>
      <c r="V35" s="27" t="s">
        <v>154</v>
      </c>
      <c r="W35" s="28"/>
      <c r="Y35" s="32"/>
      <c r="Z35" s="25"/>
      <c r="AA35" s="27"/>
      <c r="AB35" s="28"/>
      <c r="AC35" s="27"/>
      <c r="AD35" s="27"/>
      <c r="AE35" s="33"/>
      <c r="AG35" s="25"/>
      <c r="AH35" s="34"/>
      <c r="AI35" s="27"/>
      <c r="AJ35" s="27"/>
      <c r="AK35" s="27"/>
      <c r="AL35" s="25"/>
      <c r="AM35" s="34"/>
      <c r="AN35" s="27"/>
      <c r="AO35" s="27"/>
      <c r="AP35" s="36"/>
      <c r="AR35" s="32" t="s">
        <v>75</v>
      </c>
      <c r="AS35" s="25" t="s">
        <v>72</v>
      </c>
      <c r="AT35" s="27" t="s">
        <v>52</v>
      </c>
      <c r="AU35" s="27"/>
      <c r="AW35" s="25"/>
      <c r="AX35" s="27"/>
      <c r="AY35" s="27"/>
      <c r="AZ35" s="32"/>
      <c r="BA35" s="41"/>
    </row>
    <row r="36" spans="1:53" ht="17.25" customHeight="1" thickBot="1" x14ac:dyDescent="0.25">
      <c r="A36" s="25">
        <v>29</v>
      </c>
      <c r="B36" s="26">
        <v>45128</v>
      </c>
      <c r="C36" s="27"/>
      <c r="D36" s="25"/>
      <c r="E36" s="28"/>
      <c r="F36" s="27"/>
      <c r="G36" s="28"/>
      <c r="H36" s="27"/>
      <c r="I36" s="28"/>
      <c r="J36" s="27">
        <v>1.2</v>
      </c>
      <c r="K36" s="29" t="s">
        <v>35</v>
      </c>
      <c r="L36" s="39"/>
      <c r="M36" s="31"/>
      <c r="N36" s="27" t="s">
        <v>40</v>
      </c>
      <c r="O36" s="307"/>
      <c r="P36" s="32"/>
      <c r="Q36" s="25"/>
      <c r="R36" s="27"/>
      <c r="S36" s="27"/>
      <c r="T36" s="28"/>
      <c r="U36" s="27"/>
      <c r="V36" s="27" t="s">
        <v>154</v>
      </c>
      <c r="W36" s="28"/>
      <c r="X36" s="33"/>
      <c r="Y36" s="32"/>
      <c r="Z36" s="25"/>
      <c r="AA36" s="27"/>
      <c r="AB36" s="28"/>
      <c r="AC36" s="27"/>
      <c r="AD36" s="27"/>
      <c r="AE36" s="33"/>
      <c r="AG36" s="25"/>
      <c r="AH36" s="34"/>
      <c r="AI36" s="27"/>
      <c r="AJ36" s="27"/>
      <c r="AK36" s="27"/>
      <c r="AL36" s="25"/>
      <c r="AM36" s="34"/>
      <c r="AN36" s="27"/>
      <c r="AO36" s="27"/>
      <c r="AP36" s="36"/>
      <c r="AQ36" s="37"/>
      <c r="AR36" s="32"/>
      <c r="AS36" s="25" t="s">
        <v>72</v>
      </c>
      <c r="AT36" s="27" t="s">
        <v>52</v>
      </c>
      <c r="AU36" s="27"/>
      <c r="AW36" s="25"/>
      <c r="AX36" s="27"/>
      <c r="AY36" s="27"/>
      <c r="AZ36" s="32"/>
      <c r="BA36" s="41"/>
    </row>
    <row r="37" spans="1:53" s="87" customFormat="1" ht="16" thickBot="1" x14ac:dyDescent="0.25">
      <c r="A37" s="83">
        <v>30</v>
      </c>
      <c r="B37" s="26">
        <v>45129</v>
      </c>
      <c r="C37" s="83"/>
      <c r="D37" s="83"/>
      <c r="E37" s="83"/>
      <c r="F37" s="83"/>
      <c r="G37" s="83"/>
      <c r="H37" s="83"/>
      <c r="I37" s="83"/>
      <c r="J37" s="83">
        <v>1.2</v>
      </c>
      <c r="K37" s="85" t="s">
        <v>35</v>
      </c>
      <c r="L37" s="86"/>
      <c r="M37" s="86"/>
      <c r="N37" s="83" t="s">
        <v>40</v>
      </c>
      <c r="O37" s="307"/>
      <c r="Q37" s="83"/>
      <c r="R37" s="83"/>
      <c r="S37" s="83"/>
      <c r="T37" s="83"/>
      <c r="U37" s="83"/>
      <c r="V37" s="83" t="s">
        <v>154</v>
      </c>
      <c r="W37" s="83"/>
      <c r="X37" s="83"/>
      <c r="Z37" s="83"/>
      <c r="AA37" s="83"/>
      <c r="AB37" s="83"/>
      <c r="AC37" s="83"/>
      <c r="AD37" s="83"/>
      <c r="AE37" s="83"/>
      <c r="AG37" s="83"/>
      <c r="AH37" s="83"/>
      <c r="AI37" s="83"/>
      <c r="AJ37" s="83"/>
      <c r="AK37" s="83"/>
      <c r="AL37" s="83"/>
      <c r="AM37" s="83"/>
      <c r="AN37" s="83"/>
      <c r="AO37" s="83"/>
      <c r="AP37" s="83"/>
      <c r="AS37" s="83" t="s">
        <v>72</v>
      </c>
      <c r="AT37" s="83" t="s">
        <v>52</v>
      </c>
      <c r="AU37" s="83"/>
      <c r="AW37" s="83"/>
      <c r="AX37" s="83"/>
      <c r="AY37" s="83"/>
      <c r="BA37" s="83"/>
    </row>
    <row r="38" spans="1:53" x14ac:dyDescent="0.2">
      <c r="A38" s="25">
        <v>31</v>
      </c>
      <c r="B38" s="26">
        <v>45130</v>
      </c>
      <c r="C38" s="27"/>
      <c r="D38" s="25"/>
      <c r="E38" s="28"/>
      <c r="F38" s="27"/>
      <c r="G38" s="28"/>
      <c r="H38" s="27"/>
      <c r="I38" s="28"/>
      <c r="J38" s="27">
        <v>1.2</v>
      </c>
      <c r="K38" s="29" t="s">
        <v>35</v>
      </c>
      <c r="L38" s="39"/>
      <c r="M38" s="31"/>
      <c r="N38" s="27" t="s">
        <v>76</v>
      </c>
      <c r="O38" s="307"/>
      <c r="P38" s="32"/>
      <c r="Q38" s="25"/>
      <c r="R38" s="27"/>
      <c r="S38" s="27"/>
      <c r="T38" s="28"/>
      <c r="U38" s="27"/>
      <c r="V38" s="27" t="s">
        <v>154</v>
      </c>
      <c r="W38" s="28"/>
      <c r="X38" s="33"/>
      <c r="Y38" s="32"/>
      <c r="Z38" s="25"/>
      <c r="AA38" s="27"/>
      <c r="AB38" s="28"/>
      <c r="AC38" s="27"/>
      <c r="AD38" s="27"/>
      <c r="AE38" s="33"/>
      <c r="AG38" s="25"/>
      <c r="AH38" s="34"/>
      <c r="AI38" s="27"/>
      <c r="AJ38" s="27"/>
      <c r="AK38" s="27"/>
      <c r="AL38" s="25"/>
      <c r="AM38" s="34"/>
      <c r="AN38" s="27"/>
      <c r="AO38" s="27"/>
      <c r="AP38" s="36"/>
      <c r="AQ38" s="37"/>
      <c r="AR38" s="46"/>
      <c r="AS38" s="25" t="s">
        <v>72</v>
      </c>
      <c r="AT38" s="27" t="s">
        <v>52</v>
      </c>
      <c r="AU38" s="27"/>
      <c r="AW38" s="25"/>
      <c r="AX38" s="27"/>
      <c r="AY38" s="27"/>
      <c r="AZ38" s="32"/>
      <c r="BA38" s="41"/>
    </row>
    <row r="39" spans="1:53" x14ac:dyDescent="0.2">
      <c r="A39" s="25">
        <v>32</v>
      </c>
      <c r="B39" s="26">
        <v>45131</v>
      </c>
      <c r="C39" s="27"/>
      <c r="D39" s="25"/>
      <c r="E39" s="28"/>
      <c r="F39" s="27"/>
      <c r="G39" s="28"/>
      <c r="H39" s="27"/>
      <c r="I39" s="28"/>
      <c r="J39" s="27">
        <v>1.2</v>
      </c>
      <c r="K39" s="29" t="s">
        <v>35</v>
      </c>
      <c r="L39" s="39"/>
      <c r="M39" s="31"/>
      <c r="N39" s="27" t="s">
        <v>76</v>
      </c>
      <c r="O39" s="307"/>
      <c r="P39" s="32"/>
      <c r="Q39" s="25"/>
      <c r="R39" s="27"/>
      <c r="S39" s="27"/>
      <c r="T39" s="28"/>
      <c r="U39" s="27"/>
      <c r="V39" s="27" t="s">
        <v>154</v>
      </c>
      <c r="W39" s="28"/>
      <c r="X39" s="33"/>
      <c r="Y39" s="32"/>
      <c r="Z39" s="25"/>
      <c r="AA39" s="27"/>
      <c r="AB39" s="28"/>
      <c r="AC39" s="27"/>
      <c r="AD39" s="27"/>
      <c r="AE39" s="33"/>
      <c r="AG39" s="25"/>
      <c r="AH39" s="34"/>
      <c r="AI39" s="27"/>
      <c r="AJ39" s="27"/>
      <c r="AK39" s="27"/>
      <c r="AL39" s="25"/>
      <c r="AM39" s="34"/>
      <c r="AN39" s="27"/>
      <c r="AO39" s="27"/>
      <c r="AP39" s="36"/>
      <c r="AQ39" s="37"/>
      <c r="AR39" s="32"/>
      <c r="AS39" s="25" t="s">
        <v>72</v>
      </c>
      <c r="AT39" s="27" t="s">
        <v>52</v>
      </c>
      <c r="AU39" s="27"/>
      <c r="AW39" s="25"/>
      <c r="AX39" s="27"/>
      <c r="AY39" s="27"/>
      <c r="AZ39" s="32"/>
      <c r="BA39" s="41"/>
    </row>
    <row r="40" spans="1:53" x14ac:dyDescent="0.2">
      <c r="A40" s="25">
        <v>33</v>
      </c>
      <c r="B40" s="26">
        <v>45132</v>
      </c>
      <c r="C40" s="27"/>
      <c r="D40" s="25"/>
      <c r="E40" s="28"/>
      <c r="F40" s="27"/>
      <c r="G40" s="28"/>
      <c r="H40" s="27"/>
      <c r="I40" s="28"/>
      <c r="J40" s="27">
        <v>1.2</v>
      </c>
      <c r="K40" s="29" t="s">
        <v>35</v>
      </c>
      <c r="L40" s="39"/>
      <c r="M40" s="31"/>
      <c r="N40" s="27" t="s">
        <v>76</v>
      </c>
      <c r="O40" s="307"/>
      <c r="P40" s="32"/>
      <c r="Q40" s="25"/>
      <c r="R40" s="27"/>
      <c r="S40" s="27"/>
      <c r="T40" s="28"/>
      <c r="U40" s="27"/>
      <c r="V40" s="27" t="s">
        <v>154</v>
      </c>
      <c r="W40" s="28"/>
      <c r="X40" s="33"/>
      <c r="Y40" s="32"/>
      <c r="Z40" s="25"/>
      <c r="AA40" s="27"/>
      <c r="AB40" s="28"/>
      <c r="AC40" s="27"/>
      <c r="AD40" s="27"/>
      <c r="AE40" s="33"/>
      <c r="AG40" s="25"/>
      <c r="AH40" s="34"/>
      <c r="AI40" s="27"/>
      <c r="AJ40" s="27"/>
      <c r="AK40" s="27"/>
      <c r="AL40" s="25"/>
      <c r="AM40" s="34"/>
      <c r="AN40" s="27"/>
      <c r="AO40" s="27"/>
      <c r="AP40" s="36"/>
      <c r="AQ40" s="37"/>
      <c r="AR40" s="32"/>
      <c r="AS40" s="25" t="s">
        <v>72</v>
      </c>
      <c r="AT40" s="27" t="s">
        <v>52</v>
      </c>
      <c r="AW40" s="25"/>
      <c r="AX40" s="27"/>
      <c r="AY40" s="27"/>
      <c r="AZ40" s="32"/>
      <c r="BA40" s="41"/>
    </row>
    <row r="41" spans="1:53" ht="16" thickBot="1" x14ac:dyDescent="0.25">
      <c r="A41" s="25">
        <v>34</v>
      </c>
      <c r="B41" s="26">
        <v>45133</v>
      </c>
      <c r="C41" s="27"/>
      <c r="D41" s="25"/>
      <c r="E41" s="28"/>
      <c r="F41" s="27"/>
      <c r="G41" s="28"/>
      <c r="H41" s="27"/>
      <c r="I41" s="28"/>
      <c r="J41" s="27">
        <v>1.2</v>
      </c>
      <c r="K41" s="29" t="s">
        <v>35</v>
      </c>
      <c r="L41" s="39"/>
      <c r="M41" s="31"/>
      <c r="N41" s="27" t="s">
        <v>76</v>
      </c>
      <c r="O41" s="307"/>
      <c r="P41" s="32"/>
      <c r="Q41" s="25"/>
      <c r="R41" s="27"/>
      <c r="S41" s="27"/>
      <c r="T41" s="28"/>
      <c r="U41" s="27"/>
      <c r="V41" s="27" t="s">
        <v>154</v>
      </c>
      <c r="W41" s="28"/>
      <c r="X41" s="33"/>
      <c r="Y41" s="32"/>
      <c r="Z41" s="25"/>
      <c r="AA41" s="27"/>
      <c r="AB41" s="28"/>
      <c r="AC41" s="27"/>
      <c r="AD41" s="27"/>
      <c r="AE41" s="33"/>
      <c r="AG41" s="25"/>
      <c r="AH41" s="34"/>
      <c r="AI41" s="27"/>
      <c r="AJ41" s="27"/>
      <c r="AK41" s="27"/>
      <c r="AL41" s="25"/>
      <c r="AM41" s="34"/>
      <c r="AN41" s="27"/>
      <c r="AO41" s="27"/>
      <c r="AP41" s="36"/>
      <c r="AQ41" s="37"/>
      <c r="AR41" s="32"/>
      <c r="AS41" s="25" t="s">
        <v>72</v>
      </c>
      <c r="AT41" s="27" t="s">
        <v>52</v>
      </c>
      <c r="AU41" s="27"/>
      <c r="AW41" s="25"/>
      <c r="AX41" s="27"/>
      <c r="AY41" s="27"/>
      <c r="AZ41" s="32"/>
      <c r="BA41" s="41"/>
    </row>
    <row r="42" spans="1:53" ht="16" thickBot="1" x14ac:dyDescent="0.25">
      <c r="A42" s="25">
        <v>35</v>
      </c>
      <c r="B42" s="26">
        <v>45134</v>
      </c>
      <c r="C42" s="27"/>
      <c r="D42" s="25"/>
      <c r="E42" s="28"/>
      <c r="F42" s="27"/>
      <c r="G42" s="28"/>
      <c r="H42" s="27"/>
      <c r="I42" s="28"/>
      <c r="J42" s="27">
        <v>1.2</v>
      </c>
      <c r="K42" s="29" t="s">
        <v>35</v>
      </c>
      <c r="L42" s="39"/>
      <c r="M42" s="31"/>
      <c r="N42" s="27" t="s">
        <v>76</v>
      </c>
      <c r="O42" s="307"/>
      <c r="P42" s="32"/>
      <c r="Q42" s="25"/>
      <c r="R42" s="27"/>
      <c r="S42" s="27"/>
      <c r="T42" s="28"/>
      <c r="U42" s="27"/>
      <c r="V42" s="27" t="s">
        <v>154</v>
      </c>
      <c r="W42" s="28"/>
      <c r="X42" s="33"/>
      <c r="Y42" s="32"/>
      <c r="Z42" s="25"/>
      <c r="AA42" s="27"/>
      <c r="AB42" s="28"/>
      <c r="AC42" s="27"/>
      <c r="AD42" s="27"/>
      <c r="AE42" s="33"/>
      <c r="AG42" s="25"/>
      <c r="AH42" s="34"/>
      <c r="AI42" s="27"/>
      <c r="AJ42" s="27"/>
      <c r="AK42" s="27"/>
      <c r="AL42" s="25"/>
      <c r="AM42" s="34"/>
      <c r="AN42" s="27"/>
      <c r="AO42" s="27"/>
      <c r="AP42" s="36"/>
      <c r="AQ42" s="37"/>
      <c r="AR42" s="32"/>
      <c r="AS42" s="25" t="s">
        <v>72</v>
      </c>
      <c r="AT42" s="27" t="s">
        <v>52</v>
      </c>
      <c r="AU42" s="58" t="s">
        <v>77</v>
      </c>
      <c r="AW42" s="25"/>
      <c r="AX42" s="27"/>
      <c r="AY42" s="27"/>
      <c r="AZ42" s="32"/>
      <c r="BA42" s="41"/>
    </row>
    <row r="43" spans="1:53" ht="16" thickBot="1" x14ac:dyDescent="0.25">
      <c r="A43" s="25">
        <v>36</v>
      </c>
      <c r="B43" s="26">
        <v>45135</v>
      </c>
      <c r="C43" s="27"/>
      <c r="D43" s="25"/>
      <c r="E43" s="28"/>
      <c r="F43" s="27"/>
      <c r="G43" s="28"/>
      <c r="H43" s="27"/>
      <c r="I43" s="28"/>
      <c r="J43" s="27">
        <v>1.2</v>
      </c>
      <c r="K43" s="29" t="s">
        <v>35</v>
      </c>
      <c r="L43" s="53"/>
      <c r="M43" s="31"/>
      <c r="N43" s="27" t="s">
        <v>76</v>
      </c>
      <c r="O43" s="307"/>
      <c r="P43" s="32"/>
      <c r="Q43" s="25"/>
      <c r="R43" s="27"/>
      <c r="S43" s="27"/>
      <c r="T43" s="28"/>
      <c r="U43" s="27"/>
      <c r="V43" s="27" t="s">
        <v>154</v>
      </c>
      <c r="W43" s="28"/>
      <c r="X43" s="33"/>
      <c r="Y43" s="32"/>
      <c r="Z43" s="25"/>
      <c r="AA43" s="27"/>
      <c r="AB43" s="28"/>
      <c r="AC43" s="27"/>
      <c r="AD43" s="27"/>
      <c r="AE43" s="33"/>
      <c r="AG43" s="25"/>
      <c r="AH43" s="34"/>
      <c r="AI43" s="27"/>
      <c r="AJ43" s="27"/>
      <c r="AK43" s="27"/>
      <c r="AL43" s="25"/>
      <c r="AM43" s="34"/>
      <c r="AN43" s="27"/>
      <c r="AO43" s="27"/>
      <c r="AP43" s="36"/>
      <c r="AQ43" s="37"/>
      <c r="AR43" s="32"/>
      <c r="AS43" s="25" t="s">
        <v>78</v>
      </c>
      <c r="AT43" s="27" t="s">
        <v>52</v>
      </c>
      <c r="AW43" s="25"/>
      <c r="AX43" s="27"/>
      <c r="AY43" s="27"/>
      <c r="AZ43" s="32"/>
      <c r="BA43" s="41"/>
    </row>
    <row r="44" spans="1:53" ht="16" thickBot="1" x14ac:dyDescent="0.25">
      <c r="A44" s="25">
        <v>37</v>
      </c>
      <c r="B44" s="26">
        <v>45136</v>
      </c>
      <c r="C44" s="27"/>
      <c r="D44" s="25"/>
      <c r="E44" s="28"/>
      <c r="F44" s="27"/>
      <c r="G44" s="28"/>
      <c r="H44" s="27"/>
      <c r="I44" s="28"/>
      <c r="J44" s="27">
        <v>1.2</v>
      </c>
      <c r="K44" s="29" t="s">
        <v>35</v>
      </c>
      <c r="L44" s="53"/>
      <c r="M44" s="31"/>
      <c r="N44" s="27" t="s">
        <v>76</v>
      </c>
      <c r="O44" s="307"/>
      <c r="P44" s="32"/>
      <c r="Q44" s="25"/>
      <c r="R44" s="27"/>
      <c r="S44" s="27"/>
      <c r="T44" s="28"/>
      <c r="U44" s="27"/>
      <c r="V44" s="27" t="s">
        <v>154</v>
      </c>
      <c r="W44" s="28"/>
      <c r="X44" s="33"/>
      <c r="Y44" s="32"/>
      <c r="Z44" s="59"/>
      <c r="AA44" s="60"/>
      <c r="AB44" s="61"/>
      <c r="AC44" s="27"/>
      <c r="AD44" s="27"/>
      <c r="AE44" s="33"/>
      <c r="AG44" s="25"/>
      <c r="AH44" s="34"/>
      <c r="AI44" s="27"/>
      <c r="AJ44" s="27"/>
      <c r="AK44" s="27"/>
      <c r="AL44" s="25"/>
      <c r="AM44" s="34"/>
      <c r="AN44" s="27"/>
      <c r="AO44" s="27"/>
      <c r="AP44" s="36"/>
      <c r="AQ44" s="37"/>
      <c r="AR44" s="32"/>
      <c r="AS44" s="25" t="s">
        <v>78</v>
      </c>
      <c r="AT44" s="27" t="s">
        <v>52</v>
      </c>
      <c r="AU44" s="27"/>
      <c r="AW44" s="25"/>
      <c r="AX44" s="27"/>
      <c r="AY44" s="27"/>
      <c r="AZ44" s="32"/>
      <c r="BA44" s="41"/>
    </row>
    <row r="45" spans="1:53" x14ac:dyDescent="0.2">
      <c r="A45" s="25">
        <v>38</v>
      </c>
      <c r="B45" s="26">
        <v>45137</v>
      </c>
      <c r="C45" s="27"/>
      <c r="D45" s="25"/>
      <c r="E45" s="28"/>
      <c r="F45" s="27"/>
      <c r="G45" s="28"/>
      <c r="H45" s="27"/>
      <c r="I45" s="28"/>
      <c r="J45" s="27">
        <v>1.2</v>
      </c>
      <c r="K45" s="29" t="s">
        <v>35</v>
      </c>
      <c r="L45" s="39"/>
      <c r="M45" s="31"/>
      <c r="N45" s="27" t="s">
        <v>76</v>
      </c>
      <c r="O45" s="307"/>
      <c r="P45" s="32"/>
      <c r="Q45" s="25"/>
      <c r="R45" s="27"/>
      <c r="S45" s="27"/>
      <c r="T45" s="28"/>
      <c r="U45" s="27"/>
      <c r="V45" s="27" t="s">
        <v>154</v>
      </c>
      <c r="W45" s="28"/>
      <c r="X45" s="33"/>
      <c r="Y45" s="32"/>
      <c r="Z45" s="25"/>
      <c r="AA45" s="27"/>
      <c r="AB45" s="28"/>
      <c r="AC45" s="27"/>
      <c r="AD45" s="27"/>
      <c r="AE45" s="33"/>
      <c r="AG45" s="25"/>
      <c r="AH45" s="34"/>
      <c r="AI45" s="27"/>
      <c r="AJ45" s="27"/>
      <c r="AK45" s="27"/>
      <c r="AL45" s="25"/>
      <c r="AM45" s="34"/>
      <c r="AN45" s="27"/>
      <c r="AO45" s="27"/>
      <c r="AP45" s="36"/>
      <c r="AQ45" s="37"/>
      <c r="AR45" s="32"/>
      <c r="AS45" s="25" t="s">
        <v>78</v>
      </c>
      <c r="AT45" s="27" t="s">
        <v>52</v>
      </c>
      <c r="AU45" s="27"/>
      <c r="AW45" s="25"/>
      <c r="AX45" s="27"/>
      <c r="AY45" s="27"/>
      <c r="AZ45" s="32"/>
      <c r="BA45" s="41"/>
    </row>
    <row r="46" spans="1:53" ht="16" thickBot="1" x14ac:dyDescent="0.25">
      <c r="A46" s="25">
        <v>39</v>
      </c>
      <c r="B46" s="26">
        <v>45138</v>
      </c>
      <c r="C46" s="27"/>
      <c r="D46" s="25"/>
      <c r="E46" s="28"/>
      <c r="F46" s="27"/>
      <c r="G46" s="28"/>
      <c r="H46" s="27"/>
      <c r="I46" s="28"/>
      <c r="J46" s="27">
        <v>1.2</v>
      </c>
      <c r="K46" s="29" t="s">
        <v>35</v>
      </c>
      <c r="M46" s="31"/>
      <c r="N46" s="27" t="s">
        <v>76</v>
      </c>
      <c r="O46" s="307"/>
      <c r="P46" s="32"/>
      <c r="Q46" s="25"/>
      <c r="R46" s="27"/>
      <c r="S46" s="27"/>
      <c r="T46" s="28"/>
      <c r="U46" s="27"/>
      <c r="V46" s="27" t="s">
        <v>154</v>
      </c>
      <c r="W46" s="28"/>
      <c r="X46" s="33"/>
      <c r="Y46" s="32"/>
      <c r="Z46" s="25"/>
      <c r="AA46" s="27"/>
      <c r="AB46" s="28"/>
      <c r="AC46" s="27"/>
      <c r="AD46" s="27"/>
      <c r="AE46" s="33"/>
      <c r="AG46" s="25"/>
      <c r="AH46" s="34"/>
      <c r="AI46" s="27"/>
      <c r="AJ46" s="27"/>
      <c r="AK46" s="27"/>
      <c r="AL46" s="25"/>
      <c r="AM46" s="34"/>
      <c r="AN46" s="27"/>
      <c r="AO46" s="27"/>
      <c r="AP46" s="36"/>
      <c r="AQ46" s="37"/>
      <c r="AR46" s="32"/>
      <c r="AS46" s="25" t="s">
        <v>78</v>
      </c>
      <c r="AT46" s="27" t="s">
        <v>52</v>
      </c>
      <c r="AU46" s="27"/>
      <c r="AW46" s="25"/>
      <c r="AX46" s="27"/>
      <c r="AY46" s="27"/>
      <c r="AZ46" s="32"/>
      <c r="BA46" s="41"/>
    </row>
    <row r="47" spans="1:53" ht="16" thickBot="1" x14ac:dyDescent="0.25">
      <c r="A47" s="25">
        <v>40</v>
      </c>
      <c r="B47" s="26">
        <v>45139</v>
      </c>
      <c r="C47" s="27"/>
      <c r="D47" s="25"/>
      <c r="E47" s="28"/>
      <c r="F47" s="27"/>
      <c r="G47" s="28"/>
      <c r="H47" s="27"/>
      <c r="I47" s="28"/>
      <c r="J47" s="27">
        <v>1.2</v>
      </c>
      <c r="K47" s="29" t="s">
        <v>35</v>
      </c>
      <c r="L47" s="53"/>
      <c r="M47" s="31"/>
      <c r="N47" s="27" t="s">
        <v>76</v>
      </c>
      <c r="O47" s="308"/>
      <c r="Q47" s="25"/>
      <c r="R47" s="27"/>
      <c r="S47" s="27"/>
      <c r="T47" s="28"/>
      <c r="U47" s="27"/>
      <c r="V47" s="27" t="s">
        <v>154</v>
      </c>
      <c r="W47" s="28"/>
      <c r="X47" s="33"/>
      <c r="Y47" s="32"/>
      <c r="Z47" s="59"/>
      <c r="AA47" s="60"/>
      <c r="AB47" s="61"/>
      <c r="AC47" s="27"/>
      <c r="AD47" s="27"/>
      <c r="AE47" s="33"/>
      <c r="AG47" s="25"/>
      <c r="AH47" s="34"/>
      <c r="AI47" s="27"/>
      <c r="AJ47" s="27"/>
      <c r="AK47" s="27"/>
      <c r="AL47" s="25"/>
      <c r="AM47" s="34"/>
      <c r="AN47" s="27"/>
      <c r="AO47" s="27"/>
      <c r="AP47" s="36"/>
      <c r="AQ47" s="37"/>
      <c r="AR47" s="32"/>
      <c r="AS47" s="25" t="s">
        <v>79</v>
      </c>
      <c r="AT47" s="27" t="s">
        <v>52</v>
      </c>
      <c r="AU47" s="58" t="s">
        <v>80</v>
      </c>
      <c r="AW47" s="25"/>
      <c r="AX47" s="27"/>
      <c r="AY47" s="27"/>
      <c r="AZ47" s="32"/>
      <c r="BA47" s="41"/>
    </row>
    <row r="48" spans="1:53" x14ac:dyDescent="0.2">
      <c r="A48" s="25">
        <v>41</v>
      </c>
      <c r="B48" s="26">
        <v>45140</v>
      </c>
      <c r="C48" s="27"/>
      <c r="D48" s="25"/>
      <c r="E48" s="28"/>
      <c r="F48" s="27"/>
      <c r="G48" s="28"/>
      <c r="H48" s="27"/>
      <c r="I48" s="28"/>
      <c r="J48" s="27">
        <v>1.2</v>
      </c>
      <c r="K48" s="29" t="s">
        <v>35</v>
      </c>
      <c r="M48" s="31"/>
      <c r="N48" s="27" t="s">
        <v>76</v>
      </c>
      <c r="P48" s="32"/>
      <c r="Q48" s="25"/>
      <c r="R48" s="27"/>
      <c r="S48" s="27"/>
      <c r="T48" s="28"/>
      <c r="U48" s="27"/>
      <c r="V48" s="27" t="s">
        <v>154</v>
      </c>
      <c r="W48" s="28"/>
      <c r="X48" s="33"/>
      <c r="Y48" s="32"/>
      <c r="Z48" s="25"/>
      <c r="AA48" s="27"/>
      <c r="AB48" s="28"/>
      <c r="AC48" s="27"/>
      <c r="AD48" s="27"/>
      <c r="AE48" s="33"/>
      <c r="AG48" s="25"/>
      <c r="AH48" s="34"/>
      <c r="AI48" s="27"/>
      <c r="AJ48" s="27"/>
      <c r="AK48" s="27"/>
      <c r="AL48" s="25"/>
      <c r="AM48" s="34"/>
      <c r="AN48" s="27"/>
      <c r="AO48" s="27"/>
      <c r="AP48" s="36"/>
      <c r="AQ48" s="37"/>
      <c r="AR48" s="32"/>
      <c r="AS48" s="25" t="s">
        <v>79</v>
      </c>
      <c r="AT48" s="27" t="s">
        <v>52</v>
      </c>
      <c r="AU48" s="27"/>
      <c r="AW48" s="25"/>
      <c r="AX48" s="27"/>
      <c r="AY48" s="27"/>
      <c r="AZ48" s="32"/>
      <c r="BA48" s="41"/>
    </row>
    <row r="49" spans="1:53" x14ac:dyDescent="0.2">
      <c r="A49" s="25">
        <v>42</v>
      </c>
      <c r="B49" s="26">
        <v>45141</v>
      </c>
      <c r="C49" s="27"/>
      <c r="D49" s="25"/>
      <c r="E49" s="28"/>
      <c r="F49" s="27"/>
      <c r="G49" s="28"/>
      <c r="H49" s="27"/>
      <c r="I49" s="28"/>
      <c r="J49" s="27">
        <v>1.2</v>
      </c>
      <c r="K49" s="29" t="s">
        <v>35</v>
      </c>
      <c r="L49" s="39"/>
      <c r="M49" s="31"/>
      <c r="N49" s="27" t="s">
        <v>76</v>
      </c>
      <c r="P49" s="32"/>
      <c r="Q49" s="25"/>
      <c r="R49" s="27"/>
      <c r="S49" s="27"/>
      <c r="T49" s="28"/>
      <c r="U49" s="27"/>
      <c r="V49" s="27" t="s">
        <v>154</v>
      </c>
      <c r="W49" s="28"/>
      <c r="X49" s="33"/>
      <c r="Y49" s="32"/>
      <c r="Z49" s="25"/>
      <c r="AA49" s="27"/>
      <c r="AB49" s="28"/>
      <c r="AC49" s="27"/>
      <c r="AD49" s="27"/>
      <c r="AE49" s="33"/>
      <c r="AG49" s="25"/>
      <c r="AH49" s="34"/>
      <c r="AI49" s="27"/>
      <c r="AJ49" s="27"/>
      <c r="AK49" s="27"/>
      <c r="AL49" s="25"/>
      <c r="AM49" s="34"/>
      <c r="AN49" s="27"/>
      <c r="AO49" s="27"/>
      <c r="AP49" s="36"/>
      <c r="AQ49" s="37"/>
      <c r="AR49" s="32"/>
      <c r="AS49" s="25" t="s">
        <v>79</v>
      </c>
      <c r="AT49" s="27" t="s">
        <v>52</v>
      </c>
      <c r="AU49" s="27"/>
      <c r="AW49" s="25"/>
      <c r="AX49" s="27"/>
      <c r="AY49" s="27"/>
      <c r="AZ49" s="32"/>
      <c r="BA49" s="41"/>
    </row>
    <row r="50" spans="1:53" ht="16" thickBot="1" x14ac:dyDescent="0.25">
      <c r="A50" s="25">
        <v>43</v>
      </c>
      <c r="B50" s="26">
        <v>45142</v>
      </c>
      <c r="C50" s="27"/>
      <c r="D50" s="25"/>
      <c r="E50" s="28"/>
      <c r="F50" s="27"/>
      <c r="G50" s="28"/>
      <c r="H50" s="27"/>
      <c r="I50" s="28"/>
      <c r="J50" s="27">
        <v>1.2</v>
      </c>
      <c r="K50" s="29" t="s">
        <v>35</v>
      </c>
      <c r="L50" s="39"/>
      <c r="M50" s="31"/>
      <c r="N50" s="27" t="s">
        <v>76</v>
      </c>
      <c r="P50" s="32"/>
      <c r="Q50" s="25"/>
      <c r="R50" s="27"/>
      <c r="S50" s="27"/>
      <c r="T50" s="28"/>
      <c r="U50" s="27"/>
      <c r="V50" s="27" t="s">
        <v>154</v>
      </c>
      <c r="W50" s="28"/>
      <c r="X50" s="33"/>
      <c r="Y50" s="32"/>
      <c r="Z50" s="25"/>
      <c r="AA50" s="27"/>
      <c r="AB50" s="28"/>
      <c r="AC50" s="27"/>
      <c r="AD50" s="27"/>
      <c r="AE50" s="33"/>
      <c r="AG50" s="25"/>
      <c r="AH50" s="34"/>
      <c r="AI50" s="27"/>
      <c r="AJ50" s="27"/>
      <c r="AK50" s="27"/>
      <c r="AL50" s="25"/>
      <c r="AM50" s="34"/>
      <c r="AN50" s="27"/>
      <c r="AO50" s="27"/>
      <c r="AP50" s="36"/>
      <c r="AQ50" s="37"/>
      <c r="AR50" s="32"/>
      <c r="AS50" s="25" t="s">
        <v>79</v>
      </c>
      <c r="AT50" s="27" t="s">
        <v>52</v>
      </c>
      <c r="AU50" s="27"/>
      <c r="AW50" s="25"/>
      <c r="AX50" s="27"/>
      <c r="AY50" s="27"/>
      <c r="AZ50" s="32"/>
      <c r="BA50" s="41"/>
    </row>
    <row r="51" spans="1:53" ht="16" thickBot="1" x14ac:dyDescent="0.25">
      <c r="A51" s="25">
        <v>44</v>
      </c>
      <c r="B51" s="26">
        <v>45143</v>
      </c>
      <c r="C51" s="27"/>
      <c r="D51" s="25"/>
      <c r="E51" s="28"/>
      <c r="F51" s="27"/>
      <c r="G51" s="28"/>
      <c r="H51" s="27"/>
      <c r="I51" s="28"/>
      <c r="J51" s="27">
        <v>1.2</v>
      </c>
      <c r="K51" s="29" t="s">
        <v>35</v>
      </c>
      <c r="L51" s="39"/>
      <c r="M51" s="31"/>
      <c r="N51" s="27" t="s">
        <v>76</v>
      </c>
      <c r="P51" s="32"/>
      <c r="Q51" s="27"/>
      <c r="R51" s="27"/>
      <c r="S51" s="27"/>
      <c r="T51" s="28"/>
      <c r="U51" s="27"/>
      <c r="V51" s="27" t="s">
        <v>154</v>
      </c>
      <c r="W51" s="28"/>
      <c r="X51" s="33"/>
      <c r="Y51" s="32"/>
      <c r="Z51" s="59"/>
      <c r="AA51" s="60"/>
      <c r="AB51" s="61"/>
      <c r="AC51" s="27"/>
      <c r="AD51" s="27"/>
      <c r="AE51" s="33"/>
      <c r="AG51" s="25"/>
      <c r="AH51" s="34"/>
      <c r="AI51" s="27"/>
      <c r="AJ51" s="27"/>
      <c r="AK51" s="27"/>
      <c r="AL51" s="25"/>
      <c r="AM51" s="34"/>
      <c r="AN51" s="27"/>
      <c r="AO51" s="27"/>
      <c r="AP51" s="36"/>
      <c r="AQ51" s="37"/>
      <c r="AR51" s="32"/>
      <c r="AS51" s="25" t="s">
        <v>79</v>
      </c>
      <c r="AT51" s="27" t="s">
        <v>52</v>
      </c>
      <c r="AU51" s="58" t="s">
        <v>81</v>
      </c>
      <c r="AW51" s="25"/>
      <c r="AX51" s="27"/>
      <c r="AY51" s="27"/>
      <c r="AZ51" s="32"/>
      <c r="BA51" s="41"/>
    </row>
    <row r="52" spans="1:53" x14ac:dyDescent="0.2">
      <c r="A52" s="25">
        <v>45</v>
      </c>
      <c r="B52" s="26">
        <v>45144</v>
      </c>
      <c r="C52" s="27"/>
      <c r="D52" s="25"/>
      <c r="E52" s="28"/>
      <c r="F52" s="27"/>
      <c r="G52" s="28"/>
      <c r="H52" s="27"/>
      <c r="I52" s="28"/>
      <c r="J52" s="27">
        <v>1.2</v>
      </c>
      <c r="K52" s="29" t="s">
        <v>35</v>
      </c>
      <c r="L52" s="39"/>
      <c r="M52" s="31"/>
      <c r="N52" s="27" t="s">
        <v>76</v>
      </c>
      <c r="P52" s="32"/>
      <c r="Q52" s="25"/>
      <c r="R52" s="27"/>
      <c r="S52" s="27"/>
      <c r="T52" s="28"/>
      <c r="U52" s="27"/>
      <c r="V52" s="27" t="s">
        <v>154</v>
      </c>
      <c r="W52" s="28"/>
      <c r="X52" s="33"/>
      <c r="Y52" s="32"/>
      <c r="Z52" s="25"/>
      <c r="AA52" s="27"/>
      <c r="AB52" s="28"/>
      <c r="AC52" s="27"/>
      <c r="AD52" s="27"/>
      <c r="AE52" s="33"/>
      <c r="AG52" s="25"/>
      <c r="AH52" s="34"/>
      <c r="AI52" s="27"/>
      <c r="AJ52" s="27"/>
      <c r="AK52" s="27"/>
      <c r="AL52" s="25"/>
      <c r="AM52" s="34"/>
      <c r="AN52" s="27"/>
      <c r="AO52" s="27"/>
      <c r="AP52" s="36"/>
      <c r="AQ52" s="37"/>
      <c r="AR52" s="32"/>
      <c r="AS52" s="25" t="s">
        <v>82</v>
      </c>
      <c r="AT52" s="27" t="s">
        <v>52</v>
      </c>
      <c r="AW52" s="25"/>
      <c r="AX52" s="27"/>
      <c r="AY52" s="27"/>
      <c r="AZ52" s="32"/>
      <c r="BA52" s="41"/>
    </row>
    <row r="53" spans="1:53" x14ac:dyDescent="0.2">
      <c r="A53" s="25">
        <v>46</v>
      </c>
      <c r="B53" s="26">
        <v>45145</v>
      </c>
      <c r="C53" s="27"/>
      <c r="D53" s="25"/>
      <c r="E53" s="28"/>
      <c r="F53" s="27"/>
      <c r="G53" s="28"/>
      <c r="H53" s="27"/>
      <c r="I53" s="28"/>
      <c r="J53" s="27">
        <v>1.2</v>
      </c>
      <c r="K53" s="29" t="s">
        <v>35</v>
      </c>
      <c r="L53" s="39"/>
      <c r="M53" s="31"/>
      <c r="N53" s="27" t="s">
        <v>76</v>
      </c>
      <c r="P53" s="32"/>
      <c r="Q53" s="25"/>
      <c r="R53" s="27"/>
      <c r="S53" s="27"/>
      <c r="T53" s="28"/>
      <c r="U53" s="27"/>
      <c r="V53" s="27" t="s">
        <v>154</v>
      </c>
      <c r="W53" s="28"/>
      <c r="X53" s="33"/>
      <c r="Y53" s="32"/>
      <c r="Z53" s="25"/>
      <c r="AA53" s="27"/>
      <c r="AB53" s="28"/>
      <c r="AC53" s="27"/>
      <c r="AD53" s="27"/>
      <c r="AE53" s="33"/>
      <c r="AG53" s="25"/>
      <c r="AH53" s="34"/>
      <c r="AI53" s="27"/>
      <c r="AJ53" s="27"/>
      <c r="AK53" s="27"/>
      <c r="AL53" s="25"/>
      <c r="AM53" s="34"/>
      <c r="AN53" s="27"/>
      <c r="AO53" s="27"/>
      <c r="AP53" s="36"/>
      <c r="AQ53" s="37"/>
      <c r="AR53" s="32"/>
      <c r="AS53" s="25" t="s">
        <v>82</v>
      </c>
      <c r="AT53" s="27" t="s">
        <v>52</v>
      </c>
      <c r="AU53" s="27"/>
      <c r="AW53" s="25"/>
      <c r="AX53" s="27"/>
      <c r="AY53" s="27"/>
      <c r="AZ53" s="32"/>
      <c r="BA53" s="41"/>
    </row>
    <row r="54" spans="1:53" x14ac:dyDescent="0.2">
      <c r="A54" s="25">
        <v>47</v>
      </c>
      <c r="B54" s="26">
        <v>45146</v>
      </c>
      <c r="C54" s="27"/>
      <c r="D54" s="25"/>
      <c r="E54" s="28"/>
      <c r="F54" s="27"/>
      <c r="G54" s="28"/>
      <c r="H54" s="27"/>
      <c r="I54" s="28"/>
      <c r="J54" s="27">
        <v>1.2</v>
      </c>
      <c r="K54" s="29" t="s">
        <v>35</v>
      </c>
      <c r="L54" s="39"/>
      <c r="M54" s="31"/>
      <c r="N54" s="27" t="s">
        <v>76</v>
      </c>
      <c r="P54" s="32"/>
      <c r="Q54" s="25"/>
      <c r="R54" s="27"/>
      <c r="S54" s="27"/>
      <c r="T54" s="28"/>
      <c r="U54" s="27"/>
      <c r="V54" s="27" t="s">
        <v>154</v>
      </c>
      <c r="W54" s="28"/>
      <c r="X54" s="33"/>
      <c r="Y54" s="32"/>
      <c r="Z54" s="25"/>
      <c r="AA54" s="27"/>
      <c r="AB54" s="28"/>
      <c r="AC54" s="27"/>
      <c r="AD54" s="27"/>
      <c r="AE54" s="33"/>
      <c r="AG54" s="25"/>
      <c r="AH54" s="34"/>
      <c r="AI54" s="27"/>
      <c r="AJ54" s="27"/>
      <c r="AK54" s="27"/>
      <c r="AL54" s="25"/>
      <c r="AM54" s="34"/>
      <c r="AN54" s="27"/>
      <c r="AO54" s="27"/>
      <c r="AP54" s="36"/>
      <c r="AQ54" s="37"/>
      <c r="AR54" s="32"/>
      <c r="AS54" s="25" t="s">
        <v>82</v>
      </c>
      <c r="AT54" s="27" t="s">
        <v>52</v>
      </c>
      <c r="AU54" s="27"/>
      <c r="AW54" s="25"/>
      <c r="AX54" s="27"/>
      <c r="AY54" s="27"/>
      <c r="AZ54" s="32"/>
      <c r="BA54" s="41"/>
    </row>
    <row r="55" spans="1:53" x14ac:dyDescent="0.2">
      <c r="A55" s="25">
        <v>48</v>
      </c>
      <c r="B55" s="26">
        <v>45147</v>
      </c>
      <c r="C55" s="27"/>
      <c r="D55" s="25"/>
      <c r="E55" s="28"/>
      <c r="F55" s="27"/>
      <c r="G55" s="28"/>
      <c r="H55" s="27"/>
      <c r="I55" s="28"/>
      <c r="J55" s="27">
        <v>1.2</v>
      </c>
      <c r="K55" s="29" t="s">
        <v>35</v>
      </c>
      <c r="M55" s="31"/>
      <c r="N55" s="27" t="s">
        <v>76</v>
      </c>
      <c r="P55" s="32"/>
      <c r="Q55" s="25"/>
      <c r="R55" s="27"/>
      <c r="S55" s="27"/>
      <c r="T55" s="28"/>
      <c r="U55" s="27"/>
      <c r="V55" s="27" t="s">
        <v>154</v>
      </c>
      <c r="W55" s="28"/>
      <c r="X55" s="33"/>
      <c r="Y55" s="32"/>
      <c r="Z55" s="25"/>
      <c r="AA55" s="27"/>
      <c r="AB55" s="28"/>
      <c r="AC55" s="27"/>
      <c r="AD55" s="27"/>
      <c r="AE55" s="33"/>
      <c r="AG55" s="25"/>
      <c r="AH55" s="34"/>
      <c r="AI55" s="27"/>
      <c r="AJ55" s="27"/>
      <c r="AK55" s="27"/>
      <c r="AL55" s="25"/>
      <c r="AM55" s="34"/>
      <c r="AN55" s="27"/>
      <c r="AO55" s="27"/>
      <c r="AP55" s="36"/>
      <c r="AQ55" s="37"/>
      <c r="AR55" s="32"/>
      <c r="AS55" s="25" t="s">
        <v>82</v>
      </c>
      <c r="AT55" s="27" t="s">
        <v>52</v>
      </c>
      <c r="AU55" s="27"/>
      <c r="AW55" s="25"/>
      <c r="AX55" s="27"/>
      <c r="AY55" s="27"/>
      <c r="AZ55" s="32"/>
      <c r="BA55" s="41"/>
    </row>
    <row r="56" spans="1:53" ht="16" thickBot="1" x14ac:dyDescent="0.25">
      <c r="A56" s="25">
        <v>49</v>
      </c>
      <c r="B56" s="26">
        <v>45148</v>
      </c>
      <c r="C56" s="27"/>
      <c r="D56" s="25"/>
      <c r="E56" s="28"/>
      <c r="F56" s="27"/>
      <c r="G56" s="28"/>
      <c r="H56" s="27"/>
      <c r="I56" s="28"/>
      <c r="J56" s="27">
        <v>1.2</v>
      </c>
      <c r="K56" s="29" t="s">
        <v>35</v>
      </c>
      <c r="L56" s="39"/>
      <c r="M56" s="31"/>
      <c r="N56" s="27" t="s">
        <v>76</v>
      </c>
      <c r="P56" s="32"/>
      <c r="Q56" s="25"/>
      <c r="R56" s="27"/>
      <c r="S56" s="27"/>
      <c r="T56" s="28"/>
      <c r="U56" s="27"/>
      <c r="V56" s="27" t="s">
        <v>154</v>
      </c>
      <c r="W56" s="28"/>
      <c r="X56" s="33"/>
      <c r="Y56" s="32"/>
      <c r="Z56" s="25"/>
      <c r="AA56" s="27"/>
      <c r="AB56" s="28"/>
      <c r="AC56" s="27"/>
      <c r="AD56" s="27"/>
      <c r="AE56" s="33"/>
      <c r="AG56" s="25"/>
      <c r="AH56" s="34"/>
      <c r="AI56" s="27"/>
      <c r="AJ56" s="27"/>
      <c r="AK56" s="27"/>
      <c r="AL56" s="25"/>
      <c r="AM56" s="34"/>
      <c r="AN56" s="27"/>
      <c r="AO56" s="27"/>
      <c r="AP56" s="36"/>
      <c r="AQ56" s="37"/>
      <c r="AR56" s="32"/>
      <c r="AS56" s="25" t="s">
        <v>82</v>
      </c>
      <c r="AT56" s="27" t="s">
        <v>52</v>
      </c>
      <c r="AU56" s="27"/>
      <c r="AW56" s="25"/>
      <c r="AX56" s="27"/>
      <c r="AY56" s="27"/>
      <c r="AZ56" s="32"/>
      <c r="BA56" s="41"/>
    </row>
    <row r="57" spans="1:53" ht="16" thickBot="1" x14ac:dyDescent="0.25">
      <c r="A57" s="25">
        <v>50</v>
      </c>
      <c r="B57" s="26">
        <v>45149</v>
      </c>
      <c r="C57" s="27"/>
      <c r="D57" s="25"/>
      <c r="E57" s="28"/>
      <c r="F57" s="27"/>
      <c r="G57" s="28"/>
      <c r="H57" s="27"/>
      <c r="I57" s="28"/>
      <c r="J57" s="27">
        <v>1.2</v>
      </c>
      <c r="K57" s="29" t="s">
        <v>35</v>
      </c>
      <c r="L57" s="44" t="s">
        <v>83</v>
      </c>
      <c r="M57" s="31"/>
      <c r="N57" s="27" t="s">
        <v>76</v>
      </c>
      <c r="O57" s="45" t="s">
        <v>84</v>
      </c>
      <c r="P57" s="46" t="s">
        <v>85</v>
      </c>
      <c r="Q57" s="25"/>
      <c r="R57" s="27"/>
      <c r="S57" s="27"/>
      <c r="T57" s="28"/>
      <c r="U57" s="27"/>
      <c r="V57" s="27" t="s">
        <v>154</v>
      </c>
      <c r="W57" s="28"/>
      <c r="X57" s="33"/>
      <c r="Y57" s="32"/>
      <c r="Z57" s="25"/>
      <c r="AA57" s="27"/>
      <c r="AB57" s="28"/>
      <c r="AC57" s="27"/>
      <c r="AD57" s="27"/>
      <c r="AE57" s="33"/>
      <c r="AG57" s="25"/>
      <c r="AH57" s="34"/>
      <c r="AI57" s="27"/>
      <c r="AJ57" s="27"/>
      <c r="AK57" s="27"/>
      <c r="AL57" s="25"/>
      <c r="AM57" s="34"/>
      <c r="AN57" s="27"/>
      <c r="AO57" s="27"/>
      <c r="AP57" s="36"/>
      <c r="AQ57" s="37"/>
      <c r="AR57" s="32"/>
      <c r="AS57" s="25" t="s">
        <v>86</v>
      </c>
      <c r="AT57" s="27" t="s">
        <v>87</v>
      </c>
      <c r="AU57" s="58" t="s">
        <v>88</v>
      </c>
      <c r="AW57" s="25"/>
      <c r="AX57" s="27"/>
      <c r="AY57" s="27"/>
      <c r="AZ57" s="32"/>
      <c r="BA57" s="41"/>
    </row>
    <row r="58" spans="1:53" ht="16" thickBot="1" x14ac:dyDescent="0.25">
      <c r="A58" s="25">
        <v>51</v>
      </c>
      <c r="B58" s="26">
        <v>45150</v>
      </c>
      <c r="C58" s="27"/>
      <c r="D58" s="25"/>
      <c r="E58" s="28"/>
      <c r="F58" s="27"/>
      <c r="G58" s="28"/>
      <c r="H58" s="27"/>
      <c r="I58" s="28"/>
      <c r="J58" s="27">
        <v>2</v>
      </c>
      <c r="K58" s="29" t="s">
        <v>35</v>
      </c>
      <c r="L58" s="88" t="s">
        <v>89</v>
      </c>
      <c r="M58" s="31"/>
      <c r="N58" s="27"/>
      <c r="P58" s="46"/>
      <c r="Q58" s="27"/>
      <c r="R58" s="27"/>
      <c r="S58" s="27"/>
      <c r="T58" s="28"/>
      <c r="U58" s="27"/>
      <c r="V58" s="27" t="s">
        <v>154</v>
      </c>
      <c r="W58" s="28"/>
      <c r="X58" s="33"/>
      <c r="Y58" s="32"/>
      <c r="Z58" s="25"/>
      <c r="AA58" s="27"/>
      <c r="AB58" s="28"/>
      <c r="AC58" s="27"/>
      <c r="AD58" s="27"/>
      <c r="AE58" s="33"/>
      <c r="AG58" s="25"/>
      <c r="AH58" s="34"/>
      <c r="AI58" s="27"/>
      <c r="AJ58" s="27"/>
      <c r="AK58" s="27"/>
      <c r="AL58" s="25"/>
      <c r="AM58" s="34"/>
      <c r="AN58" s="27"/>
      <c r="AO58" s="27"/>
      <c r="AP58" s="36"/>
      <c r="AQ58" s="37"/>
      <c r="AR58" s="32"/>
      <c r="AS58" s="25" t="s">
        <v>86</v>
      </c>
      <c r="AT58" s="27" t="s">
        <v>87</v>
      </c>
      <c r="AU58" s="27"/>
      <c r="AW58" s="25"/>
      <c r="AX58" s="27"/>
      <c r="AY58" s="27"/>
      <c r="AZ58" s="32"/>
      <c r="BA58" s="41"/>
    </row>
    <row r="59" spans="1:53" ht="16" thickBot="1" x14ac:dyDescent="0.25">
      <c r="A59" s="25">
        <v>52</v>
      </c>
      <c r="B59" s="26">
        <v>45151</v>
      </c>
      <c r="C59" s="27"/>
      <c r="D59" s="25"/>
      <c r="E59" s="28"/>
      <c r="F59" s="27"/>
      <c r="G59" s="28"/>
      <c r="H59" s="27"/>
      <c r="I59" s="28"/>
      <c r="J59" s="27">
        <v>2</v>
      </c>
      <c r="K59" s="29" t="s">
        <v>35</v>
      </c>
      <c r="L59" s="39"/>
      <c r="M59" s="31"/>
      <c r="N59" s="27"/>
      <c r="P59" s="32"/>
      <c r="Q59" s="25"/>
      <c r="R59" s="27"/>
      <c r="S59" s="27"/>
      <c r="T59" s="28"/>
      <c r="U59" s="27"/>
      <c r="V59" s="27" t="s">
        <v>154</v>
      </c>
      <c r="W59" s="28"/>
      <c r="X59" s="33"/>
      <c r="Y59" s="32"/>
      <c r="Z59" s="25"/>
      <c r="AA59" s="27"/>
      <c r="AB59" s="28"/>
      <c r="AC59" s="27"/>
      <c r="AD59" s="27"/>
      <c r="AE59" s="33"/>
      <c r="AG59" s="25"/>
      <c r="AH59" s="34"/>
      <c r="AI59" s="27"/>
      <c r="AJ59" s="27"/>
      <c r="AK59" s="27"/>
      <c r="AL59" s="25"/>
      <c r="AM59" s="34"/>
      <c r="AN59" s="27"/>
      <c r="AO59" s="27"/>
      <c r="AP59" s="36"/>
      <c r="AQ59" s="37"/>
      <c r="AR59" s="32"/>
      <c r="AS59" s="25" t="s">
        <v>86</v>
      </c>
      <c r="AT59" s="27" t="s">
        <v>87</v>
      </c>
      <c r="AW59" s="25"/>
      <c r="AX59" s="27"/>
      <c r="AY59" s="27"/>
      <c r="AZ59" s="32"/>
      <c r="BA59" s="41"/>
    </row>
    <row r="60" spans="1:53" ht="16" thickBot="1" x14ac:dyDescent="0.25">
      <c r="A60" s="25">
        <v>53</v>
      </c>
      <c r="B60" s="26">
        <v>45152</v>
      </c>
      <c r="C60" s="27"/>
      <c r="D60" s="25"/>
      <c r="E60" s="28"/>
      <c r="F60" s="27"/>
      <c r="G60" s="28"/>
      <c r="H60" s="27"/>
      <c r="I60" s="28"/>
      <c r="J60" s="27">
        <v>2</v>
      </c>
      <c r="K60" s="29" t="s">
        <v>35</v>
      </c>
      <c r="L60" s="39"/>
      <c r="M60" s="31"/>
      <c r="N60" s="27"/>
      <c r="P60" s="32"/>
      <c r="Q60" s="25"/>
      <c r="R60" s="27"/>
      <c r="S60" s="27"/>
      <c r="T60" s="28"/>
      <c r="U60" s="27"/>
      <c r="V60" s="27" t="s">
        <v>154</v>
      </c>
      <c r="W60" s="28"/>
      <c r="X60" s="33"/>
      <c r="Y60" s="32"/>
      <c r="Z60" s="25"/>
      <c r="AA60" s="27"/>
      <c r="AB60" s="28"/>
      <c r="AC60" s="27"/>
      <c r="AD60" s="27"/>
      <c r="AE60" s="33"/>
      <c r="AG60" s="25"/>
      <c r="AH60" s="34"/>
      <c r="AI60" s="27"/>
      <c r="AJ60" s="27"/>
      <c r="AK60" s="27"/>
      <c r="AL60" s="25"/>
      <c r="AM60" s="34"/>
      <c r="AN60" s="27"/>
      <c r="AO60" s="27"/>
      <c r="AP60" s="36"/>
      <c r="AQ60" s="37"/>
      <c r="AR60" s="32"/>
      <c r="AS60" s="25" t="s">
        <v>86</v>
      </c>
      <c r="AT60" s="27" t="s">
        <v>87</v>
      </c>
      <c r="AU60" s="27"/>
      <c r="AW60" s="25" t="s">
        <v>90</v>
      </c>
      <c r="AX60" s="27" t="s">
        <v>91</v>
      </c>
      <c r="AY60" s="89" t="s">
        <v>92</v>
      </c>
      <c r="AZ60" s="32"/>
      <c r="BA60" s="41"/>
    </row>
    <row r="61" spans="1:53" ht="16" thickBot="1" x14ac:dyDescent="0.25">
      <c r="A61" s="25">
        <v>54</v>
      </c>
      <c r="B61" s="26">
        <v>45153</v>
      </c>
      <c r="C61" s="27"/>
      <c r="D61" s="25"/>
      <c r="E61" s="28"/>
      <c r="F61" s="27"/>
      <c r="G61" s="28"/>
      <c r="H61" s="27"/>
      <c r="I61" s="28"/>
      <c r="J61" s="27">
        <v>2</v>
      </c>
      <c r="K61" s="29" t="s">
        <v>35</v>
      </c>
      <c r="L61" s="39"/>
      <c r="M61" s="31"/>
      <c r="N61" s="27"/>
      <c r="P61" s="32"/>
      <c r="Q61" s="25"/>
      <c r="R61" s="27"/>
      <c r="S61" s="27"/>
      <c r="T61" s="28"/>
      <c r="U61" s="27"/>
      <c r="V61" s="27" t="s">
        <v>154</v>
      </c>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U61" s="27"/>
      <c r="AW61" s="25" t="s">
        <v>90</v>
      </c>
      <c r="AX61" s="27" t="s">
        <v>91</v>
      </c>
      <c r="AY61" s="27"/>
      <c r="AZ61" s="32"/>
      <c r="BA61" s="41"/>
    </row>
    <row r="62" spans="1:53" ht="16" thickBot="1" x14ac:dyDescent="0.25">
      <c r="A62" s="25">
        <v>55</v>
      </c>
      <c r="B62" s="26">
        <v>45154</v>
      </c>
      <c r="C62" s="27"/>
      <c r="D62" s="25"/>
      <c r="E62" s="28"/>
      <c r="F62" s="27"/>
      <c r="G62" s="28"/>
      <c r="H62" s="27"/>
      <c r="I62" s="28"/>
      <c r="J62" s="27">
        <v>2</v>
      </c>
      <c r="K62" s="29" t="s">
        <v>35</v>
      </c>
      <c r="L62" s="39"/>
      <c r="M62" s="31"/>
      <c r="N62" s="27"/>
      <c r="P62" s="32"/>
      <c r="Q62" s="25"/>
      <c r="R62" s="27"/>
      <c r="S62" s="27"/>
      <c r="T62" s="28"/>
      <c r="U62" s="27"/>
      <c r="V62" s="27" t="s">
        <v>154</v>
      </c>
      <c r="W62" s="28"/>
      <c r="X62" s="33"/>
      <c r="Y62" s="32"/>
      <c r="Z62" s="25"/>
      <c r="AA62" s="27"/>
      <c r="AB62" s="28"/>
      <c r="AC62" s="27"/>
      <c r="AD62" s="27"/>
      <c r="AE62" s="33"/>
      <c r="AG62" s="25"/>
      <c r="AH62" s="34"/>
      <c r="AI62" s="27"/>
      <c r="AJ62" s="27"/>
      <c r="AK62" s="27"/>
      <c r="AL62" s="25"/>
      <c r="AM62" s="34"/>
      <c r="AN62" s="27"/>
      <c r="AO62" s="27"/>
      <c r="AP62" s="36"/>
      <c r="AQ62" s="82" t="s">
        <v>93</v>
      </c>
      <c r="AR62" s="32"/>
      <c r="AS62" s="25" t="s">
        <v>86</v>
      </c>
      <c r="AT62" s="27" t="s">
        <v>87</v>
      </c>
      <c r="AW62" s="25" t="s">
        <v>90</v>
      </c>
      <c r="AX62" s="27" t="s">
        <v>91</v>
      </c>
      <c r="AY62" s="27"/>
      <c r="AZ62" s="32"/>
      <c r="BA62" s="41"/>
    </row>
    <row r="63" spans="1:53" x14ac:dyDescent="0.2">
      <c r="A63" s="25">
        <v>56</v>
      </c>
      <c r="B63" s="26">
        <v>45155</v>
      </c>
      <c r="C63" s="27"/>
      <c r="D63" s="25"/>
      <c r="E63" s="28"/>
      <c r="F63" s="27"/>
      <c r="G63" s="28"/>
      <c r="H63" s="27"/>
      <c r="I63" s="28"/>
      <c r="J63" s="27">
        <v>2</v>
      </c>
      <c r="K63" s="29" t="s">
        <v>35</v>
      </c>
      <c r="L63" s="39"/>
      <c r="M63" s="31"/>
      <c r="N63" s="27"/>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c r="AO63" s="27"/>
      <c r="AP63" s="36"/>
      <c r="AQ63" s="37"/>
      <c r="AR63" s="32"/>
      <c r="AS63" s="25" t="s">
        <v>86</v>
      </c>
      <c r="AT63" s="27" t="s">
        <v>87</v>
      </c>
      <c r="AU63" s="27"/>
      <c r="AW63" s="25" t="s">
        <v>90</v>
      </c>
      <c r="AX63" s="27" t="s">
        <v>91</v>
      </c>
      <c r="AY63" s="27"/>
      <c r="AZ63" s="32"/>
      <c r="BA63" s="41"/>
    </row>
    <row r="64" spans="1:53" ht="16" thickBot="1" x14ac:dyDescent="0.25">
      <c r="A64" s="25">
        <v>57</v>
      </c>
      <c r="B64" s="26">
        <v>45156</v>
      </c>
      <c r="C64" s="27"/>
      <c r="D64" s="25"/>
      <c r="E64" s="28"/>
      <c r="F64" s="27"/>
      <c r="G64" s="28"/>
      <c r="H64" s="27"/>
      <c r="I64" s="28"/>
      <c r="J64" s="27">
        <v>2</v>
      </c>
      <c r="K64" s="29" t="s">
        <v>35</v>
      </c>
      <c r="L64" s="39"/>
      <c r="M64" s="31"/>
      <c r="N64" s="27"/>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c r="AO64" s="27"/>
      <c r="AP64" s="36"/>
      <c r="AQ64" s="37"/>
      <c r="AR64" s="32"/>
      <c r="AS64" s="25" t="s">
        <v>86</v>
      </c>
      <c r="AT64" s="27" t="s">
        <v>87</v>
      </c>
      <c r="AU64" s="27"/>
      <c r="AW64" s="25" t="s">
        <v>90</v>
      </c>
      <c r="AX64" s="27" t="s">
        <v>91</v>
      </c>
      <c r="AY64" s="27"/>
      <c r="AZ64" s="32"/>
      <c r="BA64" s="41"/>
    </row>
    <row r="65" spans="1:53" ht="16" thickBot="1" x14ac:dyDescent="0.25">
      <c r="A65" s="25">
        <v>58</v>
      </c>
      <c r="B65" s="26">
        <v>45157</v>
      </c>
      <c r="C65" s="27"/>
      <c r="D65" s="25"/>
      <c r="E65" s="28"/>
      <c r="F65" s="27"/>
      <c r="G65" s="28"/>
      <c r="H65" s="27"/>
      <c r="I65" s="28"/>
      <c r="J65" s="27">
        <v>2</v>
      </c>
      <c r="K65" s="29" t="s">
        <v>35</v>
      </c>
      <c r="L65" s="39"/>
      <c r="M65" s="31"/>
      <c r="N65" s="27"/>
      <c r="P65" s="32"/>
      <c r="Q65" s="25"/>
      <c r="R65" s="27"/>
      <c r="S65" s="27"/>
      <c r="T65" s="28"/>
      <c r="U65" s="27"/>
      <c r="V65" s="27" t="s">
        <v>154</v>
      </c>
      <c r="W65" s="28"/>
      <c r="X65" s="33"/>
      <c r="Y65" s="32"/>
      <c r="Z65" s="25"/>
      <c r="AA65" s="27"/>
      <c r="AB65" s="28"/>
      <c r="AC65" s="27"/>
      <c r="AD65" s="27"/>
      <c r="AE65" s="33"/>
      <c r="AG65" s="25"/>
      <c r="AH65" s="34"/>
      <c r="AI65" s="27"/>
      <c r="AJ65" s="27"/>
      <c r="AK65" s="27"/>
      <c r="AL65" s="25"/>
      <c r="AM65" s="34"/>
      <c r="AN65" s="27"/>
      <c r="AO65" s="27"/>
      <c r="AP65" s="36"/>
      <c r="AQ65" s="37"/>
      <c r="AR65" s="32"/>
      <c r="AS65" s="25" t="s">
        <v>86</v>
      </c>
      <c r="AT65" s="27" t="s">
        <v>87</v>
      </c>
      <c r="AU65" s="27"/>
      <c r="AW65" s="25" t="s">
        <v>90</v>
      </c>
      <c r="AX65" s="27" t="s">
        <v>91</v>
      </c>
      <c r="AY65" s="89" t="s">
        <v>94</v>
      </c>
      <c r="AZ65" s="32"/>
      <c r="BA65" s="41"/>
    </row>
    <row r="66" spans="1:53" ht="16" thickBot="1" x14ac:dyDescent="0.25">
      <c r="A66" s="25">
        <v>59</v>
      </c>
      <c r="B66" s="26">
        <v>45158</v>
      </c>
      <c r="C66" s="27"/>
      <c r="D66" s="25"/>
      <c r="E66" s="28"/>
      <c r="F66" s="27"/>
      <c r="G66" s="28"/>
      <c r="H66" s="27"/>
      <c r="I66" s="28"/>
      <c r="J66" s="27">
        <v>2</v>
      </c>
      <c r="K66" s="29" t="s">
        <v>35</v>
      </c>
      <c r="L66" s="39"/>
      <c r="M66" s="31"/>
      <c r="N66" s="27"/>
      <c r="P66" s="32"/>
      <c r="Q66" s="25"/>
      <c r="R66" s="27"/>
      <c r="S66" s="27"/>
      <c r="T66" s="28"/>
      <c r="U66" s="27"/>
      <c r="V66" s="27" t="s">
        <v>154</v>
      </c>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27"/>
      <c r="AW66" s="25" t="s">
        <v>90</v>
      </c>
      <c r="AX66" s="27" t="s">
        <v>95</v>
      </c>
      <c r="AY66" s="27"/>
      <c r="AZ66" s="32"/>
      <c r="BA66" s="41"/>
    </row>
    <row r="67" spans="1:53" ht="16" thickBot="1" x14ac:dyDescent="0.25">
      <c r="A67" s="25">
        <v>60</v>
      </c>
      <c r="B67" s="26">
        <v>45159</v>
      </c>
      <c r="C67" s="27"/>
      <c r="D67" s="25"/>
      <c r="E67" s="28"/>
      <c r="F67" s="27"/>
      <c r="G67" s="28"/>
      <c r="H67" s="27"/>
      <c r="I67" s="28"/>
      <c r="J67" s="27">
        <v>2</v>
      </c>
      <c r="K67" s="29" t="s">
        <v>35</v>
      </c>
      <c r="L67" s="39"/>
      <c r="M67" s="31"/>
      <c r="N67" s="27"/>
      <c r="P67" s="32"/>
      <c r="Q67" s="25"/>
      <c r="R67" s="27"/>
      <c r="S67" s="27"/>
      <c r="T67" s="28"/>
      <c r="U67" s="27"/>
      <c r="V67" s="27" t="s">
        <v>154</v>
      </c>
      <c r="W67" s="28"/>
      <c r="X67" s="33"/>
      <c r="Y67" s="32"/>
      <c r="Z67" s="25"/>
      <c r="AA67" s="27"/>
      <c r="AB67" s="28"/>
      <c r="AC67" s="27"/>
      <c r="AD67" s="27"/>
      <c r="AE67" s="33"/>
      <c r="AG67" s="25"/>
      <c r="AH67" s="34"/>
      <c r="AI67" s="27"/>
      <c r="AJ67" s="27"/>
      <c r="AK67" s="27"/>
      <c r="AL67" s="25"/>
      <c r="AM67" s="34"/>
      <c r="AN67" s="27"/>
      <c r="AO67" s="27"/>
      <c r="AP67" s="36"/>
      <c r="AQ67" s="37"/>
      <c r="AR67" s="32"/>
      <c r="AS67" s="25" t="s">
        <v>96</v>
      </c>
      <c r="AT67" s="27" t="s">
        <v>87</v>
      </c>
      <c r="AU67" s="58" t="s">
        <v>97</v>
      </c>
      <c r="AW67" s="25" t="s">
        <v>90</v>
      </c>
      <c r="AX67" s="27" t="s">
        <v>95</v>
      </c>
      <c r="AY67" s="27"/>
      <c r="AZ67" s="32"/>
      <c r="BA67" s="41"/>
    </row>
    <row r="68" spans="1:53" x14ac:dyDescent="0.2">
      <c r="A68" s="25">
        <v>61</v>
      </c>
      <c r="B68" s="26">
        <v>45160</v>
      </c>
      <c r="C68" s="27"/>
      <c r="D68" s="25"/>
      <c r="E68" s="28"/>
      <c r="F68" s="27"/>
      <c r="G68" s="28"/>
      <c r="H68" s="27"/>
      <c r="I68" s="28"/>
      <c r="J68" s="27">
        <v>2</v>
      </c>
      <c r="K68" s="29" t="s">
        <v>35</v>
      </c>
      <c r="L68" s="39"/>
      <c r="M68" s="31"/>
      <c r="N68" s="27"/>
      <c r="P68" s="32"/>
      <c r="Q68" s="25"/>
      <c r="R68" s="27"/>
      <c r="S68" s="27"/>
      <c r="T68" s="28"/>
      <c r="U68" s="27"/>
      <c r="V68" s="27" t="s">
        <v>154</v>
      </c>
      <c r="W68" s="28"/>
      <c r="X68" s="33"/>
      <c r="Y68" s="32"/>
      <c r="Z68" s="25"/>
      <c r="AA68" s="27"/>
      <c r="AB68" s="28"/>
      <c r="AC68" s="27"/>
      <c r="AD68" s="27"/>
      <c r="AE68" s="33"/>
      <c r="AG68" s="25"/>
      <c r="AH68" s="34"/>
      <c r="AI68" s="27"/>
      <c r="AJ68" s="27"/>
      <c r="AK68" s="27"/>
      <c r="AL68" s="25"/>
      <c r="AM68" s="34"/>
      <c r="AN68" s="27"/>
      <c r="AO68" s="27"/>
      <c r="AP68" s="36"/>
      <c r="AQ68" s="37"/>
      <c r="AR68" s="32"/>
      <c r="AS68" s="25" t="s">
        <v>96</v>
      </c>
      <c r="AT68" s="27" t="s">
        <v>87</v>
      </c>
      <c r="AU68" s="27"/>
      <c r="AW68" s="25" t="s">
        <v>90</v>
      </c>
      <c r="AX68" s="27" t="s">
        <v>95</v>
      </c>
      <c r="AY68" s="27"/>
      <c r="AZ68" s="32"/>
      <c r="BA68" s="41"/>
    </row>
    <row r="69" spans="1:53" x14ac:dyDescent="0.2">
      <c r="A69" s="25">
        <v>62</v>
      </c>
      <c r="B69" s="26">
        <v>45161</v>
      </c>
      <c r="C69" s="27"/>
      <c r="D69" s="25"/>
      <c r="E69" s="28"/>
      <c r="F69" s="27"/>
      <c r="G69" s="28"/>
      <c r="H69" s="27"/>
      <c r="I69" s="28"/>
      <c r="J69" s="27">
        <v>2</v>
      </c>
      <c r="K69" s="29" t="s">
        <v>35</v>
      </c>
      <c r="L69" s="39"/>
      <c r="M69" s="31"/>
      <c r="N69" s="27"/>
      <c r="P69" s="32"/>
      <c r="Q69" s="25"/>
      <c r="R69" s="27"/>
      <c r="S69" s="27"/>
      <c r="T69" s="28"/>
      <c r="U69" s="27"/>
      <c r="V69" s="27" t="s">
        <v>154</v>
      </c>
      <c r="W69" s="28"/>
      <c r="X69" s="33"/>
      <c r="Y69" s="32"/>
      <c r="Z69" s="25"/>
      <c r="AA69" s="27"/>
      <c r="AB69" s="28"/>
      <c r="AC69" s="27"/>
      <c r="AD69" s="27"/>
      <c r="AE69" s="33"/>
      <c r="AG69" s="25"/>
      <c r="AH69" s="34"/>
      <c r="AI69" s="27"/>
      <c r="AJ69" s="27"/>
      <c r="AK69" s="27"/>
      <c r="AL69" s="25"/>
      <c r="AM69" s="34"/>
      <c r="AN69" s="27"/>
      <c r="AO69" s="27"/>
      <c r="AP69" s="36"/>
      <c r="AQ69" s="37"/>
      <c r="AR69" s="32"/>
      <c r="AS69" s="25" t="s">
        <v>96</v>
      </c>
      <c r="AT69" s="27" t="s">
        <v>87</v>
      </c>
      <c r="AU69" s="27"/>
      <c r="AW69" s="25" t="s">
        <v>90</v>
      </c>
      <c r="AX69" s="27" t="s">
        <v>95</v>
      </c>
      <c r="AY69" s="27"/>
      <c r="AZ69" s="32"/>
      <c r="BA69" s="41"/>
    </row>
    <row r="70" spans="1:53" x14ac:dyDescent="0.2">
      <c r="A70" s="25">
        <v>63</v>
      </c>
      <c r="B70" s="26">
        <v>45162</v>
      </c>
      <c r="C70" s="27"/>
      <c r="D70" s="25"/>
      <c r="E70" s="28"/>
      <c r="F70" s="27"/>
      <c r="G70" s="28"/>
      <c r="H70" s="27"/>
      <c r="I70" s="28"/>
      <c r="J70" s="27">
        <v>2</v>
      </c>
      <c r="K70" s="29" t="s">
        <v>35</v>
      </c>
      <c r="L70" s="39"/>
      <c r="M70" s="31"/>
      <c r="N70" s="27"/>
      <c r="P70" s="32"/>
      <c r="Q70" s="25"/>
      <c r="R70" s="27"/>
      <c r="S70" s="27"/>
      <c r="T70" s="28"/>
      <c r="U70" s="27"/>
      <c r="V70" s="27" t="s">
        <v>154</v>
      </c>
      <c r="W70" s="28"/>
      <c r="X70" s="33"/>
      <c r="Y70" s="32"/>
      <c r="Z70" s="25"/>
      <c r="AA70" s="27"/>
      <c r="AB70" s="28"/>
      <c r="AC70" s="27"/>
      <c r="AD70" s="27"/>
      <c r="AE70" s="33"/>
      <c r="AG70" s="25"/>
      <c r="AH70" s="34"/>
      <c r="AI70" s="27"/>
      <c r="AJ70" s="27"/>
      <c r="AK70" s="27"/>
      <c r="AL70" s="25"/>
      <c r="AM70" s="34"/>
      <c r="AN70" s="27"/>
      <c r="AO70" s="27"/>
      <c r="AP70" s="36"/>
      <c r="AQ70" s="37"/>
      <c r="AR70" s="32"/>
      <c r="AS70" s="25" t="s">
        <v>96</v>
      </c>
      <c r="AT70" s="27" t="s">
        <v>87</v>
      </c>
      <c r="AU70" s="27"/>
      <c r="AW70" s="25" t="s">
        <v>90</v>
      </c>
      <c r="AX70" s="27" t="s">
        <v>95</v>
      </c>
      <c r="AY70" s="27"/>
      <c r="AZ70" s="32"/>
      <c r="BA70" s="41"/>
    </row>
    <row r="71" spans="1:53" x14ac:dyDescent="0.2">
      <c r="A71" s="25">
        <v>64</v>
      </c>
      <c r="B71" s="26">
        <v>45163</v>
      </c>
      <c r="C71" s="27"/>
      <c r="D71" s="25"/>
      <c r="E71" s="28"/>
      <c r="F71" s="27"/>
      <c r="G71" s="28"/>
      <c r="H71" s="27"/>
      <c r="I71" s="28"/>
      <c r="J71" s="27">
        <v>2</v>
      </c>
      <c r="K71" s="29" t="s">
        <v>35</v>
      </c>
      <c r="L71" s="39"/>
      <c r="M71" s="31"/>
      <c r="N71" s="27"/>
      <c r="P71" s="32"/>
      <c r="Q71" s="25"/>
      <c r="R71" s="27"/>
      <c r="S71" s="27"/>
      <c r="T71" s="28"/>
      <c r="U71" s="27"/>
      <c r="V71" s="27" t="s">
        <v>154</v>
      </c>
      <c r="W71" s="28"/>
      <c r="X71" s="33"/>
      <c r="Y71" s="32"/>
      <c r="Z71" s="25"/>
      <c r="AA71" s="27"/>
      <c r="AB71" s="28"/>
      <c r="AC71" s="27"/>
      <c r="AD71" s="27"/>
      <c r="AE71" s="33"/>
      <c r="AG71" s="25"/>
      <c r="AH71" s="34"/>
      <c r="AI71" s="27"/>
      <c r="AJ71" s="27"/>
      <c r="AK71" s="27"/>
      <c r="AL71" s="25"/>
      <c r="AM71" s="34"/>
      <c r="AN71" s="27"/>
      <c r="AO71" s="27"/>
      <c r="AP71" s="36"/>
      <c r="AQ71" s="37"/>
      <c r="AR71" s="32"/>
      <c r="AS71" s="25" t="s">
        <v>96</v>
      </c>
      <c r="AT71" s="27" t="s">
        <v>87</v>
      </c>
      <c r="AU71" s="27"/>
      <c r="AW71" s="25" t="s">
        <v>90</v>
      </c>
      <c r="AX71" s="27" t="s">
        <v>95</v>
      </c>
      <c r="AY71" s="27"/>
      <c r="AZ71" s="32"/>
      <c r="BA71" s="41"/>
    </row>
    <row r="72" spans="1:53" x14ac:dyDescent="0.2">
      <c r="A72" s="25">
        <v>65</v>
      </c>
      <c r="B72" s="26">
        <v>45164</v>
      </c>
      <c r="C72" s="27"/>
      <c r="D72" s="25"/>
      <c r="E72" s="28"/>
      <c r="F72" s="27"/>
      <c r="G72" s="28"/>
      <c r="H72" s="27"/>
      <c r="I72" s="28"/>
      <c r="J72" s="27">
        <v>2</v>
      </c>
      <c r="K72" s="29" t="s">
        <v>35</v>
      </c>
      <c r="L72" s="39"/>
      <c r="M72" s="31"/>
      <c r="N72" s="27"/>
      <c r="P72" s="32"/>
      <c r="Q72" s="25"/>
      <c r="R72" s="27"/>
      <c r="S72" s="27"/>
      <c r="T72" s="28"/>
      <c r="U72" s="27"/>
      <c r="V72" s="27" t="s">
        <v>154</v>
      </c>
      <c r="W72" s="28"/>
      <c r="X72" s="33"/>
      <c r="Y72" s="32"/>
      <c r="Z72" s="25"/>
      <c r="AA72" s="27"/>
      <c r="AB72" s="28"/>
      <c r="AC72" s="27"/>
      <c r="AD72" s="27"/>
      <c r="AE72" s="33"/>
      <c r="AG72" s="25"/>
      <c r="AH72" s="34"/>
      <c r="AI72" s="27"/>
      <c r="AJ72" s="27"/>
      <c r="AK72" s="27"/>
      <c r="AL72" s="25"/>
      <c r="AM72" s="34"/>
      <c r="AN72" s="27"/>
      <c r="AO72" s="27"/>
      <c r="AP72" s="36"/>
      <c r="AQ72" s="37"/>
      <c r="AR72" s="32"/>
      <c r="AS72" s="25" t="s">
        <v>96</v>
      </c>
      <c r="AT72" s="27" t="s">
        <v>87</v>
      </c>
      <c r="AU72" s="27"/>
      <c r="AW72" s="25" t="s">
        <v>90</v>
      </c>
      <c r="AX72" s="27" t="s">
        <v>95</v>
      </c>
      <c r="AY72" s="27"/>
      <c r="AZ72" s="32"/>
      <c r="BA72" s="41"/>
    </row>
    <row r="73" spans="1:53" x14ac:dyDescent="0.2">
      <c r="A73" s="25">
        <v>66</v>
      </c>
      <c r="B73" s="26">
        <v>45165</v>
      </c>
      <c r="C73" s="27"/>
      <c r="D73" s="25"/>
      <c r="E73" s="28"/>
      <c r="F73" s="27"/>
      <c r="G73" s="28"/>
      <c r="H73" s="27"/>
      <c r="I73" s="28"/>
      <c r="J73" s="27">
        <v>2</v>
      </c>
      <c r="K73" s="29" t="s">
        <v>35</v>
      </c>
      <c r="L73" s="39"/>
      <c r="M73" s="31"/>
      <c r="N73" s="27"/>
      <c r="P73" s="32"/>
      <c r="Q73" s="25"/>
      <c r="R73" s="27"/>
      <c r="S73" s="27"/>
      <c r="T73" s="28"/>
      <c r="U73" s="27"/>
      <c r="V73" s="27" t="s">
        <v>154</v>
      </c>
      <c r="W73" s="28"/>
      <c r="X73" s="33"/>
      <c r="Y73" s="32"/>
      <c r="Z73" s="25"/>
      <c r="AA73" s="27"/>
      <c r="AB73" s="28"/>
      <c r="AC73" s="27"/>
      <c r="AD73" s="27"/>
      <c r="AE73" s="33"/>
      <c r="AG73" s="25"/>
      <c r="AH73" s="34"/>
      <c r="AI73" s="27"/>
      <c r="AJ73" s="27"/>
      <c r="AK73" s="27"/>
      <c r="AL73" s="25"/>
      <c r="AM73" s="34"/>
      <c r="AN73" s="27"/>
      <c r="AO73" s="27"/>
      <c r="AP73" s="36"/>
      <c r="AQ73" s="37"/>
      <c r="AR73" s="32"/>
      <c r="AS73" s="25" t="s">
        <v>96</v>
      </c>
      <c r="AT73" s="27" t="s">
        <v>87</v>
      </c>
      <c r="AU73" s="27"/>
      <c r="AW73" s="25" t="s">
        <v>90</v>
      </c>
      <c r="AX73" s="27" t="s">
        <v>95</v>
      </c>
      <c r="AY73" s="27"/>
      <c r="AZ73" s="32"/>
      <c r="BA73" s="41"/>
    </row>
    <row r="74" spans="1:53" x14ac:dyDescent="0.2">
      <c r="A74" s="25">
        <v>67</v>
      </c>
      <c r="B74" s="26">
        <v>45166</v>
      </c>
      <c r="C74" s="27"/>
      <c r="D74" s="25"/>
      <c r="E74" s="28"/>
      <c r="F74" s="27"/>
      <c r="G74" s="28"/>
      <c r="H74" s="27"/>
      <c r="I74" s="28"/>
      <c r="J74" s="27">
        <v>2</v>
      </c>
      <c r="K74" s="29" t="s">
        <v>35</v>
      </c>
      <c r="L74" s="39"/>
      <c r="M74" s="31"/>
      <c r="N74" s="27"/>
      <c r="P74" s="32"/>
      <c r="Q74" s="25"/>
      <c r="R74" s="27"/>
      <c r="S74" s="27"/>
      <c r="T74" s="28"/>
      <c r="U74" s="27"/>
      <c r="V74" s="27" t="s">
        <v>154</v>
      </c>
      <c r="W74" s="28"/>
      <c r="X74" s="33"/>
      <c r="Y74" s="32"/>
      <c r="Z74" s="25"/>
      <c r="AA74" s="27"/>
      <c r="AB74" s="28"/>
      <c r="AC74" s="27"/>
      <c r="AD74" s="27"/>
      <c r="AE74" s="33"/>
      <c r="AG74" s="25"/>
      <c r="AH74" s="34"/>
      <c r="AI74" s="27"/>
      <c r="AJ74" s="27"/>
      <c r="AK74" s="27"/>
      <c r="AL74" s="25"/>
      <c r="AM74" s="34"/>
      <c r="AN74" s="27"/>
      <c r="AO74" s="27"/>
      <c r="AP74" s="36"/>
      <c r="AQ74" s="37"/>
      <c r="AR74" s="32"/>
      <c r="AS74" s="25" t="s">
        <v>96</v>
      </c>
      <c r="AT74" s="27" t="s">
        <v>87</v>
      </c>
      <c r="AU74" s="27"/>
      <c r="AW74" s="25" t="s">
        <v>90</v>
      </c>
      <c r="AX74" s="27" t="s">
        <v>95</v>
      </c>
      <c r="AY74" s="27"/>
      <c r="AZ74" s="32"/>
      <c r="BA74" s="41"/>
    </row>
    <row r="75" spans="1:53" x14ac:dyDescent="0.2">
      <c r="A75" s="25">
        <v>68</v>
      </c>
      <c r="B75" s="26">
        <v>45167</v>
      </c>
      <c r="C75" s="27"/>
      <c r="D75" s="25"/>
      <c r="E75" s="28"/>
      <c r="F75" s="27"/>
      <c r="G75" s="28"/>
      <c r="H75" s="27"/>
      <c r="I75" s="28"/>
      <c r="J75" s="27">
        <v>2</v>
      </c>
      <c r="K75" s="29" t="s">
        <v>35</v>
      </c>
      <c r="L75" s="39"/>
      <c r="M75" s="31"/>
      <c r="N75" s="27"/>
      <c r="P75" s="32"/>
      <c r="Q75" s="25"/>
      <c r="R75" s="27"/>
      <c r="S75" s="27"/>
      <c r="T75" s="28"/>
      <c r="U75" s="27"/>
      <c r="V75" s="27"/>
      <c r="W75" s="28"/>
      <c r="X75" s="33"/>
      <c r="Y75" s="32"/>
      <c r="Z75" s="25"/>
      <c r="AA75" s="27"/>
      <c r="AB75" s="28"/>
      <c r="AC75" s="27"/>
      <c r="AD75" s="27"/>
      <c r="AE75" s="33"/>
      <c r="AG75" s="25"/>
      <c r="AH75" s="34"/>
      <c r="AI75" s="27"/>
      <c r="AJ75" s="27"/>
      <c r="AK75" s="27"/>
      <c r="AL75" s="25"/>
      <c r="AM75" s="34"/>
      <c r="AN75" s="27"/>
      <c r="AO75" s="27"/>
      <c r="AP75" s="36"/>
      <c r="AQ75" s="37"/>
      <c r="AR75" s="32"/>
      <c r="AS75" s="25" t="s">
        <v>96</v>
      </c>
      <c r="AT75" s="27" t="s">
        <v>87</v>
      </c>
      <c r="AU75" s="27"/>
      <c r="AW75" s="25" t="s">
        <v>90</v>
      </c>
      <c r="AX75" s="27" t="s">
        <v>95</v>
      </c>
      <c r="AY75" s="27"/>
      <c r="AZ75" s="32"/>
      <c r="BA75" s="41"/>
    </row>
    <row r="76" spans="1:53" x14ac:dyDescent="0.2">
      <c r="A76" s="25">
        <v>69</v>
      </c>
      <c r="B76" s="26">
        <v>45168</v>
      </c>
      <c r="C76" s="27"/>
      <c r="D76" s="25"/>
      <c r="E76" s="28"/>
      <c r="F76" s="27"/>
      <c r="G76" s="28"/>
      <c r="H76" s="27"/>
      <c r="I76" s="28"/>
      <c r="J76" s="27">
        <v>2</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27"/>
      <c r="AW76" s="25" t="s">
        <v>90</v>
      </c>
      <c r="AX76" s="27" t="s">
        <v>95</v>
      </c>
      <c r="AY76" s="27"/>
      <c r="AZ76" s="32"/>
      <c r="BA76" s="41"/>
    </row>
    <row r="77" spans="1:53" x14ac:dyDescent="0.2">
      <c r="A77" s="25">
        <v>70</v>
      </c>
      <c r="B77" s="26">
        <v>45169</v>
      </c>
      <c r="C77" s="27"/>
      <c r="D77" s="25"/>
      <c r="E77" s="28"/>
      <c r="F77" s="27"/>
      <c r="G77" s="28"/>
      <c r="H77" s="27"/>
      <c r="I77" s="28"/>
      <c r="J77" s="27">
        <v>2</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71</v>
      </c>
      <c r="B78" s="26">
        <v>45170</v>
      </c>
      <c r="C78" s="27"/>
      <c r="D78" s="25"/>
      <c r="E78" s="28"/>
      <c r="F78" s="27"/>
      <c r="G78" s="28"/>
      <c r="H78" s="27"/>
      <c r="I78" s="28"/>
      <c r="J78" s="27">
        <v>2</v>
      </c>
      <c r="K78" s="29" t="s">
        <v>35</v>
      </c>
      <c r="L78" s="39"/>
      <c r="M78" s="31"/>
      <c r="N78" s="27"/>
      <c r="P78" s="32"/>
      <c r="Q78" s="25"/>
      <c r="R78" s="27"/>
      <c r="S78" s="27"/>
      <c r="T78" s="28"/>
      <c r="U78" s="27"/>
      <c r="V78" s="27"/>
      <c r="W78" s="28"/>
      <c r="X78" s="33"/>
      <c r="Y78" s="32"/>
      <c r="Z78" s="25"/>
      <c r="AA78" s="27"/>
      <c r="AB78" s="28"/>
      <c r="AC78" s="27"/>
      <c r="AD78" s="27"/>
      <c r="AE78" s="33"/>
      <c r="AF78" s="32"/>
      <c r="AG78" s="90"/>
      <c r="AH78" s="91"/>
      <c r="AI78" s="27"/>
      <c r="AJ78" s="27"/>
      <c r="AK78" s="28"/>
      <c r="AL78" s="27"/>
      <c r="AM78" s="27"/>
      <c r="AN78" s="27"/>
      <c r="AO78" s="27"/>
      <c r="AP78" s="36"/>
      <c r="AQ78" s="37"/>
      <c r="AS78" s="25" t="s">
        <v>96</v>
      </c>
      <c r="AT78" s="27" t="s">
        <v>87</v>
      </c>
      <c r="AU78" s="27"/>
      <c r="AW78" s="25" t="s">
        <v>90</v>
      </c>
      <c r="AX78" s="27" t="s">
        <v>95</v>
      </c>
      <c r="AY78" s="27"/>
      <c r="AZ78" s="32"/>
      <c r="BA78" s="41"/>
    </row>
    <row r="79" spans="1:53" x14ac:dyDescent="0.2">
      <c r="A79" s="25">
        <v>72</v>
      </c>
      <c r="B79" s="26">
        <v>45171</v>
      </c>
      <c r="C79" s="27"/>
      <c r="D79" s="25"/>
      <c r="E79" s="28"/>
      <c r="F79" s="27"/>
      <c r="G79" s="28"/>
      <c r="H79" s="27"/>
      <c r="I79" s="28"/>
      <c r="J79" s="27">
        <v>2</v>
      </c>
      <c r="K79" s="29" t="s">
        <v>35</v>
      </c>
      <c r="L79" s="39"/>
      <c r="M79" s="31"/>
      <c r="N79" s="27"/>
      <c r="P79" s="32"/>
      <c r="Q79" s="25"/>
      <c r="R79" s="27"/>
      <c r="S79" s="27"/>
      <c r="T79" s="28"/>
      <c r="U79" s="27"/>
      <c r="V79" s="27"/>
      <c r="W79" s="28"/>
      <c r="X79" s="33"/>
      <c r="Y79" s="32"/>
      <c r="Z79" s="25"/>
      <c r="AA79" s="27"/>
      <c r="AB79" s="28"/>
      <c r="AC79" s="27"/>
      <c r="AD79" s="27"/>
      <c r="AE79" s="33"/>
      <c r="AF79" s="32"/>
      <c r="AG79" s="90"/>
      <c r="AH79" s="91"/>
      <c r="AI79" s="27"/>
      <c r="AJ79" s="27"/>
      <c r="AK79" s="28"/>
      <c r="AL79" s="27"/>
      <c r="AM79" s="27"/>
      <c r="AN79" s="27"/>
      <c r="AO79" s="27"/>
      <c r="AP79" s="36"/>
      <c r="AQ79" s="37"/>
      <c r="AS79" s="25" t="s">
        <v>96</v>
      </c>
      <c r="AT79" s="27" t="s">
        <v>87</v>
      </c>
      <c r="AU79" s="27"/>
      <c r="AW79" s="25" t="s">
        <v>90</v>
      </c>
      <c r="AX79" s="27" t="s">
        <v>95</v>
      </c>
      <c r="AY79" s="27"/>
      <c r="AZ79" s="32"/>
      <c r="BA79" s="41"/>
    </row>
    <row r="80" spans="1:53" x14ac:dyDescent="0.2">
      <c r="A80" s="25">
        <v>73</v>
      </c>
      <c r="B80" s="26">
        <v>45172</v>
      </c>
      <c r="C80" s="27"/>
      <c r="D80" s="25"/>
      <c r="E80" s="28"/>
      <c r="F80" s="27"/>
      <c r="G80" s="28"/>
      <c r="H80" s="27"/>
      <c r="I80" s="28"/>
      <c r="J80" s="27">
        <v>2</v>
      </c>
      <c r="K80" s="29" t="s">
        <v>35</v>
      </c>
      <c r="L80" s="155" t="s">
        <v>184</v>
      </c>
      <c r="M80" s="31"/>
      <c r="N80" s="27"/>
      <c r="P80" s="32"/>
      <c r="Q80" s="25"/>
      <c r="R80" s="27"/>
      <c r="S80" s="27"/>
      <c r="T80" s="28"/>
      <c r="U80" s="27"/>
      <c r="V80" s="27"/>
      <c r="W80" s="28"/>
      <c r="X80" s="33"/>
      <c r="Y80" s="32"/>
      <c r="Z80" s="25"/>
      <c r="AA80" s="27"/>
      <c r="AB80" s="28"/>
      <c r="AC80" s="27"/>
      <c r="AD80" s="27"/>
      <c r="AE80" s="33"/>
      <c r="AF80" s="32"/>
      <c r="AG80" s="90"/>
      <c r="AH80" s="91"/>
      <c r="AI80" s="27"/>
      <c r="AJ80" s="27"/>
      <c r="AK80" s="28"/>
      <c r="AL80" s="27"/>
      <c r="AM80" s="27"/>
      <c r="AN80" s="27"/>
      <c r="AO80" s="27"/>
      <c r="AP80" s="36"/>
      <c r="AQ80" s="37"/>
      <c r="AS80" s="25" t="s">
        <v>96</v>
      </c>
      <c r="AT80" s="27" t="s">
        <v>87</v>
      </c>
      <c r="AU80" s="27"/>
      <c r="AW80" s="25" t="s">
        <v>90</v>
      </c>
      <c r="AX80" s="27" t="s">
        <v>95</v>
      </c>
      <c r="AY80" s="27"/>
      <c r="AZ80" s="32"/>
      <c r="BA80" s="41"/>
    </row>
    <row r="81" spans="1:53" x14ac:dyDescent="0.2">
      <c r="A81" s="25">
        <v>74</v>
      </c>
      <c r="B81" s="26">
        <v>45173</v>
      </c>
      <c r="C81" s="27"/>
      <c r="D81" s="25"/>
      <c r="E81" s="28"/>
      <c r="F81" s="27"/>
      <c r="G81" s="28"/>
      <c r="H81" s="27"/>
      <c r="I81" s="28"/>
      <c r="J81" s="27">
        <v>2</v>
      </c>
      <c r="K81" s="29" t="s">
        <v>35</v>
      </c>
      <c r="L81" s="39"/>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c r="AO81" s="27"/>
      <c r="AP81" s="36"/>
      <c r="AQ81" s="37"/>
      <c r="AS81" s="25" t="s">
        <v>96</v>
      </c>
      <c r="AT81" s="27" t="s">
        <v>87</v>
      </c>
      <c r="AU81" s="27"/>
      <c r="AW81" s="25" t="s">
        <v>90</v>
      </c>
      <c r="AX81" s="27" t="s">
        <v>95</v>
      </c>
      <c r="AY81" s="27"/>
      <c r="AZ81" s="32"/>
      <c r="BA81" s="41"/>
    </row>
    <row r="82" spans="1:53" x14ac:dyDescent="0.2">
      <c r="A82" s="25">
        <v>75</v>
      </c>
      <c r="B82" s="26">
        <v>45174</v>
      </c>
      <c r="C82" s="27"/>
      <c r="D82" s="25"/>
      <c r="E82" s="28"/>
      <c r="F82" s="27"/>
      <c r="G82" s="28"/>
      <c r="H82" s="27"/>
      <c r="I82" s="28"/>
      <c r="J82" s="27">
        <v>2</v>
      </c>
      <c r="K82" s="29" t="s">
        <v>35</v>
      </c>
      <c r="L82" s="39" t="s">
        <v>190</v>
      </c>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c r="AO82" s="27"/>
      <c r="AP82" s="36"/>
      <c r="AQ82" s="37"/>
      <c r="AR82" s="32"/>
      <c r="AS82" s="25" t="s">
        <v>96</v>
      </c>
      <c r="AT82" s="27" t="s">
        <v>87</v>
      </c>
      <c r="AU82" s="27"/>
      <c r="AW82" s="25" t="s">
        <v>90</v>
      </c>
      <c r="AX82" s="27" t="s">
        <v>95</v>
      </c>
      <c r="AY82" s="27"/>
      <c r="AZ82" s="32"/>
      <c r="BA82" s="41"/>
    </row>
    <row r="83" spans="1:53" x14ac:dyDescent="0.2">
      <c r="A83" s="25">
        <v>76</v>
      </c>
      <c r="B83" s="26">
        <v>45175</v>
      </c>
      <c r="C83" s="27"/>
      <c r="D83" s="25"/>
      <c r="E83" s="28"/>
      <c r="F83" s="27"/>
      <c r="G83" s="28"/>
      <c r="H83" s="27"/>
      <c r="I83" s="28"/>
      <c r="J83" s="27">
        <v>2</v>
      </c>
      <c r="K83" s="29" t="s">
        <v>35</v>
      </c>
      <c r="L83" s="39"/>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c r="AO83" s="27"/>
      <c r="AP83" s="36"/>
      <c r="AQ83" s="37"/>
      <c r="AR83" s="32"/>
      <c r="AS83" s="25" t="s">
        <v>96</v>
      </c>
      <c r="AT83" s="27" t="s">
        <v>87</v>
      </c>
      <c r="AU83" s="27"/>
      <c r="AW83" s="25" t="s">
        <v>90</v>
      </c>
      <c r="AX83" s="27" t="s">
        <v>95</v>
      </c>
      <c r="AY83" s="27"/>
      <c r="AZ83" s="32"/>
      <c r="BA83" s="41"/>
    </row>
    <row r="84" spans="1:53" x14ac:dyDescent="0.2">
      <c r="A84" s="25">
        <v>77</v>
      </c>
      <c r="B84" s="26">
        <v>45176</v>
      </c>
      <c r="C84" s="27"/>
      <c r="D84" s="25"/>
      <c r="E84" s="28"/>
      <c r="F84" s="27"/>
      <c r="G84" s="28"/>
      <c r="H84" s="27"/>
      <c r="I84" s="28"/>
      <c r="J84" s="27">
        <v>2</v>
      </c>
      <c r="K84" s="29" t="s">
        <v>35</v>
      </c>
      <c r="L84" s="39"/>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c r="AO84" s="27"/>
      <c r="AP84" s="36"/>
      <c r="AQ84" s="37"/>
      <c r="AR84" s="32"/>
      <c r="AS84" s="25" t="s">
        <v>96</v>
      </c>
      <c r="AT84" s="27" t="s">
        <v>87</v>
      </c>
      <c r="AU84" s="27"/>
      <c r="AW84" s="25" t="s">
        <v>90</v>
      </c>
      <c r="AX84" s="27" t="s">
        <v>95</v>
      </c>
      <c r="AY84" s="27"/>
      <c r="AZ84" s="32"/>
      <c r="BA84" s="41"/>
    </row>
    <row r="85" spans="1:53" x14ac:dyDescent="0.2">
      <c r="A85" s="25">
        <v>78</v>
      </c>
      <c r="B85" s="26">
        <v>45177</v>
      </c>
      <c r="C85" s="27"/>
      <c r="D85" s="25"/>
      <c r="E85" s="28"/>
      <c r="F85" s="27"/>
      <c r="G85" s="28"/>
      <c r="H85" s="27"/>
      <c r="I85" s="28"/>
      <c r="J85" s="27">
        <v>2</v>
      </c>
      <c r="K85" s="29" t="s">
        <v>35</v>
      </c>
      <c r="L85" s="39"/>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c r="AO85" s="27"/>
      <c r="AP85" s="36"/>
      <c r="AQ85" s="37"/>
      <c r="AR85" s="32"/>
      <c r="AS85" s="25" t="s">
        <v>96</v>
      </c>
      <c r="AT85" s="27" t="s">
        <v>87</v>
      </c>
      <c r="AU85" s="27"/>
      <c r="AW85" s="25" t="s">
        <v>90</v>
      </c>
      <c r="AX85" s="27" t="s">
        <v>95</v>
      </c>
      <c r="AY85" s="27"/>
      <c r="AZ85" s="32"/>
      <c r="BA85" s="41"/>
    </row>
    <row r="86" spans="1:53" x14ac:dyDescent="0.2">
      <c r="A86" s="25">
        <v>79</v>
      </c>
      <c r="B86" s="26">
        <v>45178</v>
      </c>
      <c r="C86" s="27"/>
      <c r="D86" s="25"/>
      <c r="E86" s="28"/>
      <c r="F86" s="27"/>
      <c r="G86" s="28"/>
      <c r="H86" s="27"/>
      <c r="I86" s="28"/>
      <c r="J86" s="27">
        <v>2</v>
      </c>
      <c r="K86" s="29" t="s">
        <v>35</v>
      </c>
      <c r="L86" s="39"/>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c r="AO86" s="27"/>
      <c r="AP86" s="36"/>
      <c r="AQ86" s="37"/>
      <c r="AR86" s="32"/>
      <c r="AS86" s="25" t="s">
        <v>96</v>
      </c>
      <c r="AT86" s="27" t="s">
        <v>87</v>
      </c>
      <c r="AU86" s="27"/>
      <c r="AW86" s="25" t="s">
        <v>90</v>
      </c>
      <c r="AX86" s="27" t="s">
        <v>95</v>
      </c>
      <c r="AY86" s="27"/>
      <c r="AZ86" s="32"/>
      <c r="BA86" s="41"/>
    </row>
    <row r="87" spans="1:53" x14ac:dyDescent="0.2">
      <c r="A87" s="25">
        <v>80</v>
      </c>
      <c r="B87" s="26">
        <v>45179</v>
      </c>
      <c r="C87" s="27"/>
      <c r="D87" s="25"/>
      <c r="E87" s="28"/>
      <c r="F87" s="27"/>
      <c r="G87" s="28"/>
      <c r="H87" s="27"/>
      <c r="I87" s="28"/>
      <c r="J87" s="27">
        <v>2</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R87" s="32"/>
      <c r="AS87" s="25" t="s">
        <v>96</v>
      </c>
      <c r="AT87" s="27" t="s">
        <v>87</v>
      </c>
      <c r="AU87" s="27"/>
      <c r="AW87" s="25" t="s">
        <v>90</v>
      </c>
      <c r="AX87" s="27" t="s">
        <v>95</v>
      </c>
      <c r="AY87" s="27"/>
      <c r="AZ87" s="32"/>
      <c r="BA87" s="41"/>
    </row>
    <row r="88" spans="1:53" x14ac:dyDescent="0.2">
      <c r="A88" s="25">
        <v>81</v>
      </c>
      <c r="B88" s="26">
        <v>45180</v>
      </c>
      <c r="C88" s="27"/>
      <c r="D88" s="25"/>
      <c r="E88" s="28"/>
      <c r="F88" s="27"/>
      <c r="G88" s="28"/>
      <c r="H88" s="27"/>
      <c r="I88" s="28"/>
      <c r="J88" s="27">
        <v>2</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R88" s="32"/>
      <c r="AS88" s="25" t="s">
        <v>96</v>
      </c>
      <c r="AT88" s="27" t="s">
        <v>87</v>
      </c>
      <c r="AU88" s="27" t="s">
        <v>187</v>
      </c>
      <c r="AW88" s="25" t="s">
        <v>90</v>
      </c>
      <c r="AX88" s="27" t="s">
        <v>95</v>
      </c>
      <c r="AY88" s="27"/>
      <c r="AZ88" s="32"/>
      <c r="BA88" s="41"/>
    </row>
    <row r="89" spans="1:53" x14ac:dyDescent="0.2">
      <c r="A89" s="25">
        <v>82</v>
      </c>
      <c r="B89" s="26">
        <v>45181</v>
      </c>
      <c r="C89" s="27"/>
      <c r="D89" s="25"/>
      <c r="E89" s="28"/>
      <c r="F89" s="27"/>
      <c r="G89" s="28"/>
      <c r="H89" s="27"/>
      <c r="I89" s="28"/>
      <c r="J89" s="27">
        <v>2</v>
      </c>
      <c r="K89" s="29" t="s">
        <v>35</v>
      </c>
      <c r="L89" s="39"/>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R89" s="32"/>
      <c r="AS89" s="25" t="s">
        <v>96</v>
      </c>
      <c r="AT89" s="27" t="s">
        <v>87</v>
      </c>
      <c r="AU89" s="27"/>
      <c r="AW89" s="25" t="s">
        <v>90</v>
      </c>
      <c r="AX89" s="27" t="s">
        <v>95</v>
      </c>
      <c r="AY89" s="27"/>
      <c r="AZ89" s="32"/>
      <c r="BA89" s="41"/>
    </row>
    <row r="90" spans="1:53" x14ac:dyDescent="0.2">
      <c r="A90" s="25">
        <v>83</v>
      </c>
      <c r="B90" s="26">
        <v>45182</v>
      </c>
      <c r="C90" s="27"/>
      <c r="D90" s="25"/>
      <c r="E90" s="28"/>
      <c r="F90" s="27"/>
      <c r="G90" s="28"/>
      <c r="H90" s="27"/>
      <c r="I90" s="28"/>
      <c r="J90" s="27">
        <v>2</v>
      </c>
      <c r="K90" s="29" t="s">
        <v>35</v>
      </c>
      <c r="L90" s="39"/>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R90" s="32"/>
      <c r="AS90" s="25" t="s">
        <v>96</v>
      </c>
      <c r="AT90" s="27" t="s">
        <v>87</v>
      </c>
      <c r="AU90" s="27"/>
      <c r="AW90" s="25" t="s">
        <v>90</v>
      </c>
      <c r="AX90" s="27" t="s">
        <v>95</v>
      </c>
      <c r="AY90" s="27"/>
      <c r="AZ90" s="32"/>
      <c r="BA90" s="41"/>
    </row>
    <row r="91" spans="1:53" x14ac:dyDescent="0.2">
      <c r="A91" s="25">
        <v>84</v>
      </c>
      <c r="B91" s="26">
        <v>45183</v>
      </c>
      <c r="C91" s="27"/>
      <c r="D91" s="25"/>
      <c r="E91" s="28"/>
      <c r="F91" s="27"/>
      <c r="G91" s="28"/>
      <c r="H91" s="27"/>
      <c r="I91" s="28"/>
      <c r="J91" s="27">
        <v>2</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t="s">
        <v>96</v>
      </c>
      <c r="AT91" s="27" t="s">
        <v>87</v>
      </c>
      <c r="AU91" s="27"/>
      <c r="AW91" s="25" t="s">
        <v>90</v>
      </c>
      <c r="AX91" s="27" t="s">
        <v>95</v>
      </c>
      <c r="AY91" s="27"/>
      <c r="AZ91" s="32"/>
      <c r="BA91" s="41"/>
    </row>
    <row r="92" spans="1:53" x14ac:dyDescent="0.2">
      <c r="A92" s="25">
        <v>85</v>
      </c>
      <c r="B92" s="26">
        <v>45184</v>
      </c>
      <c r="C92" s="27"/>
      <c r="D92" s="25"/>
      <c r="E92" s="28"/>
      <c r="F92" s="27"/>
      <c r="G92" s="28"/>
      <c r="H92" s="27"/>
      <c r="I92" s="28"/>
      <c r="J92" s="27">
        <v>2</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t="s">
        <v>96</v>
      </c>
      <c r="AT92" s="27" t="s">
        <v>87</v>
      </c>
      <c r="AU92" s="27"/>
      <c r="AW92" s="25" t="s">
        <v>90</v>
      </c>
      <c r="AX92" s="27" t="s">
        <v>95</v>
      </c>
      <c r="AY92" s="27"/>
      <c r="AZ92" s="32"/>
      <c r="BA92" s="41"/>
    </row>
    <row r="93" spans="1:53" x14ac:dyDescent="0.2">
      <c r="A93" s="25">
        <v>86</v>
      </c>
      <c r="B93" s="26">
        <v>45185</v>
      </c>
      <c r="C93" s="27"/>
      <c r="D93" s="25"/>
      <c r="E93" s="28"/>
      <c r="F93" s="27"/>
      <c r="G93" s="28"/>
      <c r="H93" s="27"/>
      <c r="I93" s="28"/>
      <c r="J93" s="27">
        <v>2</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t="s">
        <v>96</v>
      </c>
      <c r="AT93" s="27" t="s">
        <v>87</v>
      </c>
      <c r="AU93" s="27"/>
      <c r="AW93" s="25" t="s">
        <v>90</v>
      </c>
      <c r="AX93" s="27" t="s">
        <v>95</v>
      </c>
      <c r="AY93" s="27"/>
      <c r="AZ93" s="32"/>
      <c r="BA93" s="41"/>
    </row>
    <row r="94" spans="1:53" x14ac:dyDescent="0.2">
      <c r="A94" s="25">
        <v>87</v>
      </c>
      <c r="B94" s="26">
        <v>45186</v>
      </c>
      <c r="C94" s="27"/>
      <c r="D94" s="25"/>
      <c r="E94" s="28"/>
      <c r="F94" s="27"/>
      <c r="G94" s="28"/>
      <c r="H94" s="27"/>
      <c r="I94" s="28"/>
      <c r="J94" s="27">
        <v>2</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t="s">
        <v>96</v>
      </c>
      <c r="AT94" s="27" t="s">
        <v>87</v>
      </c>
      <c r="AU94" s="27"/>
      <c r="AW94" s="25" t="s">
        <v>90</v>
      </c>
      <c r="AX94" s="27" t="s">
        <v>95</v>
      </c>
      <c r="AY94" s="27"/>
      <c r="AZ94" s="32"/>
      <c r="BA94" s="41"/>
    </row>
    <row r="95" spans="1:53" x14ac:dyDescent="0.2">
      <c r="A95" s="25">
        <v>88</v>
      </c>
      <c r="B95" s="26">
        <v>45187</v>
      </c>
      <c r="C95" s="27"/>
      <c r="D95" s="25"/>
      <c r="E95" s="28"/>
      <c r="F95" s="27"/>
      <c r="G95" s="28"/>
      <c r="H95" s="27"/>
      <c r="I95" s="28"/>
      <c r="J95" s="27">
        <v>2</v>
      </c>
      <c r="K95" s="29" t="s">
        <v>35</v>
      </c>
      <c r="L95" s="39" t="s">
        <v>191</v>
      </c>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t="s">
        <v>96</v>
      </c>
      <c r="AT95" s="27" t="s">
        <v>87</v>
      </c>
      <c r="AU95" s="27"/>
      <c r="AW95" s="25" t="s">
        <v>90</v>
      </c>
      <c r="AX95" s="27" t="s">
        <v>95</v>
      </c>
      <c r="AY95" s="27"/>
      <c r="AZ95" s="32"/>
      <c r="BA95" s="41"/>
    </row>
    <row r="96" spans="1:53" x14ac:dyDescent="0.2">
      <c r="A96" s="25">
        <v>89</v>
      </c>
      <c r="B96" s="26">
        <v>45188</v>
      </c>
      <c r="C96" s="27"/>
      <c r="D96" s="25"/>
      <c r="E96" s="28"/>
      <c r="F96" s="27"/>
      <c r="G96" s="28"/>
      <c r="H96" s="27"/>
      <c r="I96" s="28"/>
      <c r="J96" s="27">
        <v>2</v>
      </c>
      <c r="K96" s="29" t="s">
        <v>35</v>
      </c>
      <c r="L96" s="39" t="s">
        <v>189</v>
      </c>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t="s">
        <v>96</v>
      </c>
      <c r="AT96" s="27" t="s">
        <v>87</v>
      </c>
      <c r="AU96" s="27"/>
      <c r="AW96" s="25" t="s">
        <v>90</v>
      </c>
      <c r="AX96" s="27" t="s">
        <v>95</v>
      </c>
      <c r="AY96" s="27"/>
      <c r="AZ96" s="32"/>
      <c r="BA96" s="41"/>
    </row>
    <row r="97" spans="1:53" x14ac:dyDescent="0.2">
      <c r="A97" s="25">
        <v>90</v>
      </c>
      <c r="B97" s="26">
        <v>45189</v>
      </c>
      <c r="C97" s="27"/>
      <c r="D97" s="25"/>
      <c r="E97" s="28"/>
      <c r="F97" s="27"/>
      <c r="G97" s="28"/>
      <c r="H97" s="27"/>
      <c r="I97" s="28"/>
      <c r="J97" s="27">
        <v>2</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t="s">
        <v>96</v>
      </c>
      <c r="AT97" s="27" t="s">
        <v>87</v>
      </c>
      <c r="AU97" s="27"/>
      <c r="AW97" s="25" t="s">
        <v>90</v>
      </c>
      <c r="AX97" s="27" t="s">
        <v>95</v>
      </c>
      <c r="AY97" s="27"/>
      <c r="AZ97" s="32"/>
      <c r="BA97" s="41"/>
    </row>
    <row r="98" spans="1:53" x14ac:dyDescent="0.2">
      <c r="B98" s="26">
        <v>45190</v>
      </c>
      <c r="AS98" s="25" t="s">
        <v>96</v>
      </c>
      <c r="AT98" s="27" t="s">
        <v>87</v>
      </c>
    </row>
  </sheetData>
  <mergeCells count="52">
    <mergeCell ref="A1:C3"/>
    <mergeCell ref="D1:M3"/>
    <mergeCell ref="N1:P3"/>
    <mergeCell ref="Q1:Y3"/>
    <mergeCell ref="Z1:AF3"/>
    <mergeCell ref="A4:A6"/>
    <mergeCell ref="B4:B6"/>
    <mergeCell ref="C4:C6"/>
    <mergeCell ref="D4:E5"/>
    <mergeCell ref="F4:G5"/>
    <mergeCell ref="N4:N6"/>
    <mergeCell ref="AS1:AV3"/>
    <mergeCell ref="AW1:AZ3"/>
    <mergeCell ref="BA1:BA3"/>
    <mergeCell ref="AG3:AK3"/>
    <mergeCell ref="AM3:AP3"/>
    <mergeCell ref="AG1:AP2"/>
    <mergeCell ref="O4:O6"/>
    <mergeCell ref="P4:P6"/>
    <mergeCell ref="Q4:Q6"/>
    <mergeCell ref="R4:T5"/>
    <mergeCell ref="U4:W5"/>
    <mergeCell ref="AX4:AX6"/>
    <mergeCell ref="AY4:AY6"/>
    <mergeCell ref="AZ4:AZ6"/>
    <mergeCell ref="BA4:BA6"/>
    <mergeCell ref="H4:I5"/>
    <mergeCell ref="J4:J6"/>
    <mergeCell ref="K4:K6"/>
    <mergeCell ref="L4:L6"/>
    <mergeCell ref="M4:M6"/>
    <mergeCell ref="O27:O47"/>
    <mergeCell ref="AR4:AR6"/>
    <mergeCell ref="AS4:AS6"/>
    <mergeCell ref="AT4:AT6"/>
    <mergeCell ref="AU4:AU6"/>
    <mergeCell ref="AH4:AH6"/>
    <mergeCell ref="AI4:AK5"/>
    <mergeCell ref="AL4:AL6"/>
    <mergeCell ref="AM4:AM5"/>
    <mergeCell ref="AN4:AP5"/>
    <mergeCell ref="AQ4:AQ6"/>
    <mergeCell ref="Y4:Y6"/>
    <mergeCell ref="Z4:AB5"/>
    <mergeCell ref="AC4:AD5"/>
    <mergeCell ref="AE4:AE6"/>
    <mergeCell ref="AF4:AF6"/>
    <mergeCell ref="X11:X18"/>
    <mergeCell ref="AV4:AV6"/>
    <mergeCell ref="AW4:AW6"/>
    <mergeCell ref="AG4:AG5"/>
    <mergeCell ref="X4:X6"/>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99"/>
  <sheetViews>
    <sheetView zoomScaleNormal="100" workbookViewId="0">
      <pane xSplit="1" topLeftCell="B1" activePane="topRight" state="frozen"/>
      <selection pane="topRight" activeCell="L62" sqref="L62"/>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3.1640625" bestFit="1" customWidth="1"/>
    <col min="32" max="32" width="41.1640625" bestFit="1" customWidth="1"/>
    <col min="33" max="33" width="11.83203125" bestFit="1" customWidth="1"/>
    <col min="34" max="34" width="14" bestFit="1" customWidth="1"/>
    <col min="35" max="35" width="4.5" bestFit="1" customWidth="1"/>
    <col min="36" max="36" width="6.5" bestFit="1" customWidth="1"/>
    <col min="37" max="37" width="4.33203125" bestFit="1" customWidth="1"/>
    <col min="38" max="38" width="16.33203125" bestFit="1" customWidth="1"/>
    <col min="39" max="39" width="11.83203125" bestFit="1" customWidth="1"/>
    <col min="40" max="40" width="6" bestFit="1" customWidth="1"/>
    <col min="41" max="41" width="6.5" bestFit="1" customWidth="1"/>
    <col min="42" max="42" width="6" bestFit="1"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ht="23" x14ac:dyDescent="0.2">
      <c r="A1" s="209" t="s">
        <v>0</v>
      </c>
      <c r="B1" s="210"/>
      <c r="C1" s="210"/>
      <c r="D1" s="215" t="s">
        <v>1</v>
      </c>
      <c r="E1" s="215"/>
      <c r="F1" s="215"/>
      <c r="G1" s="215"/>
      <c r="H1" s="215"/>
      <c r="I1" s="215"/>
      <c r="J1" s="215"/>
      <c r="K1" s="215"/>
      <c r="L1" s="215"/>
      <c r="M1" s="215"/>
      <c r="N1" s="218" t="s">
        <v>2</v>
      </c>
      <c r="O1" s="218"/>
      <c r="P1" s="219"/>
      <c r="Q1" s="224" t="s">
        <v>3</v>
      </c>
      <c r="R1" s="225"/>
      <c r="S1" s="225"/>
      <c r="T1" s="225"/>
      <c r="U1" s="225"/>
      <c r="V1" s="225"/>
      <c r="W1" s="225"/>
      <c r="X1" s="225"/>
      <c r="Y1" s="226"/>
      <c r="Z1" s="230" t="s">
        <v>4</v>
      </c>
      <c r="AA1" s="231"/>
      <c r="AB1" s="231"/>
      <c r="AC1" s="231"/>
      <c r="AD1" s="231"/>
      <c r="AE1" s="231"/>
      <c r="AF1" s="232"/>
      <c r="AG1" s="271" t="s">
        <v>5</v>
      </c>
      <c r="AH1" s="271"/>
      <c r="AI1" s="271"/>
      <c r="AJ1" s="271"/>
      <c r="AK1" s="271"/>
      <c r="AL1" s="271"/>
      <c r="AM1" s="271"/>
      <c r="AN1" s="271"/>
      <c r="AO1" s="271"/>
      <c r="AP1" s="271"/>
      <c r="AQ1" s="1"/>
      <c r="AR1" s="2"/>
      <c r="AS1" s="251" t="s">
        <v>6</v>
      </c>
      <c r="AT1" s="252"/>
      <c r="AU1" s="252"/>
      <c r="AV1" s="252"/>
      <c r="AW1" s="257" t="s">
        <v>7</v>
      </c>
      <c r="AX1" s="258"/>
      <c r="AY1" s="258"/>
      <c r="AZ1" s="259"/>
      <c r="BA1" s="266" t="s">
        <v>8</v>
      </c>
    </row>
    <row r="2" spans="1:53" ht="23" x14ac:dyDescent="0.2">
      <c r="A2" s="211"/>
      <c r="B2" s="212"/>
      <c r="C2" s="212"/>
      <c r="D2" s="216"/>
      <c r="E2" s="216"/>
      <c r="F2" s="216"/>
      <c r="G2" s="216"/>
      <c r="H2" s="216"/>
      <c r="I2" s="216"/>
      <c r="J2" s="216"/>
      <c r="K2" s="216"/>
      <c r="L2" s="216"/>
      <c r="M2" s="216"/>
      <c r="N2" s="220"/>
      <c r="O2" s="220"/>
      <c r="P2" s="221"/>
      <c r="Q2" s="227"/>
      <c r="R2" s="228"/>
      <c r="S2" s="228"/>
      <c r="T2" s="228"/>
      <c r="U2" s="228"/>
      <c r="V2" s="228"/>
      <c r="W2" s="228"/>
      <c r="X2" s="228"/>
      <c r="Y2" s="229"/>
      <c r="Z2" s="233"/>
      <c r="AA2" s="234"/>
      <c r="AB2" s="234"/>
      <c r="AC2" s="234"/>
      <c r="AD2" s="234"/>
      <c r="AE2" s="234"/>
      <c r="AF2" s="235"/>
      <c r="AG2" s="272"/>
      <c r="AH2" s="272"/>
      <c r="AI2" s="272"/>
      <c r="AJ2" s="272"/>
      <c r="AK2" s="272"/>
      <c r="AL2" s="272"/>
      <c r="AM2" s="272"/>
      <c r="AN2" s="272"/>
      <c r="AO2" s="272"/>
      <c r="AP2" s="272"/>
      <c r="AQ2" s="3"/>
      <c r="AR2" s="4"/>
      <c r="AS2" s="253"/>
      <c r="AT2" s="254"/>
      <c r="AU2" s="254"/>
      <c r="AV2" s="254"/>
      <c r="AW2" s="260"/>
      <c r="AX2" s="261"/>
      <c r="AY2" s="261"/>
      <c r="AZ2" s="262"/>
      <c r="BA2" s="267"/>
    </row>
    <row r="3" spans="1:53" ht="21" thickBot="1" x14ac:dyDescent="0.25">
      <c r="A3" s="213"/>
      <c r="B3" s="214"/>
      <c r="C3" s="214"/>
      <c r="D3" s="217"/>
      <c r="E3" s="217"/>
      <c r="F3" s="217"/>
      <c r="G3" s="217"/>
      <c r="H3" s="217"/>
      <c r="I3" s="217"/>
      <c r="J3" s="217"/>
      <c r="K3" s="217"/>
      <c r="L3" s="217"/>
      <c r="M3" s="217"/>
      <c r="N3" s="222"/>
      <c r="O3" s="222"/>
      <c r="P3" s="223"/>
      <c r="Q3" s="227"/>
      <c r="R3" s="228"/>
      <c r="S3" s="228"/>
      <c r="T3" s="228"/>
      <c r="U3" s="228"/>
      <c r="V3" s="228"/>
      <c r="W3" s="228"/>
      <c r="X3" s="228"/>
      <c r="Y3" s="229"/>
      <c r="Z3" s="233"/>
      <c r="AA3" s="234"/>
      <c r="AB3" s="234"/>
      <c r="AC3" s="234"/>
      <c r="AD3" s="234"/>
      <c r="AE3" s="234"/>
      <c r="AF3" s="235"/>
      <c r="AG3" s="269" t="s">
        <v>9</v>
      </c>
      <c r="AH3" s="269"/>
      <c r="AI3" s="269"/>
      <c r="AJ3" s="269"/>
      <c r="AK3" s="270"/>
      <c r="AL3" s="5"/>
      <c r="AM3" s="269" t="s">
        <v>10</v>
      </c>
      <c r="AN3" s="269"/>
      <c r="AO3" s="269"/>
      <c r="AP3" s="270"/>
      <c r="AQ3" s="6"/>
      <c r="AR3" s="7"/>
      <c r="AS3" s="255"/>
      <c r="AT3" s="256"/>
      <c r="AU3" s="256"/>
      <c r="AV3" s="256"/>
      <c r="AW3" s="263"/>
      <c r="AX3" s="264"/>
      <c r="AY3" s="264"/>
      <c r="AZ3" s="265"/>
      <c r="BA3" s="268"/>
    </row>
    <row r="4" spans="1:53" x14ac:dyDescent="0.2">
      <c r="A4" s="236" t="s">
        <v>11</v>
      </c>
      <c r="B4" s="239" t="s">
        <v>12</v>
      </c>
      <c r="C4" s="239" t="s">
        <v>13</v>
      </c>
      <c r="D4" s="242" t="s">
        <v>14</v>
      </c>
      <c r="E4" s="243"/>
      <c r="F4" s="246" t="s">
        <v>15</v>
      </c>
      <c r="G4" s="243"/>
      <c r="H4" s="292" t="s">
        <v>16</v>
      </c>
      <c r="I4" s="293"/>
      <c r="J4" s="296" t="s">
        <v>17</v>
      </c>
      <c r="K4" s="299" t="s">
        <v>18</v>
      </c>
      <c r="L4" s="292" t="s">
        <v>19</v>
      </c>
      <c r="M4" s="303" t="s">
        <v>20</v>
      </c>
      <c r="N4" s="248" t="s">
        <v>21</v>
      </c>
      <c r="O4" s="248" t="s">
        <v>19</v>
      </c>
      <c r="P4" s="248" t="s">
        <v>20</v>
      </c>
      <c r="Q4" s="273" t="s">
        <v>22</v>
      </c>
      <c r="R4" s="276" t="s">
        <v>23</v>
      </c>
      <c r="S4" s="276"/>
      <c r="T4" s="277"/>
      <c r="U4" s="280" t="s">
        <v>24</v>
      </c>
      <c r="V4" s="280"/>
      <c r="W4" s="281"/>
      <c r="X4" s="353" t="s">
        <v>19</v>
      </c>
      <c r="Y4" s="330" t="s">
        <v>20</v>
      </c>
      <c r="Z4" s="333" t="s">
        <v>23</v>
      </c>
      <c r="AA4" s="334"/>
      <c r="AB4" s="335"/>
      <c r="AC4" s="339" t="s">
        <v>24</v>
      </c>
      <c r="AD4" s="339"/>
      <c r="AE4" s="339" t="s">
        <v>19</v>
      </c>
      <c r="AF4" s="342" t="s">
        <v>20</v>
      </c>
      <c r="AG4" s="351" t="s">
        <v>25</v>
      </c>
      <c r="AH4" s="318" t="s">
        <v>26</v>
      </c>
      <c r="AI4" s="321" t="s">
        <v>24</v>
      </c>
      <c r="AJ4" s="321"/>
      <c r="AK4" s="321"/>
      <c r="AL4" s="323" t="s">
        <v>27</v>
      </c>
      <c r="AM4" s="325" t="s">
        <v>25</v>
      </c>
      <c r="AN4" s="321" t="s">
        <v>24</v>
      </c>
      <c r="AO4" s="321"/>
      <c r="AP4" s="309"/>
      <c r="AQ4" s="327" t="s">
        <v>19</v>
      </c>
      <c r="AR4" s="309" t="s">
        <v>20</v>
      </c>
      <c r="AS4" s="312" t="s">
        <v>28</v>
      </c>
      <c r="AT4" s="315" t="s">
        <v>29</v>
      </c>
      <c r="AU4" s="315" t="s">
        <v>19</v>
      </c>
      <c r="AV4" s="315" t="s">
        <v>20</v>
      </c>
      <c r="AW4" s="348" t="s">
        <v>30</v>
      </c>
      <c r="AX4" s="284" t="s">
        <v>29</v>
      </c>
      <c r="AY4" s="284" t="s">
        <v>19</v>
      </c>
      <c r="AZ4" s="287" t="s">
        <v>20</v>
      </c>
      <c r="BA4" s="290" t="s">
        <v>31</v>
      </c>
    </row>
    <row r="5" spans="1:53" x14ac:dyDescent="0.2">
      <c r="A5" s="237"/>
      <c r="B5" s="240"/>
      <c r="C5" s="240"/>
      <c r="D5" s="244"/>
      <c r="E5" s="245"/>
      <c r="F5" s="247"/>
      <c r="G5" s="245"/>
      <c r="H5" s="294"/>
      <c r="I5" s="295"/>
      <c r="J5" s="297"/>
      <c r="K5" s="300"/>
      <c r="L5" s="294"/>
      <c r="M5" s="304"/>
      <c r="N5" s="249"/>
      <c r="O5" s="249"/>
      <c r="P5" s="249"/>
      <c r="Q5" s="274"/>
      <c r="R5" s="278"/>
      <c r="S5" s="278"/>
      <c r="T5" s="279"/>
      <c r="U5" s="282"/>
      <c r="V5" s="282"/>
      <c r="W5" s="283"/>
      <c r="X5" s="354"/>
      <c r="Y5" s="331"/>
      <c r="Z5" s="336"/>
      <c r="AA5" s="337"/>
      <c r="AB5" s="338"/>
      <c r="AC5" s="340"/>
      <c r="AD5" s="340"/>
      <c r="AE5" s="340"/>
      <c r="AF5" s="343"/>
      <c r="AG5" s="352"/>
      <c r="AH5" s="319"/>
      <c r="AI5" s="322"/>
      <c r="AJ5" s="322"/>
      <c r="AK5" s="322"/>
      <c r="AL5" s="324"/>
      <c r="AM5" s="326"/>
      <c r="AN5" s="322"/>
      <c r="AO5" s="322"/>
      <c r="AP5" s="310"/>
      <c r="AQ5" s="328"/>
      <c r="AR5" s="310"/>
      <c r="AS5" s="313"/>
      <c r="AT5" s="316"/>
      <c r="AU5" s="316"/>
      <c r="AV5" s="316"/>
      <c r="AW5" s="349"/>
      <c r="AX5" s="285"/>
      <c r="AY5" s="285"/>
      <c r="AZ5" s="288"/>
      <c r="BA5" s="290"/>
    </row>
    <row r="6" spans="1:53" ht="16" thickBot="1" x14ac:dyDescent="0.25">
      <c r="A6" s="238"/>
      <c r="B6" s="241"/>
      <c r="C6" s="241"/>
      <c r="D6" s="8" t="s">
        <v>32</v>
      </c>
      <c r="E6" s="9" t="s">
        <v>33</v>
      </c>
      <c r="F6" s="10" t="s">
        <v>32</v>
      </c>
      <c r="G6" s="9" t="s">
        <v>33</v>
      </c>
      <c r="H6" s="11" t="s">
        <v>32</v>
      </c>
      <c r="I6" s="12" t="s">
        <v>33</v>
      </c>
      <c r="J6" s="298"/>
      <c r="K6" s="301"/>
      <c r="L6" s="302"/>
      <c r="M6" s="305"/>
      <c r="N6" s="250"/>
      <c r="O6" s="250"/>
      <c r="P6" s="250"/>
      <c r="Q6" s="275"/>
      <c r="R6" s="13" t="s">
        <v>32</v>
      </c>
      <c r="S6" s="13" t="s">
        <v>34</v>
      </c>
      <c r="T6" s="14" t="s">
        <v>33</v>
      </c>
      <c r="U6" s="15" t="s">
        <v>32</v>
      </c>
      <c r="V6" s="15" t="s">
        <v>34</v>
      </c>
      <c r="W6" s="16" t="s">
        <v>33</v>
      </c>
      <c r="X6" s="355"/>
      <c r="Y6" s="332"/>
      <c r="Z6" s="17" t="s">
        <v>32</v>
      </c>
      <c r="AA6" s="18" t="s">
        <v>34</v>
      </c>
      <c r="AB6" s="19" t="s">
        <v>33</v>
      </c>
      <c r="AC6" s="20" t="s">
        <v>32</v>
      </c>
      <c r="AD6" s="20" t="s">
        <v>34</v>
      </c>
      <c r="AE6" s="341"/>
      <c r="AF6" s="344"/>
      <c r="AG6" s="21" t="s">
        <v>34</v>
      </c>
      <c r="AH6" s="320"/>
      <c r="AI6" s="22" t="s">
        <v>32</v>
      </c>
      <c r="AJ6" s="22" t="s">
        <v>34</v>
      </c>
      <c r="AK6" s="22" t="s">
        <v>33</v>
      </c>
      <c r="AL6" s="324"/>
      <c r="AM6" s="23" t="s">
        <v>33</v>
      </c>
      <c r="AN6" s="22" t="s">
        <v>32</v>
      </c>
      <c r="AO6" s="22" t="s">
        <v>34</v>
      </c>
      <c r="AP6" s="24" t="s">
        <v>33</v>
      </c>
      <c r="AQ6" s="329"/>
      <c r="AR6" s="311"/>
      <c r="AS6" s="314"/>
      <c r="AT6" s="317"/>
      <c r="AU6" s="317"/>
      <c r="AV6" s="317"/>
      <c r="AW6" s="350"/>
      <c r="AX6" s="286"/>
      <c r="AY6" s="286"/>
      <c r="AZ6" s="289"/>
      <c r="BA6" s="291"/>
    </row>
    <row r="7" spans="1:53" ht="16" thickBot="1" x14ac:dyDescent="0.25">
      <c r="A7" s="25">
        <v>0</v>
      </c>
      <c r="B7" s="26">
        <v>45052</v>
      </c>
      <c r="C7" s="27" t="s">
        <v>117</v>
      </c>
      <c r="D7" s="25"/>
      <c r="E7" s="28"/>
      <c r="F7" s="27"/>
      <c r="G7" s="28"/>
      <c r="H7" s="27"/>
      <c r="I7" s="28"/>
      <c r="J7" s="27">
        <v>0.8</v>
      </c>
      <c r="K7" s="29" t="s">
        <v>35</v>
      </c>
      <c r="L7" s="30" t="s">
        <v>36</v>
      </c>
      <c r="M7" s="153" t="s">
        <v>160</v>
      </c>
      <c r="N7" s="27"/>
      <c r="P7" s="32"/>
      <c r="Q7" s="25"/>
      <c r="R7" s="27"/>
      <c r="S7" s="27"/>
      <c r="T7" s="28"/>
      <c r="U7" s="27"/>
      <c r="V7" s="27"/>
      <c r="W7" s="28"/>
      <c r="X7" s="33"/>
      <c r="Y7" s="32"/>
      <c r="Z7" s="25"/>
      <c r="AA7" s="27"/>
      <c r="AB7" s="28"/>
      <c r="AC7" s="27"/>
      <c r="AD7" s="27"/>
      <c r="AE7" s="33"/>
      <c r="AG7" s="25"/>
      <c r="AH7" s="34"/>
      <c r="AI7" s="27"/>
      <c r="AJ7" s="27"/>
      <c r="AK7" s="27"/>
      <c r="AL7" s="25"/>
      <c r="AM7" s="35"/>
      <c r="AN7" s="27"/>
      <c r="AO7" s="27"/>
      <c r="AP7" s="36"/>
      <c r="AQ7" s="37"/>
      <c r="AR7" s="32"/>
      <c r="AS7" s="25"/>
      <c r="AT7" s="27"/>
      <c r="AU7" s="27"/>
      <c r="AW7" s="25"/>
      <c r="AX7" s="27"/>
      <c r="AY7" s="27"/>
      <c r="AZ7" s="32"/>
      <c r="BA7" s="38"/>
    </row>
    <row r="8" spans="1:53" ht="16" thickBot="1" x14ac:dyDescent="0.25">
      <c r="A8" s="25">
        <v>1</v>
      </c>
      <c r="B8" s="26">
        <v>45053</v>
      </c>
      <c r="C8" s="27" t="s">
        <v>140</v>
      </c>
      <c r="D8" s="25"/>
      <c r="E8" s="28"/>
      <c r="F8" s="27"/>
      <c r="G8" s="28"/>
      <c r="H8" s="27"/>
      <c r="I8" s="28"/>
      <c r="J8" s="27">
        <v>0.8</v>
      </c>
      <c r="K8" s="29" t="s">
        <v>35</v>
      </c>
      <c r="L8" s="39"/>
      <c r="M8" s="31"/>
      <c r="N8" s="27"/>
      <c r="P8" s="32"/>
      <c r="Q8" s="40"/>
      <c r="R8" s="27"/>
      <c r="S8" s="27"/>
      <c r="T8" s="28"/>
      <c r="U8" s="27"/>
      <c r="V8" s="27"/>
      <c r="W8" s="28"/>
      <c r="X8" s="33"/>
      <c r="Y8" s="32"/>
      <c r="Z8" s="25"/>
      <c r="AA8" s="27"/>
      <c r="AB8" s="28"/>
      <c r="AC8" s="27"/>
      <c r="AD8" s="27"/>
      <c r="AE8" s="33"/>
      <c r="AG8" s="25"/>
      <c r="AH8" s="34"/>
      <c r="AI8" s="27"/>
      <c r="AJ8" s="27"/>
      <c r="AK8" s="27"/>
      <c r="AL8" s="25"/>
      <c r="AM8" s="34"/>
      <c r="AN8" s="27"/>
      <c r="AO8" s="27"/>
      <c r="AP8" s="36"/>
      <c r="AQ8" s="37"/>
      <c r="AR8" s="32"/>
      <c r="AS8" s="25"/>
      <c r="AT8" s="27"/>
      <c r="AU8" s="27"/>
      <c r="AW8" s="25"/>
      <c r="AX8" s="27"/>
      <c r="AY8" s="27"/>
      <c r="AZ8" s="32"/>
      <c r="BA8" s="41"/>
    </row>
    <row r="9" spans="1:53" ht="16" thickBot="1" x14ac:dyDescent="0.25">
      <c r="A9" s="25">
        <v>2</v>
      </c>
      <c r="B9" s="26">
        <v>45054</v>
      </c>
      <c r="C9" s="27" t="s">
        <v>117</v>
      </c>
      <c r="D9" s="25"/>
      <c r="E9" s="28"/>
      <c r="F9" s="27"/>
      <c r="G9" s="28"/>
      <c r="H9" s="27"/>
      <c r="I9" s="28"/>
      <c r="J9" s="27">
        <v>0.8</v>
      </c>
      <c r="K9" s="29" t="s">
        <v>35</v>
      </c>
      <c r="L9" s="39"/>
      <c r="M9" s="31"/>
      <c r="N9" s="27"/>
      <c r="O9" s="42"/>
      <c r="Q9" s="43" t="s">
        <v>37</v>
      </c>
      <c r="R9" s="27"/>
      <c r="S9" s="27"/>
      <c r="T9" s="28"/>
      <c r="U9" s="27"/>
      <c r="V9" s="27"/>
      <c r="W9" s="28"/>
      <c r="X9" s="33"/>
      <c r="Y9" s="32"/>
      <c r="Z9" s="25"/>
      <c r="AA9" s="27"/>
      <c r="AB9" s="28"/>
      <c r="AC9" s="27"/>
      <c r="AD9" s="27"/>
      <c r="AE9" s="33"/>
      <c r="AG9" s="25"/>
      <c r="AH9" s="34"/>
      <c r="AI9" s="27"/>
      <c r="AJ9" s="27"/>
      <c r="AK9" s="27"/>
      <c r="AL9" s="25"/>
      <c r="AM9" s="34"/>
      <c r="AN9" s="27"/>
      <c r="AO9" s="27"/>
      <c r="AP9" s="36"/>
      <c r="AQ9" s="37"/>
      <c r="AR9" s="32"/>
      <c r="AS9" s="25"/>
      <c r="AT9" s="27"/>
      <c r="AU9" s="27"/>
      <c r="AW9" s="25"/>
      <c r="AX9" s="27"/>
      <c r="AY9" s="27"/>
      <c r="AZ9" s="32"/>
      <c r="BA9" s="41"/>
    </row>
    <row r="10" spans="1:53" ht="16" thickBot="1" x14ac:dyDescent="0.25">
      <c r="A10" s="25">
        <v>3</v>
      </c>
      <c r="B10" s="26">
        <v>45055</v>
      </c>
      <c r="C10" s="27" t="s">
        <v>117</v>
      </c>
      <c r="D10" s="25"/>
      <c r="E10" s="28"/>
      <c r="F10" s="27"/>
      <c r="G10" s="28"/>
      <c r="H10" s="27"/>
      <c r="I10" s="28"/>
      <c r="J10" s="27">
        <v>1.2</v>
      </c>
      <c r="K10" s="29" t="s">
        <v>35</v>
      </c>
      <c r="L10" s="44" t="s">
        <v>38</v>
      </c>
      <c r="M10" s="153" t="s">
        <v>161</v>
      </c>
      <c r="N10" s="27" t="s">
        <v>40</v>
      </c>
      <c r="O10" s="45" t="s">
        <v>41</v>
      </c>
      <c r="P10" s="46"/>
      <c r="Q10" s="25"/>
      <c r="R10" s="27"/>
      <c r="S10" s="27"/>
      <c r="T10" s="28"/>
      <c r="U10" s="27" t="s">
        <v>158</v>
      </c>
      <c r="V10" s="27"/>
      <c r="W10" s="28" t="s">
        <v>158</v>
      </c>
      <c r="X10" s="47" t="s">
        <v>43</v>
      </c>
      <c r="Y10" s="32" t="s">
        <v>44</v>
      </c>
      <c r="Z10" s="25"/>
      <c r="AA10" s="27"/>
      <c r="AB10" s="28"/>
      <c r="AC10" s="27" t="s">
        <v>158</v>
      </c>
      <c r="AD10" s="27"/>
      <c r="AE10" s="48" t="s">
        <v>45</v>
      </c>
      <c r="AG10" s="25"/>
      <c r="AH10" s="34"/>
      <c r="AI10" s="27"/>
      <c r="AJ10" s="27"/>
      <c r="AK10" s="27"/>
      <c r="AL10" s="25"/>
      <c r="AM10" s="34"/>
      <c r="AN10" s="27"/>
      <c r="AO10" s="27"/>
      <c r="AP10" s="36"/>
      <c r="AQ10" s="37"/>
      <c r="AR10" s="32"/>
      <c r="AS10" s="25"/>
      <c r="AT10" s="27"/>
      <c r="AU10" s="27"/>
      <c r="AW10" s="25"/>
      <c r="AX10" s="27"/>
      <c r="AY10" s="27"/>
      <c r="AZ10" s="32"/>
      <c r="BA10" s="41"/>
    </row>
    <row r="11" spans="1:53" x14ac:dyDescent="0.2">
      <c r="A11" s="25">
        <v>4</v>
      </c>
      <c r="B11" s="26">
        <v>45056</v>
      </c>
      <c r="C11" s="27"/>
      <c r="D11" s="25"/>
      <c r="E11" s="28"/>
      <c r="F11" s="27"/>
      <c r="G11" s="28"/>
      <c r="H11" s="27"/>
      <c r="I11" s="28"/>
      <c r="J11" s="27">
        <v>1.2</v>
      </c>
      <c r="K11" s="29" t="s">
        <v>35</v>
      </c>
      <c r="L11" s="39"/>
      <c r="M11" s="31"/>
      <c r="N11" s="27" t="s">
        <v>40</v>
      </c>
      <c r="O11" t="s">
        <v>46</v>
      </c>
      <c r="P11" s="32"/>
      <c r="Q11" s="25"/>
      <c r="R11" s="27"/>
      <c r="S11" s="27"/>
      <c r="T11" s="28"/>
      <c r="U11" s="27" t="s">
        <v>158</v>
      </c>
      <c r="V11" s="27"/>
      <c r="W11" s="28" t="s">
        <v>158</v>
      </c>
      <c r="X11" s="345" t="s">
        <v>47</v>
      </c>
      <c r="Y11" s="32"/>
      <c r="Z11" s="25"/>
      <c r="AA11" s="27"/>
      <c r="AB11" s="28"/>
      <c r="AC11" s="27" t="s">
        <v>158</v>
      </c>
      <c r="AD11" s="27"/>
      <c r="AE11" s="33"/>
      <c r="AG11" s="25"/>
      <c r="AH11" s="34"/>
      <c r="AI11" s="27"/>
      <c r="AJ11" s="27"/>
      <c r="AK11" s="27"/>
      <c r="AL11" s="25"/>
      <c r="AM11" s="34"/>
      <c r="AN11" s="27"/>
      <c r="AO11" s="27"/>
      <c r="AP11" s="36"/>
      <c r="AQ11" s="37"/>
      <c r="AR11" s="32"/>
      <c r="AS11" s="25"/>
      <c r="AT11" s="27"/>
      <c r="AU11" s="27"/>
      <c r="AW11" s="25"/>
      <c r="AX11" s="27"/>
      <c r="AY11" s="27"/>
      <c r="AZ11" s="32"/>
      <c r="BA11" s="41"/>
    </row>
    <row r="12" spans="1:53" x14ac:dyDescent="0.2">
      <c r="A12" s="25">
        <v>5</v>
      </c>
      <c r="B12" s="26">
        <v>45057</v>
      </c>
      <c r="C12" s="27" t="s">
        <v>117</v>
      </c>
      <c r="D12" s="25"/>
      <c r="E12" s="28"/>
      <c r="F12" s="27"/>
      <c r="G12" s="28"/>
      <c r="H12" s="27"/>
      <c r="I12" s="28"/>
      <c r="J12" s="27">
        <v>1.2</v>
      </c>
      <c r="K12" s="29" t="s">
        <v>35</v>
      </c>
      <c r="L12" s="39"/>
      <c r="M12" s="31"/>
      <c r="N12" s="27" t="s">
        <v>40</v>
      </c>
      <c r="P12" s="32"/>
      <c r="Q12" s="25"/>
      <c r="R12" s="27"/>
      <c r="S12" s="27"/>
      <c r="T12" s="28"/>
      <c r="U12" s="27" t="s">
        <v>158</v>
      </c>
      <c r="V12" s="27"/>
      <c r="W12" s="28" t="s">
        <v>158</v>
      </c>
      <c r="X12" s="346"/>
      <c r="Y12" s="32"/>
      <c r="Z12" s="25"/>
      <c r="AA12" s="27"/>
      <c r="AB12" s="28"/>
      <c r="AC12" s="27" t="s">
        <v>158</v>
      </c>
      <c r="AD12" s="27"/>
      <c r="AE12" s="33"/>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6</v>
      </c>
      <c r="B13" s="26">
        <v>45058</v>
      </c>
      <c r="C13" s="27" t="s">
        <v>117</v>
      </c>
      <c r="D13" s="25"/>
      <c r="E13" s="28"/>
      <c r="F13" s="27"/>
      <c r="G13" s="28"/>
      <c r="H13" s="27"/>
      <c r="I13" s="28"/>
      <c r="J13" s="27">
        <v>1.2</v>
      </c>
      <c r="K13" s="29" t="s">
        <v>35</v>
      </c>
      <c r="L13" s="39"/>
      <c r="M13" s="31"/>
      <c r="N13" s="27" t="s">
        <v>40</v>
      </c>
      <c r="P13" s="32"/>
      <c r="Q13" s="25"/>
      <c r="R13" s="27"/>
      <c r="S13" s="27"/>
      <c r="T13" s="28"/>
      <c r="U13" s="27" t="s">
        <v>158</v>
      </c>
      <c r="V13" s="27"/>
      <c r="W13" s="28" t="s">
        <v>158</v>
      </c>
      <c r="X13" s="346"/>
      <c r="Y13" s="32"/>
      <c r="Z13" s="25"/>
      <c r="AA13" s="27"/>
      <c r="AB13" s="28"/>
      <c r="AC13" s="27" t="s">
        <v>158</v>
      </c>
      <c r="AD13" s="27"/>
      <c r="AE13" s="33"/>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7</v>
      </c>
      <c r="B14" s="26">
        <v>45059</v>
      </c>
      <c r="C14" s="27" t="s">
        <v>117</v>
      </c>
      <c r="D14" s="25"/>
      <c r="E14" s="28"/>
      <c r="F14" s="27"/>
      <c r="G14" s="28"/>
      <c r="H14" s="27"/>
      <c r="I14" s="28"/>
      <c r="J14" s="27">
        <v>1.2</v>
      </c>
      <c r="K14" s="29" t="s">
        <v>35</v>
      </c>
      <c r="L14" s="39"/>
      <c r="M14" s="31"/>
      <c r="N14" s="27" t="s">
        <v>40</v>
      </c>
      <c r="P14" s="32"/>
      <c r="Q14" s="25"/>
      <c r="R14" s="27"/>
      <c r="S14" s="27"/>
      <c r="T14" s="28"/>
      <c r="U14" s="27" t="s">
        <v>158</v>
      </c>
      <c r="V14" s="27"/>
      <c r="W14" s="28" t="s">
        <v>158</v>
      </c>
      <c r="X14" s="346"/>
      <c r="Y14" s="32"/>
      <c r="Z14" s="25"/>
      <c r="AA14" s="27"/>
      <c r="AB14" s="28"/>
      <c r="AC14" s="27" t="s">
        <v>158</v>
      </c>
      <c r="AD14" s="27"/>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8</v>
      </c>
      <c r="B15" s="26">
        <v>45060</v>
      </c>
      <c r="C15" s="27" t="s">
        <v>117</v>
      </c>
      <c r="D15" s="25"/>
      <c r="E15" s="28"/>
      <c r="F15" s="27"/>
      <c r="G15" s="28"/>
      <c r="H15" s="27"/>
      <c r="I15" s="28"/>
      <c r="J15" s="27">
        <v>1.2</v>
      </c>
      <c r="K15" s="29" t="s">
        <v>35</v>
      </c>
      <c r="L15" s="39"/>
      <c r="M15" s="31"/>
      <c r="N15" s="27" t="s">
        <v>40</v>
      </c>
      <c r="P15" s="32"/>
      <c r="Q15" s="25"/>
      <c r="R15" s="27"/>
      <c r="S15" s="27"/>
      <c r="T15" s="28"/>
      <c r="U15" s="27" t="s">
        <v>158</v>
      </c>
      <c r="V15" s="27"/>
      <c r="W15" s="28" t="s">
        <v>158</v>
      </c>
      <c r="X15" s="346"/>
      <c r="Y15" s="32"/>
      <c r="Z15" s="25"/>
      <c r="AA15" s="27"/>
      <c r="AB15" s="28"/>
      <c r="AC15" s="27" t="s">
        <v>158</v>
      </c>
      <c r="AD15" s="27"/>
      <c r="AE15" s="33"/>
      <c r="AG15" s="25"/>
      <c r="AH15" s="34"/>
      <c r="AI15" s="27"/>
      <c r="AJ15" s="27"/>
      <c r="AK15" s="27"/>
      <c r="AL15" s="25"/>
      <c r="AM15" s="34"/>
      <c r="AN15" s="27"/>
      <c r="AO15" s="27"/>
      <c r="AP15" s="36"/>
      <c r="AQ15" s="37"/>
      <c r="AR15" s="32"/>
      <c r="AS15" s="25"/>
      <c r="AT15" s="27"/>
      <c r="AU15" s="27"/>
      <c r="AW15" s="25"/>
      <c r="AX15" s="27"/>
      <c r="AY15" s="27"/>
      <c r="AZ15" s="32"/>
      <c r="BA15" s="41"/>
    </row>
    <row r="16" spans="1:53" ht="16" thickBot="1" x14ac:dyDescent="0.25">
      <c r="A16" s="25">
        <v>9</v>
      </c>
      <c r="B16" s="26">
        <v>45061</v>
      </c>
      <c r="C16" s="27" t="s">
        <v>117</v>
      </c>
      <c r="D16" s="25"/>
      <c r="E16" s="28"/>
      <c r="F16" s="27"/>
      <c r="G16" s="28"/>
      <c r="H16" s="27"/>
      <c r="I16" s="28"/>
      <c r="J16" s="27">
        <v>1.2</v>
      </c>
      <c r="K16" s="29" t="s">
        <v>35</v>
      </c>
      <c r="L16" s="39"/>
      <c r="M16" s="31"/>
      <c r="N16" s="27" t="s">
        <v>40</v>
      </c>
      <c r="P16" s="32"/>
      <c r="Q16" s="25"/>
      <c r="R16" s="27"/>
      <c r="S16" s="27"/>
      <c r="T16" s="28"/>
      <c r="U16" s="27" t="s">
        <v>158</v>
      </c>
      <c r="V16" s="27"/>
      <c r="W16" s="28" t="s">
        <v>158</v>
      </c>
      <c r="X16" s="346"/>
      <c r="Y16" s="32"/>
      <c r="Z16" s="25"/>
      <c r="AA16" s="27"/>
      <c r="AB16" s="28"/>
      <c r="AC16" s="27" t="s">
        <v>158</v>
      </c>
      <c r="AD16" s="27"/>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10</v>
      </c>
      <c r="B17" s="26">
        <v>45062</v>
      </c>
      <c r="C17" s="27" t="s">
        <v>117</v>
      </c>
      <c r="D17" s="25"/>
      <c r="E17" s="28"/>
      <c r="F17" s="27"/>
      <c r="G17" s="28"/>
      <c r="H17" s="27"/>
      <c r="I17" s="28"/>
      <c r="J17" s="27">
        <v>1.2</v>
      </c>
      <c r="K17" s="29" t="s">
        <v>35</v>
      </c>
      <c r="L17" s="39"/>
      <c r="M17" s="153" t="s">
        <v>162</v>
      </c>
      <c r="N17" s="27" t="s">
        <v>40</v>
      </c>
      <c r="O17" s="49"/>
      <c r="P17" s="32"/>
      <c r="Q17" s="25"/>
      <c r="R17" s="27"/>
      <c r="S17" s="27"/>
      <c r="T17" s="28"/>
      <c r="U17" s="27" t="s">
        <v>158</v>
      </c>
      <c r="V17" s="27"/>
      <c r="W17" s="28" t="s">
        <v>158</v>
      </c>
      <c r="X17" s="346"/>
      <c r="Y17" s="32"/>
      <c r="Z17" s="25"/>
      <c r="AA17" s="27"/>
      <c r="AB17" s="28"/>
      <c r="AC17" s="27" t="s">
        <v>163</v>
      </c>
      <c r="AD17" s="27"/>
      <c r="AE17" s="50"/>
      <c r="AF17" s="51"/>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11</v>
      </c>
      <c r="B18" s="26">
        <v>45063</v>
      </c>
      <c r="C18" s="27" t="s">
        <v>117</v>
      </c>
      <c r="D18" s="25"/>
      <c r="E18" s="28"/>
      <c r="F18" s="27"/>
      <c r="G18" s="28"/>
      <c r="H18" s="27"/>
      <c r="I18" s="28"/>
      <c r="J18" s="27">
        <v>1.2</v>
      </c>
      <c r="K18" s="29" t="s">
        <v>35</v>
      </c>
      <c r="L18" s="52" t="s">
        <v>180</v>
      </c>
      <c r="M18" s="31"/>
      <c r="N18" s="27" t="s">
        <v>40</v>
      </c>
      <c r="P18" s="32"/>
      <c r="Q18" s="25"/>
      <c r="R18" s="27"/>
      <c r="S18" s="27"/>
      <c r="T18" s="28"/>
      <c r="U18" s="27" t="s">
        <v>158</v>
      </c>
      <c r="V18" s="27"/>
      <c r="W18" s="28" t="s">
        <v>158</v>
      </c>
      <c r="X18" s="347"/>
      <c r="Y18" s="32"/>
      <c r="Z18" s="25"/>
      <c r="AA18" s="27"/>
      <c r="AB18" s="28"/>
      <c r="AC18" s="27" t="s">
        <v>163</v>
      </c>
      <c r="AD18" s="27"/>
      <c r="AE18" s="33"/>
      <c r="AF18" s="46"/>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12</v>
      </c>
      <c r="B19" s="26">
        <v>45064</v>
      </c>
      <c r="C19" s="27" t="s">
        <v>117</v>
      </c>
      <c r="D19" s="25"/>
      <c r="E19" s="28"/>
      <c r="F19" s="27"/>
      <c r="G19" s="28"/>
      <c r="H19" s="27"/>
      <c r="I19" s="28"/>
      <c r="J19" s="27">
        <v>1.2</v>
      </c>
      <c r="K19" s="29" t="s">
        <v>35</v>
      </c>
      <c r="L19" s="53"/>
      <c r="M19" s="153" t="s">
        <v>164</v>
      </c>
      <c r="N19" s="27" t="s">
        <v>40</v>
      </c>
      <c r="P19" s="32"/>
      <c r="Q19" s="25"/>
      <c r="R19" s="27"/>
      <c r="S19" s="27"/>
      <c r="T19" s="28"/>
      <c r="U19" s="27">
        <v>5</v>
      </c>
      <c r="V19" s="27"/>
      <c r="W19" s="28">
        <v>5</v>
      </c>
      <c r="X19" s="54" t="s">
        <v>49</v>
      </c>
      <c r="Y19" s="32"/>
      <c r="Z19" s="25"/>
      <c r="AA19" s="27"/>
      <c r="AB19" s="28"/>
      <c r="AC19" s="27" t="s">
        <v>165</v>
      </c>
      <c r="AD19" s="27"/>
      <c r="AE19" s="33"/>
      <c r="AG19" s="25"/>
      <c r="AH19" s="34"/>
      <c r="AI19" s="27"/>
      <c r="AJ19" s="27"/>
      <c r="AK19" s="27"/>
      <c r="AL19" s="25"/>
      <c r="AM19" s="34"/>
      <c r="AN19" s="27"/>
      <c r="AO19" s="27"/>
      <c r="AP19" s="36"/>
      <c r="AQ19" s="37"/>
      <c r="AR19" s="32"/>
      <c r="AS19" s="25"/>
      <c r="AT19" s="27"/>
      <c r="AU19" s="27"/>
      <c r="AW19" s="25"/>
      <c r="AX19" s="27"/>
      <c r="AY19" s="27"/>
      <c r="AZ19" s="32"/>
      <c r="BA19" s="41"/>
    </row>
    <row r="20" spans="1:53" ht="16" thickBot="1" x14ac:dyDescent="0.25">
      <c r="A20" s="25">
        <v>13</v>
      </c>
      <c r="B20" s="26">
        <v>45065</v>
      </c>
      <c r="C20" s="27" t="s">
        <v>117</v>
      </c>
      <c r="D20" s="25"/>
      <c r="E20" s="28"/>
      <c r="F20" s="27"/>
      <c r="G20" s="28"/>
      <c r="H20" s="27"/>
      <c r="I20" s="28"/>
      <c r="J20" s="27">
        <v>1.2</v>
      </c>
      <c r="K20" s="29" t="s">
        <v>35</v>
      </c>
      <c r="L20" s="39"/>
      <c r="M20" s="31"/>
      <c r="N20" s="27" t="s">
        <v>40</v>
      </c>
      <c r="P20" s="32"/>
      <c r="Q20" s="25"/>
      <c r="R20" s="27"/>
      <c r="S20" s="27"/>
      <c r="T20" s="28"/>
      <c r="U20" s="27">
        <v>5</v>
      </c>
      <c r="V20" s="27"/>
      <c r="W20" s="28">
        <v>5</v>
      </c>
      <c r="X20" s="33">
        <v>1</v>
      </c>
      <c r="Y20" s="32"/>
      <c r="Z20" s="55"/>
      <c r="AA20" s="56"/>
      <c r="AB20" s="57"/>
      <c r="AC20" s="27" t="s">
        <v>165</v>
      </c>
      <c r="AD20" s="27"/>
      <c r="AE20" s="33"/>
      <c r="AG20" s="25"/>
      <c r="AH20" s="34"/>
      <c r="AI20" s="27"/>
      <c r="AJ20" s="27"/>
      <c r="AK20" s="27"/>
      <c r="AL20" s="25"/>
      <c r="AM20" s="34"/>
      <c r="AN20" s="27"/>
      <c r="AO20" s="27"/>
      <c r="AP20" s="36"/>
      <c r="AQ20" s="37"/>
      <c r="AR20" s="32"/>
      <c r="AS20" s="25" t="s">
        <v>51</v>
      </c>
      <c r="AT20" s="27" t="s">
        <v>52</v>
      </c>
      <c r="AU20" s="58" t="s">
        <v>53</v>
      </c>
      <c r="AW20" s="25"/>
      <c r="AX20" s="27"/>
      <c r="AY20" s="27"/>
      <c r="AZ20" s="32"/>
      <c r="BA20" s="41"/>
    </row>
    <row r="21" spans="1:53" ht="16" thickBot="1" x14ac:dyDescent="0.25">
      <c r="A21" s="25">
        <v>14</v>
      </c>
      <c r="B21" s="26">
        <v>45066</v>
      </c>
      <c r="C21" s="27" t="s">
        <v>117</v>
      </c>
      <c r="D21" s="25"/>
      <c r="E21" s="28"/>
      <c r="F21" s="27"/>
      <c r="G21" s="28"/>
      <c r="H21" s="27"/>
      <c r="I21" s="28"/>
      <c r="J21" s="27">
        <v>1.2</v>
      </c>
      <c r="K21" s="29" t="s">
        <v>35</v>
      </c>
      <c r="L21" s="39"/>
      <c r="M21" s="31"/>
      <c r="N21" s="27" t="s">
        <v>40</v>
      </c>
      <c r="P21" s="32"/>
      <c r="Q21" s="25"/>
      <c r="R21" s="27"/>
      <c r="S21" s="27"/>
      <c r="T21" s="28"/>
      <c r="U21" s="27">
        <v>5</v>
      </c>
      <c r="V21" s="27"/>
      <c r="W21" s="28">
        <v>5</v>
      </c>
      <c r="X21" s="33"/>
      <c r="Y21" s="32"/>
      <c r="Z21" s="59"/>
      <c r="AA21" s="60"/>
      <c r="AB21" s="61"/>
      <c r="AC21" s="27" t="s">
        <v>165</v>
      </c>
      <c r="AD21" s="27"/>
      <c r="AE21" s="33"/>
      <c r="AG21" s="25"/>
      <c r="AH21" s="34"/>
      <c r="AI21" s="27"/>
      <c r="AJ21" s="27"/>
      <c r="AK21" s="27"/>
      <c r="AL21" s="25"/>
      <c r="AM21" s="34"/>
      <c r="AN21" s="27"/>
      <c r="AO21" s="27"/>
      <c r="AP21" s="36"/>
      <c r="AQ21" s="37"/>
      <c r="AR21" s="32"/>
      <c r="AS21" s="25" t="s">
        <v>51</v>
      </c>
      <c r="AT21" s="27" t="s">
        <v>52</v>
      </c>
      <c r="AW21" s="25"/>
      <c r="AX21" s="27"/>
      <c r="AY21" s="27"/>
      <c r="AZ21" s="32"/>
      <c r="BA21" s="62"/>
    </row>
    <row r="22" spans="1:53" ht="16" thickBot="1" x14ac:dyDescent="0.25">
      <c r="A22" s="25">
        <v>15</v>
      </c>
      <c r="B22" s="26">
        <v>45067</v>
      </c>
      <c r="C22" s="27" t="s">
        <v>117</v>
      </c>
      <c r="D22" s="25"/>
      <c r="E22" s="28"/>
      <c r="F22" s="27"/>
      <c r="G22" s="28"/>
      <c r="H22" s="27"/>
      <c r="I22" s="28"/>
      <c r="J22" s="27">
        <v>1.2</v>
      </c>
      <c r="K22" s="29" t="s">
        <v>35</v>
      </c>
      <c r="L22" s="39"/>
      <c r="M22" s="31"/>
      <c r="N22" s="27" t="s">
        <v>40</v>
      </c>
      <c r="P22" s="32"/>
      <c r="Q22" s="25"/>
      <c r="R22" s="27"/>
      <c r="S22" s="27"/>
      <c r="T22" s="28"/>
      <c r="U22" s="27">
        <v>5</v>
      </c>
      <c r="V22" s="27"/>
      <c r="W22" s="28">
        <v>5</v>
      </c>
      <c r="X22" s="33"/>
      <c r="Y22" s="32"/>
      <c r="Z22" s="25"/>
      <c r="AA22" s="27"/>
      <c r="AB22" s="28"/>
      <c r="AC22" s="27" t="s">
        <v>165</v>
      </c>
      <c r="AD22" s="27"/>
      <c r="AE22" s="33"/>
      <c r="AG22" s="25"/>
      <c r="AH22" s="34"/>
      <c r="AI22" s="27"/>
      <c r="AJ22" s="27"/>
      <c r="AK22" s="27"/>
      <c r="AL22" s="25"/>
      <c r="AM22" s="34"/>
      <c r="AN22" s="27"/>
      <c r="AO22" s="27"/>
      <c r="AP22" s="36"/>
      <c r="AQ22" s="37"/>
      <c r="AR22" s="46"/>
      <c r="AS22" s="25" t="s">
        <v>57</v>
      </c>
      <c r="AT22" s="27" t="s">
        <v>52</v>
      </c>
      <c r="AU22" s="58" t="s">
        <v>58</v>
      </c>
      <c r="AW22" s="25"/>
      <c r="AX22" s="27"/>
      <c r="AY22" s="27"/>
      <c r="AZ22" s="32"/>
      <c r="BA22" s="41"/>
    </row>
    <row r="23" spans="1:53" ht="16" thickBot="1" x14ac:dyDescent="0.25">
      <c r="A23" s="25">
        <v>16</v>
      </c>
      <c r="B23" s="26">
        <v>45068</v>
      </c>
      <c r="C23" s="27" t="s">
        <v>117</v>
      </c>
      <c r="D23" s="25"/>
      <c r="E23" s="28"/>
      <c r="F23" s="27"/>
      <c r="G23" s="28"/>
      <c r="H23" s="27"/>
      <c r="I23" s="28"/>
      <c r="J23" s="27">
        <v>1.2</v>
      </c>
      <c r="K23" s="29" t="s">
        <v>35</v>
      </c>
      <c r="L23" s="44" t="s">
        <v>59</v>
      </c>
      <c r="M23" s="153" t="s">
        <v>166</v>
      </c>
      <c r="N23" s="27" t="s">
        <v>40</v>
      </c>
      <c r="P23" s="32"/>
      <c r="Q23" s="25"/>
      <c r="R23" s="27"/>
      <c r="S23" s="27"/>
      <c r="T23" s="28"/>
      <c r="U23" s="27">
        <v>5</v>
      </c>
      <c r="V23" s="27"/>
      <c r="W23" s="28">
        <v>5</v>
      </c>
      <c r="X23" s="63" t="s">
        <v>60</v>
      </c>
      <c r="Y23" s="46" t="s">
        <v>61</v>
      </c>
      <c r="AB23" s="28"/>
      <c r="AC23" s="27" t="s">
        <v>165</v>
      </c>
      <c r="AD23" s="27"/>
      <c r="AE23" s="33"/>
      <c r="AG23" s="25"/>
      <c r="AH23" s="34"/>
      <c r="AI23" s="27"/>
      <c r="AJ23" s="27"/>
      <c r="AK23" s="27"/>
      <c r="AL23" s="25"/>
      <c r="AM23" s="34"/>
      <c r="AN23" s="27"/>
      <c r="AO23" s="27"/>
      <c r="AP23" s="36"/>
      <c r="AQ23" s="64"/>
      <c r="AR23" s="65"/>
      <c r="AS23" s="25" t="s">
        <v>57</v>
      </c>
      <c r="AT23" s="27" t="s">
        <v>52</v>
      </c>
      <c r="AU23" s="27"/>
      <c r="AW23" s="25"/>
      <c r="AX23" s="27"/>
      <c r="AY23" s="27"/>
      <c r="AZ23" s="32"/>
      <c r="BA23" s="41"/>
    </row>
    <row r="24" spans="1:53" x14ac:dyDescent="0.2">
      <c r="A24" s="25">
        <v>17</v>
      </c>
      <c r="B24" s="26">
        <v>45069</v>
      </c>
      <c r="C24" s="27" t="s">
        <v>117</v>
      </c>
      <c r="D24" s="25"/>
      <c r="E24" s="28"/>
      <c r="F24" s="27"/>
      <c r="G24" s="28"/>
      <c r="H24" s="27"/>
      <c r="I24" s="28"/>
      <c r="J24" s="27">
        <v>1.2</v>
      </c>
      <c r="K24" s="29" t="s">
        <v>35</v>
      </c>
      <c r="L24" s="39"/>
      <c r="M24" s="31"/>
      <c r="N24" s="27" t="s">
        <v>40</v>
      </c>
      <c r="P24" s="32"/>
      <c r="Q24" s="25"/>
      <c r="R24" s="27"/>
      <c r="S24" s="27"/>
      <c r="T24" s="28"/>
      <c r="U24" s="27">
        <v>1</v>
      </c>
      <c r="V24" s="27"/>
      <c r="W24" s="28">
        <v>1</v>
      </c>
      <c r="X24" s="33"/>
      <c r="Y24" s="32"/>
      <c r="Z24" s="25"/>
      <c r="AA24" s="27"/>
      <c r="AB24" s="28"/>
      <c r="AC24" s="27" t="s">
        <v>165</v>
      </c>
      <c r="AD24" s="27"/>
      <c r="AE24" s="33"/>
      <c r="AG24" s="25"/>
      <c r="AH24" s="34"/>
      <c r="AI24" s="27"/>
      <c r="AJ24" s="27"/>
      <c r="AK24" s="27"/>
      <c r="AL24" s="25"/>
      <c r="AM24" s="34"/>
      <c r="AN24" s="27"/>
      <c r="AO24" s="27"/>
      <c r="AP24" s="36"/>
      <c r="AQ24" s="37"/>
      <c r="AR24" s="32"/>
      <c r="AS24" s="25" t="s">
        <v>57</v>
      </c>
      <c r="AT24" s="27" t="s">
        <v>52</v>
      </c>
      <c r="AU24" s="27"/>
      <c r="AW24" s="25"/>
      <c r="AX24" s="27"/>
      <c r="AY24" s="27"/>
      <c r="AZ24" s="32"/>
      <c r="BA24" s="41"/>
    </row>
    <row r="25" spans="1:53" ht="16" thickBot="1" x14ac:dyDescent="0.25">
      <c r="A25" s="25">
        <v>18</v>
      </c>
      <c r="B25" s="26">
        <v>45070</v>
      </c>
      <c r="C25" s="27" t="s">
        <v>117</v>
      </c>
      <c r="D25" s="25"/>
      <c r="E25" s="28"/>
      <c r="F25" s="27"/>
      <c r="G25" s="28"/>
      <c r="H25" s="27"/>
      <c r="I25" s="28"/>
      <c r="J25" s="27">
        <v>1.2</v>
      </c>
      <c r="K25" s="29" t="s">
        <v>35</v>
      </c>
      <c r="L25" s="39"/>
      <c r="M25" s="31"/>
      <c r="N25" s="27" t="s">
        <v>40</v>
      </c>
      <c r="P25" s="66"/>
      <c r="Q25" s="25"/>
      <c r="R25" s="27"/>
      <c r="S25" s="27"/>
      <c r="T25" s="28"/>
      <c r="U25" s="27">
        <v>1</v>
      </c>
      <c r="V25" s="27"/>
      <c r="W25" s="28">
        <v>1</v>
      </c>
      <c r="X25" s="33" t="s">
        <v>62</v>
      </c>
      <c r="Y25" s="32"/>
      <c r="Z25" s="25"/>
      <c r="AA25" s="27"/>
      <c r="AB25" s="28"/>
      <c r="AC25" s="27" t="s">
        <v>165</v>
      </c>
      <c r="AD25" s="27"/>
      <c r="AE25" s="33"/>
      <c r="AG25" s="25"/>
      <c r="AH25" s="34"/>
      <c r="AI25" s="27"/>
      <c r="AJ25" s="27"/>
      <c r="AK25" s="27"/>
      <c r="AL25" s="25"/>
      <c r="AM25" s="34"/>
      <c r="AN25" s="27">
        <v>2.5000000000000001E-2</v>
      </c>
      <c r="AO25" s="27"/>
      <c r="AP25" s="36"/>
      <c r="AQ25" s="67" t="s">
        <v>63</v>
      </c>
      <c r="AR25" s="46" t="s">
        <v>64</v>
      </c>
      <c r="AS25" s="25" t="s">
        <v>57</v>
      </c>
      <c r="AT25" s="27" t="s">
        <v>52</v>
      </c>
      <c r="AW25" s="25"/>
      <c r="AX25" s="27"/>
      <c r="AY25" s="27"/>
      <c r="AZ25" s="32"/>
      <c r="BA25" s="41"/>
    </row>
    <row r="26" spans="1:53" ht="16" thickBot="1" x14ac:dyDescent="0.25">
      <c r="A26" s="25">
        <v>19</v>
      </c>
      <c r="B26" s="26">
        <v>45071</v>
      </c>
      <c r="C26" s="27" t="s">
        <v>117</v>
      </c>
      <c r="D26" s="25"/>
      <c r="E26" s="28"/>
      <c r="F26" s="27"/>
      <c r="G26" s="28"/>
      <c r="H26" s="27"/>
      <c r="I26" s="28"/>
      <c r="J26" s="27">
        <v>1.2</v>
      </c>
      <c r="K26" s="29" t="s">
        <v>35</v>
      </c>
      <c r="L26" s="39"/>
      <c r="M26" s="31"/>
      <c r="N26" s="27" t="s">
        <v>40</v>
      </c>
      <c r="P26" s="32"/>
      <c r="Q26" s="25"/>
      <c r="R26" s="27"/>
      <c r="S26" s="27"/>
      <c r="T26" s="28"/>
      <c r="U26" s="27"/>
      <c r="V26" s="27"/>
      <c r="W26" s="28"/>
      <c r="X26" s="33"/>
      <c r="Y26" s="32"/>
      <c r="Z26" s="25"/>
      <c r="AA26" s="27"/>
      <c r="AB26" s="28"/>
      <c r="AC26" s="27" t="s">
        <v>165</v>
      </c>
      <c r="AD26" s="27"/>
      <c r="AE26" s="33"/>
      <c r="AG26" s="25"/>
      <c r="AH26" s="34"/>
      <c r="AI26" s="27"/>
      <c r="AJ26" s="27"/>
      <c r="AK26" s="27"/>
      <c r="AL26" s="25"/>
      <c r="AM26" s="34"/>
      <c r="AN26" s="27">
        <v>2.5000000000000001E-2</v>
      </c>
      <c r="AO26" s="27"/>
      <c r="AP26" s="36"/>
      <c r="AQ26" s="68" t="s">
        <v>65</v>
      </c>
      <c r="AR26" s="32" t="s">
        <v>64</v>
      </c>
      <c r="AS26" s="25" t="s">
        <v>57</v>
      </c>
      <c r="AT26" s="27" t="s">
        <v>52</v>
      </c>
      <c r="AU26" s="27"/>
      <c r="AW26" s="25"/>
      <c r="AX26" s="27"/>
      <c r="AY26" s="27"/>
      <c r="AZ26" s="32"/>
      <c r="BA26" s="62"/>
    </row>
    <row r="27" spans="1:53" x14ac:dyDescent="0.2">
      <c r="A27" s="25">
        <v>20</v>
      </c>
      <c r="B27" s="26">
        <v>45072</v>
      </c>
      <c r="C27" s="27" t="s">
        <v>117</v>
      </c>
      <c r="D27" s="25"/>
      <c r="E27" s="28"/>
      <c r="F27" s="27"/>
      <c r="G27" s="28"/>
      <c r="H27" s="27"/>
      <c r="I27" s="28"/>
      <c r="J27" s="27">
        <v>1.2</v>
      </c>
      <c r="K27" s="29" t="s">
        <v>35</v>
      </c>
      <c r="L27" s="39"/>
      <c r="M27" s="153" t="s">
        <v>167</v>
      </c>
      <c r="N27" s="27" t="s">
        <v>40</v>
      </c>
      <c r="O27" s="306" t="s">
        <v>66</v>
      </c>
      <c r="P27" s="32"/>
      <c r="Q27" s="25"/>
      <c r="R27" s="27"/>
      <c r="S27" s="27"/>
      <c r="T27" s="28"/>
      <c r="U27" s="27"/>
      <c r="V27" s="27"/>
      <c r="W27" s="28"/>
      <c r="X27" s="33"/>
      <c r="Y27" s="32"/>
      <c r="Z27" s="25"/>
      <c r="AA27" s="27"/>
      <c r="AB27" s="28"/>
      <c r="AC27" s="27" t="s">
        <v>165</v>
      </c>
      <c r="AD27" s="27"/>
      <c r="AE27" s="33"/>
      <c r="AG27" s="25"/>
      <c r="AH27" s="34"/>
      <c r="AI27" s="27"/>
      <c r="AJ27" s="27"/>
      <c r="AK27" s="27"/>
      <c r="AL27" s="25"/>
      <c r="AM27" s="34"/>
      <c r="AN27" s="27">
        <v>2.5000000000000001E-2</v>
      </c>
      <c r="AO27" s="27"/>
      <c r="AP27" s="36"/>
      <c r="AQ27" s="37"/>
      <c r="AR27" s="32"/>
      <c r="AS27" s="25" t="s">
        <v>57</v>
      </c>
      <c r="AT27" s="27" t="s">
        <v>52</v>
      </c>
      <c r="AU27" s="27"/>
      <c r="AW27" s="25"/>
      <c r="AX27" s="27"/>
      <c r="AY27" s="27"/>
      <c r="AZ27" s="32"/>
      <c r="BA27" s="41"/>
    </row>
    <row r="28" spans="1:53" ht="16" thickBot="1" x14ac:dyDescent="0.25">
      <c r="A28" s="70">
        <v>21</v>
      </c>
      <c r="B28" s="26">
        <v>45073</v>
      </c>
      <c r="C28" s="71"/>
      <c r="D28" s="70"/>
      <c r="E28" s="72"/>
      <c r="F28" s="71"/>
      <c r="G28" s="72"/>
      <c r="H28" s="71"/>
      <c r="I28" s="72"/>
      <c r="J28" s="27">
        <v>1.2</v>
      </c>
      <c r="K28" s="29" t="s">
        <v>35</v>
      </c>
      <c r="L28" s="39"/>
      <c r="M28" s="73"/>
      <c r="N28" s="27" t="s">
        <v>40</v>
      </c>
      <c r="O28" s="307"/>
      <c r="P28" s="74"/>
      <c r="Q28" s="70"/>
      <c r="R28" s="71"/>
      <c r="S28" s="71"/>
      <c r="T28" s="72"/>
      <c r="U28" s="71"/>
      <c r="V28" s="71"/>
      <c r="W28" s="72"/>
      <c r="X28" s="33"/>
      <c r="Y28" s="75"/>
      <c r="Z28" s="70"/>
      <c r="AA28" s="71"/>
      <c r="AB28" s="72"/>
      <c r="AC28" s="27" t="s">
        <v>165</v>
      </c>
      <c r="AD28" s="71"/>
      <c r="AE28" s="33"/>
      <c r="AF28" s="76"/>
      <c r="AG28" s="70"/>
      <c r="AH28" s="77"/>
      <c r="AI28" s="71"/>
      <c r="AJ28" s="71"/>
      <c r="AK28" s="71"/>
      <c r="AL28" s="70"/>
      <c r="AM28" s="77"/>
      <c r="AN28" s="27">
        <v>2.5000000000000001E-2</v>
      </c>
      <c r="AO28" s="71"/>
      <c r="AP28" s="78"/>
      <c r="AQ28" s="37"/>
      <c r="AR28" s="75"/>
      <c r="AS28" s="70" t="s">
        <v>57</v>
      </c>
      <c r="AT28" s="27" t="s">
        <v>52</v>
      </c>
      <c r="AU28" s="71"/>
      <c r="AV28" s="76"/>
      <c r="AW28" s="70"/>
      <c r="AX28" s="71"/>
      <c r="AY28" s="71"/>
      <c r="AZ28" s="75"/>
      <c r="BA28" s="79"/>
    </row>
    <row r="29" spans="1:53" ht="16" thickBot="1" x14ac:dyDescent="0.25">
      <c r="A29" s="25">
        <v>22</v>
      </c>
      <c r="B29" s="26">
        <v>45074</v>
      </c>
      <c r="C29" s="27"/>
      <c r="D29" s="25"/>
      <c r="E29" s="28"/>
      <c r="F29" s="27"/>
      <c r="G29" s="28"/>
      <c r="H29" s="27"/>
      <c r="I29" s="28"/>
      <c r="J29" s="27">
        <v>1.2</v>
      </c>
      <c r="K29" s="29" t="s">
        <v>35</v>
      </c>
      <c r="L29" s="39"/>
      <c r="M29" s="69"/>
      <c r="N29" s="27" t="s">
        <v>40</v>
      </c>
      <c r="O29" s="307"/>
      <c r="P29" s="46" t="s">
        <v>67</v>
      </c>
      <c r="Q29" s="43"/>
      <c r="R29" s="27"/>
      <c r="S29" s="27"/>
      <c r="T29" s="28"/>
      <c r="U29" s="27"/>
      <c r="V29" s="27"/>
      <c r="W29" s="28"/>
      <c r="X29" s="33"/>
      <c r="Y29" s="32"/>
      <c r="Z29" s="60"/>
      <c r="AA29" s="60"/>
      <c r="AB29" s="61"/>
      <c r="AC29" s="27" t="s">
        <v>165</v>
      </c>
      <c r="AD29" s="27"/>
      <c r="AE29" s="33"/>
      <c r="AG29" s="25"/>
      <c r="AH29" s="34"/>
      <c r="AI29" s="27"/>
      <c r="AJ29" s="27"/>
      <c r="AK29" s="27"/>
      <c r="AL29" s="25"/>
      <c r="AM29" s="34"/>
      <c r="AN29" s="27">
        <v>2.5000000000000001E-2</v>
      </c>
      <c r="AO29" s="27"/>
      <c r="AP29" s="36"/>
      <c r="AQ29" s="37"/>
      <c r="AR29" s="32"/>
      <c r="AS29" s="25" t="s">
        <v>57</v>
      </c>
      <c r="AT29" s="27" t="s">
        <v>52</v>
      </c>
      <c r="AU29" s="27"/>
      <c r="AW29" s="25"/>
      <c r="AX29" s="27"/>
      <c r="AY29" s="27"/>
      <c r="AZ29" s="32"/>
      <c r="BA29" s="80" t="s">
        <v>68</v>
      </c>
    </row>
    <row r="30" spans="1:53" ht="16" thickBot="1" x14ac:dyDescent="0.25">
      <c r="A30" s="25">
        <v>23</v>
      </c>
      <c r="B30" s="26">
        <v>45075</v>
      </c>
      <c r="C30" s="27" t="s">
        <v>117</v>
      </c>
      <c r="D30" s="25"/>
      <c r="E30" s="28"/>
      <c r="F30" s="27"/>
      <c r="G30" s="28"/>
      <c r="H30" s="27"/>
      <c r="I30" s="28"/>
      <c r="J30" s="27">
        <v>1.2</v>
      </c>
      <c r="K30" s="29" t="s">
        <v>35</v>
      </c>
      <c r="L30" s="39"/>
      <c r="M30" s="153" t="s">
        <v>168</v>
      </c>
      <c r="N30" s="27" t="s">
        <v>40</v>
      </c>
      <c r="O30" s="307"/>
      <c r="P30" s="32" t="s">
        <v>69</v>
      </c>
      <c r="Q30" s="25"/>
      <c r="R30" s="27"/>
      <c r="S30" s="27"/>
      <c r="T30" s="28"/>
      <c r="U30" s="27"/>
      <c r="V30" s="27"/>
      <c r="W30" s="28"/>
      <c r="X30" s="33"/>
      <c r="Y30" s="32"/>
      <c r="Z30" s="25"/>
      <c r="AA30" s="27"/>
      <c r="AB30" s="28"/>
      <c r="AC30" s="27" t="s">
        <v>165</v>
      </c>
      <c r="AD30" s="27"/>
      <c r="AE30" s="33"/>
      <c r="AG30" s="25"/>
      <c r="AH30" s="34"/>
      <c r="AI30" s="27"/>
      <c r="AJ30" s="27"/>
      <c r="AK30" s="27"/>
      <c r="AL30" s="25"/>
      <c r="AM30" s="34"/>
      <c r="AN30" s="27">
        <v>2.5000000000000001E-2</v>
      </c>
      <c r="AO30" s="27"/>
      <c r="AP30" s="36"/>
      <c r="AQ30" s="37"/>
      <c r="AR30" s="32"/>
      <c r="AS30" s="25" t="s">
        <v>57</v>
      </c>
      <c r="AT30" s="27" t="s">
        <v>52</v>
      </c>
      <c r="AU30" s="58" t="s">
        <v>70</v>
      </c>
      <c r="AW30" s="25"/>
      <c r="AX30" s="27"/>
      <c r="AY30" s="27"/>
      <c r="AZ30" s="32"/>
      <c r="BA30" s="41">
        <v>0</v>
      </c>
    </row>
    <row r="31" spans="1:53" ht="16" thickBot="1" x14ac:dyDescent="0.25">
      <c r="A31" s="25">
        <v>24</v>
      </c>
      <c r="B31" s="26">
        <v>45076</v>
      </c>
      <c r="C31" s="27" t="s">
        <v>117</v>
      </c>
      <c r="D31" s="25"/>
      <c r="E31" s="28"/>
      <c r="F31" s="27"/>
      <c r="G31" s="28"/>
      <c r="H31" s="27"/>
      <c r="I31" s="28"/>
      <c r="J31" s="27">
        <v>1.2</v>
      </c>
      <c r="K31" s="29" t="s">
        <v>35</v>
      </c>
      <c r="L31" s="44" t="s">
        <v>71</v>
      </c>
      <c r="M31" s="153" t="s">
        <v>169</v>
      </c>
      <c r="N31" s="27" t="s">
        <v>40</v>
      </c>
      <c r="O31" s="307"/>
      <c r="P31" s="32"/>
      <c r="Q31" s="25"/>
      <c r="R31" s="27"/>
      <c r="S31" s="27"/>
      <c r="T31" s="28"/>
      <c r="U31" s="27"/>
      <c r="V31" s="27"/>
      <c r="W31" s="28"/>
      <c r="X31" s="33"/>
      <c r="Y31" s="32"/>
      <c r="Z31" s="25"/>
      <c r="AA31" s="27"/>
      <c r="AB31" s="28"/>
      <c r="AC31" s="27" t="s">
        <v>165</v>
      </c>
      <c r="AD31" s="27"/>
      <c r="AE31" s="50"/>
      <c r="AF31" s="46"/>
      <c r="AG31" s="25"/>
      <c r="AH31" s="34"/>
      <c r="AI31" s="27"/>
      <c r="AJ31" s="27"/>
      <c r="AK31" s="27"/>
      <c r="AL31" s="25"/>
      <c r="AM31" s="34"/>
      <c r="AN31" s="27"/>
      <c r="AO31" s="27"/>
      <c r="AP31" s="36"/>
      <c r="AQ31" s="37"/>
      <c r="AR31" s="46"/>
      <c r="AS31" s="25" t="s">
        <v>72</v>
      </c>
      <c r="AT31" s="27" t="s">
        <v>52</v>
      </c>
      <c r="AU31" s="58" t="s">
        <v>73</v>
      </c>
      <c r="AW31" s="25"/>
      <c r="AX31" s="27"/>
      <c r="AY31" s="27"/>
      <c r="AZ31" s="32"/>
      <c r="BA31" s="41">
        <v>0</v>
      </c>
    </row>
    <row r="32" spans="1:53" ht="16" thickBot="1" x14ac:dyDescent="0.25">
      <c r="A32" s="25">
        <v>25</v>
      </c>
      <c r="B32" s="26">
        <v>45077</v>
      </c>
      <c r="C32" s="27" t="s">
        <v>117</v>
      </c>
      <c r="D32" s="25"/>
      <c r="E32" s="28"/>
      <c r="F32" s="27"/>
      <c r="G32" s="28"/>
      <c r="H32" s="27"/>
      <c r="I32" s="28"/>
      <c r="J32" s="27">
        <v>1.2</v>
      </c>
      <c r="K32" s="29" t="s">
        <v>35</v>
      </c>
      <c r="L32" s="39"/>
      <c r="M32" s="153" t="s">
        <v>170</v>
      </c>
      <c r="N32" s="27" t="s">
        <v>40</v>
      </c>
      <c r="O32" s="307"/>
      <c r="P32" s="81" t="s">
        <v>74</v>
      </c>
      <c r="Q32" s="43"/>
      <c r="R32" s="27"/>
      <c r="S32" s="27"/>
      <c r="T32" s="28"/>
      <c r="U32" s="27"/>
      <c r="V32" s="27"/>
      <c r="W32" s="28"/>
      <c r="X32" s="33"/>
      <c r="Y32" s="32"/>
      <c r="Z32" s="27"/>
      <c r="AA32" s="27"/>
      <c r="AB32" s="28"/>
      <c r="AC32" s="27"/>
      <c r="AD32" s="27"/>
      <c r="AE32" s="33"/>
      <c r="AG32" s="25"/>
      <c r="AH32" s="34"/>
      <c r="AI32" s="27"/>
      <c r="AJ32" s="27"/>
      <c r="AK32" s="27"/>
      <c r="AL32" s="25"/>
      <c r="AM32" s="34"/>
      <c r="AN32" s="27">
        <v>2.5000000000000001E-2</v>
      </c>
      <c r="AO32" s="27"/>
      <c r="AP32" s="36"/>
      <c r="AQ32" s="37"/>
      <c r="AR32" s="32" t="s">
        <v>64</v>
      </c>
      <c r="AS32" s="25" t="s">
        <v>72</v>
      </c>
      <c r="AT32" s="27" t="s">
        <v>52</v>
      </c>
      <c r="AW32" s="25"/>
      <c r="AX32" s="27"/>
      <c r="AY32" s="27"/>
      <c r="AZ32" s="32"/>
      <c r="BA32" s="41">
        <v>0</v>
      </c>
    </row>
    <row r="33" spans="1:53" ht="16" thickBot="1" x14ac:dyDescent="0.25">
      <c r="A33" s="25">
        <v>26</v>
      </c>
      <c r="B33" s="26">
        <v>45078</v>
      </c>
      <c r="C33" s="27" t="s">
        <v>117</v>
      </c>
      <c r="D33" s="25"/>
      <c r="E33" s="28"/>
      <c r="F33" s="27"/>
      <c r="G33" s="28"/>
      <c r="H33" s="27"/>
      <c r="I33" s="28"/>
      <c r="J33" s="27">
        <v>1.2</v>
      </c>
      <c r="K33" s="29" t="s">
        <v>35</v>
      </c>
      <c r="L33" s="39"/>
      <c r="M33" s="153" t="s">
        <v>171</v>
      </c>
      <c r="N33" s="27" t="s">
        <v>40</v>
      </c>
      <c r="O33" s="307"/>
      <c r="P33" s="32"/>
      <c r="Q33" s="25"/>
      <c r="R33" s="27"/>
      <c r="S33" s="27"/>
      <c r="T33" s="28"/>
      <c r="U33" s="27"/>
      <c r="V33" s="27"/>
      <c r="W33" s="28"/>
      <c r="X33" s="33"/>
      <c r="Y33" s="32"/>
      <c r="Z33" s="25"/>
      <c r="AA33" s="27"/>
      <c r="AB33" s="28"/>
      <c r="AC33" s="27"/>
      <c r="AD33" s="27"/>
      <c r="AE33" s="33"/>
      <c r="AG33" s="25"/>
      <c r="AH33" s="34"/>
      <c r="AI33" s="27"/>
      <c r="AJ33" s="27"/>
      <c r="AK33" s="27"/>
      <c r="AL33" s="25"/>
      <c r="AM33" s="34"/>
      <c r="AN33" s="27">
        <v>2.5000000000000001E-2</v>
      </c>
      <c r="AO33" s="27"/>
      <c r="AP33" s="36"/>
      <c r="AQ33" s="37"/>
      <c r="AR33" s="32" t="s">
        <v>64</v>
      </c>
      <c r="AS33" s="25" t="s">
        <v>72</v>
      </c>
      <c r="AT33" s="27" t="s">
        <v>52</v>
      </c>
      <c r="AW33" s="25"/>
      <c r="AX33" s="27"/>
      <c r="AY33" s="27"/>
      <c r="AZ33" s="32"/>
      <c r="BA33" s="41">
        <v>1</v>
      </c>
    </row>
    <row r="34" spans="1:53" ht="16" thickBot="1" x14ac:dyDescent="0.25">
      <c r="A34" s="25">
        <v>27</v>
      </c>
      <c r="B34" s="26">
        <v>45079</v>
      </c>
      <c r="C34" s="27" t="s">
        <v>117</v>
      </c>
      <c r="D34" s="25"/>
      <c r="E34" s="28"/>
      <c r="F34" s="27"/>
      <c r="G34" s="28"/>
      <c r="H34" s="27"/>
      <c r="I34" s="28"/>
      <c r="J34" s="27">
        <v>1.2</v>
      </c>
      <c r="K34" s="29" t="s">
        <v>35</v>
      </c>
      <c r="L34" s="39"/>
      <c r="M34" s="31"/>
      <c r="N34" s="27" t="s">
        <v>40</v>
      </c>
      <c r="O34" s="307"/>
      <c r="P34" s="32"/>
      <c r="Q34" s="25"/>
      <c r="R34" s="27"/>
      <c r="S34" s="27"/>
      <c r="T34" s="28"/>
      <c r="U34" s="27"/>
      <c r="V34" s="27"/>
      <c r="W34" s="28"/>
      <c r="X34" s="33"/>
      <c r="Y34" s="32"/>
      <c r="Z34" s="25"/>
      <c r="AA34" s="27"/>
      <c r="AB34" s="28"/>
      <c r="AC34" s="27"/>
      <c r="AD34" s="27"/>
      <c r="AE34" s="33"/>
      <c r="AG34" s="25"/>
      <c r="AH34" s="34"/>
      <c r="AI34" s="27"/>
      <c r="AJ34" s="27"/>
      <c r="AK34" s="27"/>
      <c r="AL34" s="25"/>
      <c r="AM34" s="34"/>
      <c r="AN34" s="27">
        <v>2.5000000000000001E-2</v>
      </c>
      <c r="AO34" s="27"/>
      <c r="AP34" s="36"/>
      <c r="AQ34" s="82"/>
      <c r="AR34" s="32" t="s">
        <v>75</v>
      </c>
      <c r="AS34" s="25" t="s">
        <v>72</v>
      </c>
      <c r="AT34" s="27" t="s">
        <v>52</v>
      </c>
      <c r="AU34" s="27"/>
      <c r="AW34" s="25"/>
      <c r="AX34" s="27"/>
      <c r="AY34" s="27"/>
      <c r="AZ34" s="32"/>
      <c r="BA34" s="41">
        <v>1</v>
      </c>
    </row>
    <row r="35" spans="1:53" x14ac:dyDescent="0.2">
      <c r="A35" s="25">
        <v>28</v>
      </c>
      <c r="B35" s="26">
        <v>45080</v>
      </c>
      <c r="C35" s="27"/>
      <c r="D35" s="25"/>
      <c r="E35" s="28"/>
      <c r="F35" s="27"/>
      <c r="G35" s="28"/>
      <c r="H35" s="27"/>
      <c r="I35" s="28"/>
      <c r="J35" s="27">
        <v>1.2</v>
      </c>
      <c r="K35" s="29" t="s">
        <v>35</v>
      </c>
      <c r="L35" s="39"/>
      <c r="M35" s="31"/>
      <c r="N35" s="27" t="s">
        <v>40</v>
      </c>
      <c r="O35" s="307"/>
      <c r="P35" s="32"/>
      <c r="Q35" s="25"/>
      <c r="R35" s="27"/>
      <c r="S35" s="27"/>
      <c r="T35" s="28"/>
      <c r="U35" s="27"/>
      <c r="V35" s="27"/>
      <c r="W35" s="28"/>
      <c r="Y35" s="32"/>
      <c r="Z35" s="25"/>
      <c r="AA35" s="27"/>
      <c r="AB35" s="28"/>
      <c r="AC35" s="27"/>
      <c r="AD35" s="27"/>
      <c r="AE35" s="33"/>
      <c r="AG35" s="25"/>
      <c r="AH35" s="34"/>
      <c r="AI35" s="27"/>
      <c r="AJ35" s="27"/>
      <c r="AK35" s="27"/>
      <c r="AL35" s="25"/>
      <c r="AM35" s="34"/>
      <c r="AN35" s="27">
        <v>2.5000000000000001E-2</v>
      </c>
      <c r="AO35" s="27"/>
      <c r="AP35" s="36"/>
      <c r="AR35" s="32" t="s">
        <v>75</v>
      </c>
      <c r="AS35" s="25" t="s">
        <v>72</v>
      </c>
      <c r="AT35" s="27" t="s">
        <v>52</v>
      </c>
      <c r="AU35" s="27"/>
      <c r="AW35" s="25"/>
      <c r="AX35" s="27"/>
      <c r="AY35" s="27"/>
      <c r="AZ35" s="32"/>
      <c r="BA35" s="41">
        <v>0</v>
      </c>
    </row>
    <row r="36" spans="1:53" ht="17.25" customHeight="1" thickBot="1" x14ac:dyDescent="0.25">
      <c r="A36" s="25">
        <v>29</v>
      </c>
      <c r="B36" s="26">
        <v>45081</v>
      </c>
      <c r="C36" s="27"/>
      <c r="D36" s="25"/>
      <c r="E36" s="28"/>
      <c r="F36" s="27"/>
      <c r="G36" s="28"/>
      <c r="H36" s="27"/>
      <c r="I36" s="28"/>
      <c r="J36" s="27">
        <v>1.2</v>
      </c>
      <c r="K36" s="29" t="s">
        <v>35</v>
      </c>
      <c r="L36" s="39"/>
      <c r="M36" s="31"/>
      <c r="N36" s="27" t="s">
        <v>40</v>
      </c>
      <c r="O36" s="307"/>
      <c r="P36" s="32"/>
      <c r="Q36" s="25"/>
      <c r="R36" s="27"/>
      <c r="S36" s="27"/>
      <c r="T36" s="28"/>
      <c r="U36" s="27"/>
      <c r="V36" s="27"/>
      <c r="W36" s="28"/>
      <c r="X36" s="33"/>
      <c r="Y36" s="32"/>
      <c r="Z36" s="25"/>
      <c r="AA36" s="27"/>
      <c r="AB36" s="28"/>
      <c r="AC36" s="27"/>
      <c r="AD36" s="27"/>
      <c r="AE36" s="33"/>
      <c r="AG36" s="25"/>
      <c r="AH36" s="34"/>
      <c r="AI36" s="27"/>
      <c r="AJ36" s="27"/>
      <c r="AK36" s="27"/>
      <c r="AL36" s="25"/>
      <c r="AM36" s="34"/>
      <c r="AN36" s="27"/>
      <c r="AO36" s="27"/>
      <c r="AP36" s="36"/>
      <c r="AQ36" s="37"/>
      <c r="AR36" s="32"/>
      <c r="AS36" s="25" t="s">
        <v>72</v>
      </c>
      <c r="AT36" s="27" t="s">
        <v>52</v>
      </c>
      <c r="AU36" s="27"/>
      <c r="AW36" s="25"/>
      <c r="AX36" s="27"/>
      <c r="AY36" s="27"/>
      <c r="AZ36" s="32"/>
      <c r="BA36" s="41">
        <v>2</v>
      </c>
    </row>
    <row r="37" spans="1:53" s="87" customFormat="1" ht="16" thickBot="1" x14ac:dyDescent="0.25">
      <c r="A37" s="83">
        <v>30</v>
      </c>
      <c r="B37" s="26">
        <v>45082</v>
      </c>
      <c r="C37" s="83" t="s">
        <v>117</v>
      </c>
      <c r="D37" s="83"/>
      <c r="E37" s="83"/>
      <c r="F37" s="83"/>
      <c r="G37" s="83"/>
      <c r="H37" s="83"/>
      <c r="I37" s="83"/>
      <c r="J37" s="83">
        <v>1.2</v>
      </c>
      <c r="K37" s="85" t="s">
        <v>35</v>
      </c>
      <c r="L37" s="86"/>
      <c r="M37" s="86"/>
      <c r="N37" s="83" t="s">
        <v>40</v>
      </c>
      <c r="O37" s="307"/>
      <c r="Q37" s="83"/>
      <c r="R37" s="83"/>
      <c r="S37" s="83"/>
      <c r="T37" s="83"/>
      <c r="U37" s="83"/>
      <c r="V37" s="83"/>
      <c r="W37" s="83"/>
      <c r="X37" s="83"/>
      <c r="Z37" s="83"/>
      <c r="AA37" s="83"/>
      <c r="AB37" s="83"/>
      <c r="AC37" s="83"/>
      <c r="AD37" s="83"/>
      <c r="AE37" s="83"/>
      <c r="AG37" s="83"/>
      <c r="AH37" s="83"/>
      <c r="AI37" s="83"/>
      <c r="AJ37" s="83"/>
      <c r="AK37" s="83"/>
      <c r="AL37" s="83"/>
      <c r="AM37" s="83"/>
      <c r="AN37" s="83"/>
      <c r="AO37" s="83"/>
      <c r="AP37" s="83"/>
      <c r="AS37" s="83" t="s">
        <v>72</v>
      </c>
      <c r="AT37" s="83" t="s">
        <v>52</v>
      </c>
      <c r="AU37" s="83"/>
      <c r="AW37" s="83"/>
      <c r="AX37" s="83"/>
      <c r="AY37" s="83"/>
      <c r="BA37" s="83">
        <v>8</v>
      </c>
    </row>
    <row r="38" spans="1:53" x14ac:dyDescent="0.2">
      <c r="A38" s="25">
        <v>31</v>
      </c>
      <c r="B38" s="26">
        <v>45083</v>
      </c>
      <c r="C38" s="27" t="s">
        <v>117</v>
      </c>
      <c r="D38" s="25"/>
      <c r="E38" s="28"/>
      <c r="F38" s="27"/>
      <c r="G38" s="28"/>
      <c r="H38" s="27"/>
      <c r="I38" s="28"/>
      <c r="J38" s="27">
        <v>1.2</v>
      </c>
      <c r="K38" s="29" t="s">
        <v>35</v>
      </c>
      <c r="L38" s="39"/>
      <c r="M38" s="31"/>
      <c r="N38" s="27" t="s">
        <v>76</v>
      </c>
      <c r="O38" s="307"/>
      <c r="P38" s="32"/>
      <c r="Q38" s="25"/>
      <c r="R38" s="27"/>
      <c r="S38" s="27"/>
      <c r="T38" s="28"/>
      <c r="U38" s="27"/>
      <c r="V38" s="27"/>
      <c r="W38" s="28"/>
      <c r="X38" s="33"/>
      <c r="Y38" s="32"/>
      <c r="Z38" s="25"/>
      <c r="AA38" s="27"/>
      <c r="AB38" s="28"/>
      <c r="AC38" s="27"/>
      <c r="AD38" s="27"/>
      <c r="AE38" s="33"/>
      <c r="AG38" s="25"/>
      <c r="AH38" s="34"/>
      <c r="AI38" s="27"/>
      <c r="AJ38" s="27"/>
      <c r="AK38" s="27"/>
      <c r="AL38" s="25"/>
      <c r="AM38" s="34"/>
      <c r="AN38" s="27"/>
      <c r="AO38" s="27"/>
      <c r="AP38" s="36"/>
      <c r="AQ38" s="37"/>
      <c r="AR38" s="46"/>
      <c r="AS38" s="25" t="s">
        <v>72</v>
      </c>
      <c r="AT38" s="27" t="s">
        <v>52</v>
      </c>
      <c r="AU38" s="27"/>
      <c r="AW38" s="25"/>
      <c r="AX38" s="27"/>
      <c r="AY38" s="27"/>
      <c r="AZ38" s="32"/>
      <c r="BA38" s="41">
        <v>1</v>
      </c>
    </row>
    <row r="39" spans="1:53" x14ac:dyDescent="0.2">
      <c r="A39" s="25">
        <v>32</v>
      </c>
      <c r="B39" s="26">
        <v>45084</v>
      </c>
      <c r="C39" s="27" t="s">
        <v>117</v>
      </c>
      <c r="D39" s="25"/>
      <c r="E39" s="28"/>
      <c r="F39" s="27"/>
      <c r="G39" s="28"/>
      <c r="H39" s="27"/>
      <c r="I39" s="28"/>
      <c r="J39" s="27">
        <v>1.2</v>
      </c>
      <c r="K39" s="29" t="s">
        <v>35</v>
      </c>
      <c r="L39" s="39"/>
      <c r="M39" s="31"/>
      <c r="N39" s="27" t="s">
        <v>76</v>
      </c>
      <c r="O39" s="307"/>
      <c r="P39" s="32"/>
      <c r="Q39" s="25"/>
      <c r="R39" s="27"/>
      <c r="S39" s="27"/>
      <c r="T39" s="28"/>
      <c r="U39" s="27"/>
      <c r="V39" s="27"/>
      <c r="W39" s="28"/>
      <c r="X39" s="33"/>
      <c r="Y39" s="32"/>
      <c r="Z39" s="25"/>
      <c r="AA39" s="27"/>
      <c r="AB39" s="28"/>
      <c r="AC39" s="27"/>
      <c r="AD39" s="27"/>
      <c r="AE39" s="33"/>
      <c r="AG39" s="25"/>
      <c r="AH39" s="34"/>
      <c r="AI39" s="27"/>
      <c r="AJ39" s="27"/>
      <c r="AK39" s="27"/>
      <c r="AL39" s="25"/>
      <c r="AM39" s="34"/>
      <c r="AN39" s="27">
        <v>2.5000000000000001E-2</v>
      </c>
      <c r="AO39" s="27">
        <v>2.5000000000000001E-2</v>
      </c>
      <c r="AP39" s="36">
        <v>2.5000000000000001E-2</v>
      </c>
      <c r="AQ39" s="37"/>
      <c r="AR39" s="32"/>
      <c r="AS39" s="25" t="s">
        <v>72</v>
      </c>
      <c r="AT39" s="27" t="s">
        <v>52</v>
      </c>
      <c r="AU39" s="27"/>
      <c r="AW39" s="25"/>
      <c r="AX39" s="27"/>
      <c r="AY39" s="27"/>
      <c r="AZ39" s="32"/>
      <c r="BA39" s="41">
        <v>0</v>
      </c>
    </row>
    <row r="40" spans="1:53" x14ac:dyDescent="0.2">
      <c r="A40" s="25">
        <v>33</v>
      </c>
      <c r="B40" s="26">
        <v>45085</v>
      </c>
      <c r="C40" s="27" t="s">
        <v>117</v>
      </c>
      <c r="D40" s="25"/>
      <c r="E40" s="28"/>
      <c r="F40" s="27"/>
      <c r="G40" s="28"/>
      <c r="H40" s="27"/>
      <c r="I40" s="28"/>
      <c r="J40" s="27">
        <v>1.2</v>
      </c>
      <c r="K40" s="29" t="s">
        <v>35</v>
      </c>
      <c r="L40" s="39"/>
      <c r="M40" s="31"/>
      <c r="N40" s="27" t="s">
        <v>76</v>
      </c>
      <c r="O40" s="307"/>
      <c r="P40" s="32"/>
      <c r="Q40" s="25"/>
      <c r="R40" s="27"/>
      <c r="S40" s="27"/>
      <c r="T40" s="28"/>
      <c r="U40" s="27"/>
      <c r="V40" s="27"/>
      <c r="W40" s="28"/>
      <c r="X40" s="33"/>
      <c r="Y40" s="32"/>
      <c r="Z40" s="25"/>
      <c r="AA40" s="27"/>
      <c r="AB40" s="28"/>
      <c r="AC40" s="27"/>
      <c r="AD40" s="27"/>
      <c r="AE40" s="33"/>
      <c r="AG40" s="25"/>
      <c r="AH40" s="34"/>
      <c r="AI40" s="27"/>
      <c r="AJ40" s="27"/>
      <c r="AK40" s="27"/>
      <c r="AL40" s="25"/>
      <c r="AM40" s="34"/>
      <c r="AN40" s="27">
        <v>2.5000000000000001E-2</v>
      </c>
      <c r="AO40" s="27">
        <v>2.5000000000000001E-2</v>
      </c>
      <c r="AP40" s="36">
        <v>2.5000000000000001E-2</v>
      </c>
      <c r="AQ40" s="37"/>
      <c r="AR40" s="32"/>
      <c r="AS40" s="25" t="s">
        <v>72</v>
      </c>
      <c r="AT40" s="27" t="s">
        <v>52</v>
      </c>
      <c r="AW40" s="25"/>
      <c r="AX40" s="27"/>
      <c r="AY40" s="27"/>
      <c r="AZ40" s="32"/>
      <c r="BA40" s="41">
        <v>0</v>
      </c>
    </row>
    <row r="41" spans="1:53" ht="16" thickBot="1" x14ac:dyDescent="0.25">
      <c r="A41" s="25">
        <v>34</v>
      </c>
      <c r="B41" s="26">
        <v>45086</v>
      </c>
      <c r="C41" s="27" t="s">
        <v>186</v>
      </c>
      <c r="D41" s="25"/>
      <c r="E41" s="28"/>
      <c r="F41" s="27"/>
      <c r="G41" s="28"/>
      <c r="H41" s="27"/>
      <c r="I41" s="28"/>
      <c r="J41" s="27">
        <v>1.2</v>
      </c>
      <c r="K41" s="29" t="s">
        <v>35</v>
      </c>
      <c r="L41" s="39"/>
      <c r="M41" s="31"/>
      <c r="N41" s="27" t="s">
        <v>76</v>
      </c>
      <c r="O41" s="307"/>
      <c r="P41" s="32"/>
      <c r="Q41" s="25"/>
      <c r="R41" s="27"/>
      <c r="S41" s="27"/>
      <c r="T41" s="28"/>
      <c r="U41" s="27"/>
      <c r="V41" s="27"/>
      <c r="W41" s="28"/>
      <c r="X41" s="33"/>
      <c r="Y41" s="32"/>
      <c r="Z41" s="25"/>
      <c r="AA41" s="27"/>
      <c r="AB41" s="28"/>
      <c r="AC41" s="27"/>
      <c r="AD41" s="27"/>
      <c r="AE41" s="33"/>
      <c r="AG41" s="25"/>
      <c r="AH41" s="34"/>
      <c r="AI41" s="27"/>
      <c r="AJ41" s="27"/>
      <c r="AK41" s="27"/>
      <c r="AL41" s="25"/>
      <c r="AM41" s="34"/>
      <c r="AN41" s="27">
        <v>2.5000000000000001E-2</v>
      </c>
      <c r="AO41" s="27">
        <v>2.5000000000000001E-2</v>
      </c>
      <c r="AP41" s="36">
        <v>2.5000000000000001E-2</v>
      </c>
      <c r="AQ41" s="37"/>
      <c r="AR41" s="32"/>
      <c r="AS41" s="25" t="s">
        <v>72</v>
      </c>
      <c r="AT41" s="27" t="s">
        <v>52</v>
      </c>
      <c r="AU41" s="27"/>
      <c r="AW41" s="25"/>
      <c r="AX41" s="27"/>
      <c r="AY41" s="27"/>
      <c r="AZ41" s="32"/>
      <c r="BA41" s="41">
        <v>0</v>
      </c>
    </row>
    <row r="42" spans="1:53" ht="16" thickBot="1" x14ac:dyDescent="0.25">
      <c r="A42" s="25">
        <v>35</v>
      </c>
      <c r="B42" s="26">
        <v>45087</v>
      </c>
      <c r="C42" s="27" t="s">
        <v>186</v>
      </c>
      <c r="D42" s="25"/>
      <c r="E42" s="28"/>
      <c r="F42" s="27"/>
      <c r="G42" s="28"/>
      <c r="H42" s="27"/>
      <c r="I42" s="28"/>
      <c r="J42" s="27">
        <v>1.2</v>
      </c>
      <c r="K42" s="29" t="s">
        <v>35</v>
      </c>
      <c r="L42" s="39"/>
      <c r="M42" s="153" t="s">
        <v>172</v>
      </c>
      <c r="N42" s="27" t="s">
        <v>76</v>
      </c>
      <c r="O42" s="307"/>
      <c r="P42" s="32"/>
      <c r="Q42" s="25"/>
      <c r="R42" s="27"/>
      <c r="S42" s="27"/>
      <c r="T42" s="28"/>
      <c r="U42" s="27"/>
      <c r="V42" s="27"/>
      <c r="W42" s="28"/>
      <c r="X42" s="33"/>
      <c r="Y42" s="32"/>
      <c r="Z42" s="25"/>
      <c r="AA42" s="27"/>
      <c r="AB42" s="28"/>
      <c r="AC42" s="27"/>
      <c r="AD42" s="27"/>
      <c r="AE42" s="33"/>
      <c r="AG42" s="25"/>
      <c r="AH42" s="34"/>
      <c r="AI42" s="27"/>
      <c r="AJ42" s="27"/>
      <c r="AK42" s="27"/>
      <c r="AL42" s="25"/>
      <c r="AM42" s="34"/>
      <c r="AN42" s="27">
        <v>2.5000000000000001E-2</v>
      </c>
      <c r="AO42" s="27">
        <v>2.5000000000000001E-2</v>
      </c>
      <c r="AP42" s="36">
        <v>2.5000000000000001E-2</v>
      </c>
      <c r="AQ42" s="37"/>
      <c r="AR42" s="32"/>
      <c r="AS42" s="25" t="s">
        <v>72</v>
      </c>
      <c r="AT42" s="27" t="s">
        <v>52</v>
      </c>
      <c r="AU42" s="58" t="s">
        <v>77</v>
      </c>
      <c r="AW42" s="25"/>
      <c r="AX42" s="27"/>
      <c r="AY42" s="27"/>
      <c r="AZ42" s="32"/>
      <c r="BA42" s="41">
        <v>0</v>
      </c>
    </row>
    <row r="43" spans="1:53" ht="16" thickBot="1" x14ac:dyDescent="0.25">
      <c r="A43" s="25">
        <v>36</v>
      </c>
      <c r="B43" s="26">
        <v>45088</v>
      </c>
      <c r="C43" s="27" t="s">
        <v>186</v>
      </c>
      <c r="D43" s="25"/>
      <c r="E43" s="28"/>
      <c r="F43" s="27"/>
      <c r="G43" s="28"/>
      <c r="H43" s="27"/>
      <c r="I43" s="28"/>
      <c r="J43" s="27">
        <v>1.2</v>
      </c>
      <c r="K43" s="29" t="s">
        <v>35</v>
      </c>
      <c r="L43" s="53"/>
      <c r="M43" s="31"/>
      <c r="N43" s="27" t="s">
        <v>76</v>
      </c>
      <c r="O43" s="307"/>
      <c r="P43" s="32"/>
      <c r="Q43" s="25"/>
      <c r="R43" s="27"/>
      <c r="S43" s="27"/>
      <c r="T43" s="28"/>
      <c r="U43" s="27"/>
      <c r="V43" s="27"/>
      <c r="W43" s="28"/>
      <c r="X43" s="33"/>
      <c r="Y43" s="32"/>
      <c r="Z43" s="25"/>
      <c r="AA43" s="27"/>
      <c r="AB43" s="28"/>
      <c r="AC43" s="27"/>
      <c r="AD43" s="27"/>
      <c r="AE43" s="33"/>
      <c r="AG43" s="25"/>
      <c r="AH43" s="34"/>
      <c r="AI43" s="27"/>
      <c r="AJ43" s="27"/>
      <c r="AK43" s="27"/>
      <c r="AL43" s="25"/>
      <c r="AM43" s="34"/>
      <c r="AN43" s="27">
        <v>2.5000000000000001E-2</v>
      </c>
      <c r="AO43" s="27">
        <v>2.5000000000000001E-2</v>
      </c>
      <c r="AP43" s="36">
        <v>2.5000000000000001E-2</v>
      </c>
      <c r="AQ43" s="37"/>
      <c r="AR43" s="32"/>
      <c r="AS43" s="25" t="s">
        <v>78</v>
      </c>
      <c r="AT43" s="27" t="s">
        <v>52</v>
      </c>
      <c r="AW43" s="25"/>
      <c r="AX43" s="27"/>
      <c r="AY43" s="27"/>
      <c r="AZ43" s="32"/>
      <c r="BA43" s="41">
        <v>0</v>
      </c>
    </row>
    <row r="44" spans="1:53" ht="16" thickBot="1" x14ac:dyDescent="0.25">
      <c r="A44" s="25">
        <v>37</v>
      </c>
      <c r="B44" s="26">
        <v>45089</v>
      </c>
      <c r="C44" s="27"/>
      <c r="D44" s="25"/>
      <c r="E44" s="28"/>
      <c r="F44" s="27"/>
      <c r="G44" s="28"/>
      <c r="H44" s="27"/>
      <c r="I44" s="28"/>
      <c r="J44" s="27">
        <v>1.2</v>
      </c>
      <c r="K44" s="29" t="s">
        <v>35</v>
      </c>
      <c r="L44" s="53"/>
      <c r="M44" s="31"/>
      <c r="N44" s="27" t="s">
        <v>76</v>
      </c>
      <c r="O44" s="307"/>
      <c r="P44" s="32"/>
      <c r="Q44" s="25"/>
      <c r="R44" s="27"/>
      <c r="S44" s="27"/>
      <c r="T44" s="28"/>
      <c r="U44" s="27"/>
      <c r="V44" s="27"/>
      <c r="W44" s="28"/>
      <c r="X44" s="33"/>
      <c r="Y44" s="32"/>
      <c r="Z44" s="59"/>
      <c r="AA44" s="60"/>
      <c r="AB44" s="61"/>
      <c r="AC44" s="27"/>
      <c r="AD44" s="27"/>
      <c r="AE44" s="33"/>
      <c r="AG44" s="25"/>
      <c r="AH44" s="34"/>
      <c r="AI44" s="27"/>
      <c r="AJ44" s="27"/>
      <c r="AK44" s="27"/>
      <c r="AL44" s="25"/>
      <c r="AM44" s="34"/>
      <c r="AN44" s="27">
        <v>2.5000000000000001E-2</v>
      </c>
      <c r="AO44" s="27">
        <v>2.5000000000000001E-2</v>
      </c>
      <c r="AP44" s="36">
        <v>2.5000000000000001E-2</v>
      </c>
      <c r="AQ44" s="37"/>
      <c r="AR44" s="32"/>
      <c r="AS44" s="25" t="s">
        <v>78</v>
      </c>
      <c r="AT44" s="27" t="s">
        <v>52</v>
      </c>
      <c r="AU44" s="27"/>
      <c r="AW44" s="25"/>
      <c r="AX44" s="27"/>
      <c r="AY44" s="27"/>
      <c r="AZ44" s="32"/>
      <c r="BA44" s="41"/>
    </row>
    <row r="45" spans="1:53" x14ac:dyDescent="0.2">
      <c r="A45" s="25">
        <v>38</v>
      </c>
      <c r="B45" s="26">
        <v>45090</v>
      </c>
      <c r="C45" s="27" t="s">
        <v>186</v>
      </c>
      <c r="D45" s="25"/>
      <c r="E45" s="28"/>
      <c r="F45" s="27"/>
      <c r="G45" s="28"/>
      <c r="H45" s="27"/>
      <c r="I45" s="28"/>
      <c r="J45" s="27">
        <v>1.2</v>
      </c>
      <c r="K45" s="29" t="s">
        <v>35</v>
      </c>
      <c r="L45" s="39"/>
      <c r="M45" s="31"/>
      <c r="N45" s="27" t="s">
        <v>76</v>
      </c>
      <c r="O45" s="307"/>
      <c r="P45" s="32"/>
      <c r="Q45" s="25"/>
      <c r="R45" s="27"/>
      <c r="S45" s="27"/>
      <c r="T45" s="28"/>
      <c r="U45" s="27"/>
      <c r="V45" s="27"/>
      <c r="W45" s="28"/>
      <c r="X45" s="33"/>
      <c r="Y45" s="32"/>
      <c r="Z45" s="25"/>
      <c r="AA45" s="27"/>
      <c r="AB45" s="28"/>
      <c r="AC45" s="27"/>
      <c r="AD45" s="27"/>
      <c r="AE45" s="33"/>
      <c r="AG45" s="25"/>
      <c r="AH45" s="34"/>
      <c r="AI45" s="27"/>
      <c r="AJ45" s="27"/>
      <c r="AK45" s="27"/>
      <c r="AL45" s="25"/>
      <c r="AM45" s="34"/>
      <c r="AN45" s="27">
        <v>2.5000000000000001E-2</v>
      </c>
      <c r="AO45" s="27">
        <v>2.5000000000000001E-2</v>
      </c>
      <c r="AP45" s="36">
        <v>2.5000000000000001E-2</v>
      </c>
      <c r="AQ45" s="37"/>
      <c r="AR45" s="32"/>
      <c r="AS45" s="25" t="s">
        <v>78</v>
      </c>
      <c r="AT45" s="27" t="s">
        <v>52</v>
      </c>
      <c r="AU45" s="27"/>
      <c r="AW45" s="25"/>
      <c r="AX45" s="27"/>
      <c r="AY45" s="27"/>
      <c r="AZ45" s="32"/>
      <c r="BA45" s="41">
        <v>1</v>
      </c>
    </row>
    <row r="46" spans="1:53" ht="16" thickBot="1" x14ac:dyDescent="0.25">
      <c r="A46" s="25">
        <v>39</v>
      </c>
      <c r="B46" s="26">
        <v>45091</v>
      </c>
      <c r="C46" s="27" t="s">
        <v>186</v>
      </c>
      <c r="D46" s="25"/>
      <c r="E46" s="28"/>
      <c r="F46" s="27"/>
      <c r="G46" s="28"/>
      <c r="H46" s="27"/>
      <c r="I46" s="28"/>
      <c r="J46" s="27">
        <v>1.2</v>
      </c>
      <c r="K46" s="29" t="s">
        <v>35</v>
      </c>
      <c r="M46" s="31"/>
      <c r="N46" s="27" t="s">
        <v>76</v>
      </c>
      <c r="O46" s="307"/>
      <c r="P46" s="32"/>
      <c r="Q46" s="25"/>
      <c r="R46" s="27"/>
      <c r="S46" s="27"/>
      <c r="T46" s="28"/>
      <c r="U46" s="27"/>
      <c r="V46" s="27"/>
      <c r="W46" s="28"/>
      <c r="X46" s="33"/>
      <c r="Y46" s="32"/>
      <c r="Z46" s="25"/>
      <c r="AA46" s="27"/>
      <c r="AB46" s="28"/>
      <c r="AC46" s="27"/>
      <c r="AD46" s="27"/>
      <c r="AE46" s="33"/>
      <c r="AG46" s="25"/>
      <c r="AH46" s="34"/>
      <c r="AI46" s="27"/>
      <c r="AJ46" s="27"/>
      <c r="AK46" s="27"/>
      <c r="AL46" s="25"/>
      <c r="AM46" s="34"/>
      <c r="AN46" s="27">
        <v>2.5000000000000001E-2</v>
      </c>
      <c r="AO46" s="27">
        <v>2.5000000000000001E-2</v>
      </c>
      <c r="AP46" s="36">
        <v>2.5000000000000001E-2</v>
      </c>
      <c r="AQ46" s="37"/>
      <c r="AR46" s="32"/>
      <c r="AS46" s="25" t="s">
        <v>78</v>
      </c>
      <c r="AT46" s="27" t="s">
        <v>52</v>
      </c>
      <c r="AU46" s="27"/>
      <c r="AW46" s="25"/>
      <c r="AX46" s="27"/>
      <c r="AY46" s="27"/>
      <c r="AZ46" s="32"/>
      <c r="BA46" s="41">
        <v>1</v>
      </c>
    </row>
    <row r="47" spans="1:53" ht="16" thickBot="1" x14ac:dyDescent="0.25">
      <c r="A47" s="25">
        <v>40</v>
      </c>
      <c r="B47" s="26">
        <v>45092</v>
      </c>
      <c r="C47" s="27" t="s">
        <v>186</v>
      </c>
      <c r="D47" s="25"/>
      <c r="E47" s="28"/>
      <c r="F47" s="27"/>
      <c r="G47" s="28"/>
      <c r="H47" s="27"/>
      <c r="I47" s="28"/>
      <c r="J47" s="27">
        <v>1.2</v>
      </c>
      <c r="K47" s="29" t="s">
        <v>35</v>
      </c>
      <c r="L47" s="53"/>
      <c r="M47" s="153" t="s">
        <v>173</v>
      </c>
      <c r="N47" s="27" t="s">
        <v>76</v>
      </c>
      <c r="O47" s="308"/>
      <c r="Q47" s="25"/>
      <c r="R47" s="27"/>
      <c r="S47" s="27"/>
      <c r="T47" s="28"/>
      <c r="U47" s="27"/>
      <c r="V47" s="27"/>
      <c r="W47" s="28"/>
      <c r="X47" s="33"/>
      <c r="Y47" s="32"/>
      <c r="Z47" s="59"/>
      <c r="AA47" s="60"/>
      <c r="AB47" s="61"/>
      <c r="AC47" s="27"/>
      <c r="AD47" s="27"/>
      <c r="AE47" s="33"/>
      <c r="AG47" s="25"/>
      <c r="AH47" s="34"/>
      <c r="AI47" s="27">
        <v>2.5000000000000001E-2</v>
      </c>
      <c r="AJ47" s="27">
        <v>2.5000000000000001E-2</v>
      </c>
      <c r="AK47" s="27">
        <v>2.5000000000000001E-2</v>
      </c>
      <c r="AL47" s="25"/>
      <c r="AM47" s="34"/>
      <c r="AN47" s="27">
        <v>2.5000000000000001E-2</v>
      </c>
      <c r="AO47" s="27">
        <v>2.5000000000000001E-2</v>
      </c>
      <c r="AP47" s="36">
        <v>2.5000000000000001E-2</v>
      </c>
      <c r="AQ47" s="37"/>
      <c r="AR47" s="32"/>
      <c r="AS47" s="25" t="s">
        <v>79</v>
      </c>
      <c r="AT47" s="27" t="s">
        <v>52</v>
      </c>
      <c r="AU47" s="58" t="s">
        <v>80</v>
      </c>
      <c r="AW47" s="25"/>
      <c r="AX47" s="27"/>
      <c r="AY47" s="27"/>
      <c r="AZ47" s="32"/>
      <c r="BA47" s="41">
        <v>1</v>
      </c>
    </row>
    <row r="48" spans="1:53" x14ac:dyDescent="0.2">
      <c r="A48" s="25">
        <v>41</v>
      </c>
      <c r="B48" s="26">
        <v>45093</v>
      </c>
      <c r="C48" s="27" t="s">
        <v>117</v>
      </c>
      <c r="D48" s="25"/>
      <c r="E48" s="28"/>
      <c r="F48" s="27"/>
      <c r="G48" s="28"/>
      <c r="H48" s="27"/>
      <c r="I48" s="28"/>
      <c r="J48" s="27">
        <v>1.2</v>
      </c>
      <c r="K48" s="29" t="s">
        <v>35</v>
      </c>
      <c r="M48" s="31"/>
      <c r="N48" s="27" t="s">
        <v>76</v>
      </c>
      <c r="P48" s="32"/>
      <c r="Q48" s="25"/>
      <c r="R48" s="27"/>
      <c r="S48" s="27"/>
      <c r="T48" s="28"/>
      <c r="U48" s="27"/>
      <c r="V48" s="27"/>
      <c r="W48" s="28"/>
      <c r="X48" s="33"/>
      <c r="Y48" s="32"/>
      <c r="Z48" s="25"/>
      <c r="AA48" s="27"/>
      <c r="AB48" s="28"/>
      <c r="AC48" s="27"/>
      <c r="AD48" s="27"/>
      <c r="AE48" s="33"/>
      <c r="AG48" s="25"/>
      <c r="AH48" s="34"/>
      <c r="AI48" s="27">
        <v>2.5000000000000001E-2</v>
      </c>
      <c r="AJ48" s="27">
        <v>2.5000000000000001E-2</v>
      </c>
      <c r="AK48" s="27">
        <v>2.5000000000000001E-2</v>
      </c>
      <c r="AL48" s="25"/>
      <c r="AM48" s="34"/>
      <c r="AN48" s="27">
        <v>2.5000000000000001E-2</v>
      </c>
      <c r="AO48" s="27" t="s">
        <v>188</v>
      </c>
      <c r="AP48" s="36">
        <v>2.5000000000000001E-2</v>
      </c>
      <c r="AQ48" s="37"/>
      <c r="AR48" s="32"/>
      <c r="AS48" s="25" t="s">
        <v>79</v>
      </c>
      <c r="AT48" s="27" t="s">
        <v>52</v>
      </c>
      <c r="AU48" s="27"/>
      <c r="AW48" s="25"/>
      <c r="AX48" s="27"/>
      <c r="AY48" s="27"/>
      <c r="AZ48" s="32"/>
      <c r="BA48" s="41"/>
    </row>
    <row r="49" spans="1:53" x14ac:dyDescent="0.2">
      <c r="A49" s="25">
        <v>42</v>
      </c>
      <c r="B49" s="26">
        <v>45094</v>
      </c>
      <c r="C49" s="27" t="s">
        <v>117</v>
      </c>
      <c r="D49" s="25"/>
      <c r="E49" s="28"/>
      <c r="F49" s="27"/>
      <c r="G49" s="28"/>
      <c r="H49" s="27"/>
      <c r="I49" s="28"/>
      <c r="J49" s="27">
        <v>1.2</v>
      </c>
      <c r="K49" s="29" t="s">
        <v>35</v>
      </c>
      <c r="L49" s="39"/>
      <c r="M49" s="31"/>
      <c r="N49" s="27" t="s">
        <v>76</v>
      </c>
      <c r="P49" s="32"/>
      <c r="Q49" s="25"/>
      <c r="R49" s="27"/>
      <c r="S49" s="27"/>
      <c r="T49" s="28"/>
      <c r="U49" s="27"/>
      <c r="V49" s="27"/>
      <c r="W49" s="28"/>
      <c r="X49" s="33"/>
      <c r="Y49" s="32"/>
      <c r="Z49" s="25"/>
      <c r="AA49" s="27"/>
      <c r="AB49" s="28"/>
      <c r="AC49" s="27"/>
      <c r="AD49" s="27"/>
      <c r="AE49" s="33"/>
      <c r="AG49" s="25"/>
      <c r="AH49" s="34"/>
      <c r="AI49" s="27">
        <v>2.5000000000000001E-2</v>
      </c>
      <c r="AJ49" s="27">
        <v>2.5000000000000001E-2</v>
      </c>
      <c r="AK49" s="27">
        <v>2.5000000000000001E-2</v>
      </c>
      <c r="AL49" s="25"/>
      <c r="AM49" s="34"/>
      <c r="AN49" s="27">
        <v>2.5000000000000001E-2</v>
      </c>
      <c r="AO49" s="27" t="s">
        <v>188</v>
      </c>
      <c r="AP49" s="36">
        <v>2.5000000000000001E-2</v>
      </c>
      <c r="AQ49" s="37"/>
      <c r="AR49" s="32"/>
      <c r="AS49" s="25" t="s">
        <v>79</v>
      </c>
      <c r="AT49" s="27" t="s">
        <v>52</v>
      </c>
      <c r="AU49" s="27"/>
      <c r="AW49" s="25"/>
      <c r="AX49" s="27"/>
      <c r="AY49" s="27"/>
      <c r="AZ49" s="32"/>
      <c r="BA49" s="41"/>
    </row>
    <row r="50" spans="1:53" ht="16" thickBot="1" x14ac:dyDescent="0.25">
      <c r="A50" s="25">
        <v>43</v>
      </c>
      <c r="B50" s="26">
        <v>45095</v>
      </c>
      <c r="C50" s="27"/>
      <c r="D50" s="25"/>
      <c r="E50" s="28"/>
      <c r="F50" s="27"/>
      <c r="G50" s="28"/>
      <c r="H50" s="27"/>
      <c r="I50" s="28"/>
      <c r="J50" s="27">
        <v>1.2</v>
      </c>
      <c r="K50" s="29" t="s">
        <v>35</v>
      </c>
      <c r="L50" s="39"/>
      <c r="M50" s="31"/>
      <c r="N50" s="27" t="s">
        <v>76</v>
      </c>
      <c r="P50" s="32"/>
      <c r="Q50" s="25"/>
      <c r="R50" s="27"/>
      <c r="S50" s="27"/>
      <c r="T50" s="28"/>
      <c r="U50" s="27"/>
      <c r="V50" s="27"/>
      <c r="W50" s="28"/>
      <c r="X50" s="33"/>
      <c r="Y50" s="32"/>
      <c r="Z50" s="25"/>
      <c r="AA50" s="27"/>
      <c r="AB50" s="28"/>
      <c r="AC50" s="27"/>
      <c r="AD50" s="27"/>
      <c r="AE50" s="33"/>
      <c r="AG50" s="25"/>
      <c r="AH50" s="34"/>
      <c r="AI50" s="27">
        <v>2.5000000000000001E-2</v>
      </c>
      <c r="AJ50" s="27">
        <v>2.5000000000000001E-2</v>
      </c>
      <c r="AK50" s="27">
        <v>2.5000000000000001E-2</v>
      </c>
      <c r="AL50" s="25"/>
      <c r="AM50" s="34"/>
      <c r="AN50" s="27">
        <v>2.5000000000000001E-2</v>
      </c>
      <c r="AO50" s="27" t="s">
        <v>188</v>
      </c>
      <c r="AP50" s="36">
        <v>2.5000000000000001E-2</v>
      </c>
      <c r="AQ50" s="37"/>
      <c r="AR50" s="32"/>
      <c r="AS50" s="25" t="s">
        <v>79</v>
      </c>
      <c r="AT50" s="27" t="s">
        <v>52</v>
      </c>
      <c r="AU50" s="27"/>
      <c r="AW50" s="25"/>
      <c r="AX50" s="27"/>
      <c r="AY50" s="27"/>
      <c r="AZ50" s="32"/>
      <c r="BA50" s="41"/>
    </row>
    <row r="51" spans="1:53" ht="16" thickBot="1" x14ac:dyDescent="0.25">
      <c r="A51" s="25">
        <v>44</v>
      </c>
      <c r="B51" s="26">
        <v>45096</v>
      </c>
      <c r="C51" s="27" t="s">
        <v>117</v>
      </c>
      <c r="D51" s="25"/>
      <c r="E51" s="28"/>
      <c r="F51" s="27"/>
      <c r="G51" s="28"/>
      <c r="H51" s="27"/>
      <c r="I51" s="28"/>
      <c r="J51" s="27">
        <v>1.2</v>
      </c>
      <c r="K51" s="29" t="s">
        <v>35</v>
      </c>
      <c r="L51" s="39"/>
      <c r="M51" s="153" t="s">
        <v>81</v>
      </c>
      <c r="N51" s="27" t="s">
        <v>76</v>
      </c>
      <c r="P51" s="32"/>
      <c r="Q51" s="27"/>
      <c r="R51" s="27"/>
      <c r="S51" s="27"/>
      <c r="T51" s="28"/>
      <c r="U51" s="27"/>
      <c r="V51" s="27"/>
      <c r="W51" s="28"/>
      <c r="X51" s="33"/>
      <c r="Y51" s="32"/>
      <c r="Z51" s="59"/>
      <c r="AA51" s="60"/>
      <c r="AB51" s="61"/>
      <c r="AC51" s="27"/>
      <c r="AD51" s="27"/>
      <c r="AE51" s="33"/>
      <c r="AG51" s="25"/>
      <c r="AH51" s="34"/>
      <c r="AI51" s="27">
        <v>2.5000000000000001E-2</v>
      </c>
      <c r="AJ51" s="27">
        <v>2.5000000000000001E-2</v>
      </c>
      <c r="AK51" s="27">
        <v>2.5000000000000001E-2</v>
      </c>
      <c r="AL51" s="25"/>
      <c r="AM51" s="34"/>
      <c r="AN51" s="27">
        <v>2.5000000000000001E-2</v>
      </c>
      <c r="AO51" s="27" t="s">
        <v>188</v>
      </c>
      <c r="AP51" s="36">
        <v>2.5000000000000001E-2</v>
      </c>
      <c r="AQ51" s="37"/>
      <c r="AR51" s="32"/>
      <c r="AS51" s="25" t="s">
        <v>79</v>
      </c>
      <c r="AT51" s="27" t="s">
        <v>52</v>
      </c>
      <c r="AU51" s="58" t="s">
        <v>81</v>
      </c>
      <c r="AW51" s="25"/>
      <c r="AX51" s="27"/>
      <c r="AY51" s="27"/>
      <c r="AZ51" s="32"/>
      <c r="BA51" s="41"/>
    </row>
    <row r="52" spans="1:53" x14ac:dyDescent="0.2">
      <c r="A52" s="25">
        <v>45</v>
      </c>
      <c r="B52" s="26">
        <v>45097</v>
      </c>
      <c r="C52" s="27" t="s">
        <v>117</v>
      </c>
      <c r="D52" s="25"/>
      <c r="E52" s="28"/>
      <c r="F52" s="27"/>
      <c r="G52" s="28"/>
      <c r="H52" s="27"/>
      <c r="I52" s="28"/>
      <c r="J52" s="27">
        <v>1.2</v>
      </c>
      <c r="K52" s="29" t="s">
        <v>35</v>
      </c>
      <c r="L52" s="39"/>
      <c r="M52" s="31"/>
      <c r="N52" s="27" t="s">
        <v>76</v>
      </c>
      <c r="P52" s="32"/>
      <c r="Q52" s="25"/>
      <c r="R52" s="27"/>
      <c r="S52" s="27"/>
      <c r="T52" s="28"/>
      <c r="U52" s="27"/>
      <c r="V52" s="27"/>
      <c r="W52" s="28"/>
      <c r="X52" s="33"/>
      <c r="Y52" s="32"/>
      <c r="Z52" s="25"/>
      <c r="AA52" s="27"/>
      <c r="AB52" s="28"/>
      <c r="AC52" s="27"/>
      <c r="AD52" s="27"/>
      <c r="AE52" s="33"/>
      <c r="AG52" s="25"/>
      <c r="AH52" s="34"/>
      <c r="AI52" s="27">
        <v>2.5000000000000001E-2</v>
      </c>
      <c r="AJ52" s="27">
        <v>2.5000000000000001E-2</v>
      </c>
      <c r="AK52" s="27">
        <v>2.5000000000000001E-2</v>
      </c>
      <c r="AL52" s="25"/>
      <c r="AM52" s="34"/>
      <c r="AN52" s="27">
        <v>2.5000000000000001E-2</v>
      </c>
      <c r="AO52" s="27">
        <v>2.5000000000000001E-2</v>
      </c>
      <c r="AP52" s="36">
        <v>2.5000000000000001E-2</v>
      </c>
      <c r="AQ52" s="37"/>
      <c r="AR52" s="32"/>
      <c r="AS52" s="25" t="s">
        <v>82</v>
      </c>
      <c r="AT52" s="27" t="s">
        <v>52</v>
      </c>
      <c r="AW52" s="25"/>
      <c r="AX52" s="27"/>
      <c r="AY52" s="27"/>
      <c r="AZ52" s="32"/>
      <c r="BA52" s="41">
        <v>0</v>
      </c>
    </row>
    <row r="53" spans="1:53" x14ac:dyDescent="0.2">
      <c r="A53" s="25">
        <v>46</v>
      </c>
      <c r="B53" s="26">
        <v>45098</v>
      </c>
      <c r="C53" s="27" t="s">
        <v>117</v>
      </c>
      <c r="D53" s="25"/>
      <c r="E53" s="28"/>
      <c r="F53" s="27"/>
      <c r="G53" s="28"/>
      <c r="H53" s="27"/>
      <c r="I53" s="28"/>
      <c r="J53" s="27">
        <v>1.2</v>
      </c>
      <c r="K53" s="29" t="s">
        <v>35</v>
      </c>
      <c r="L53" s="39"/>
      <c r="M53" s="31"/>
      <c r="N53" s="27" t="s">
        <v>76</v>
      </c>
      <c r="P53" s="32"/>
      <c r="Q53" s="25"/>
      <c r="R53" s="27"/>
      <c r="S53" s="27"/>
      <c r="T53" s="28"/>
      <c r="U53" s="27"/>
      <c r="V53" s="27"/>
      <c r="W53" s="28"/>
      <c r="X53" s="33"/>
      <c r="Y53" s="32"/>
      <c r="Z53" s="25"/>
      <c r="AA53" s="27"/>
      <c r="AB53" s="28"/>
      <c r="AC53" s="27"/>
      <c r="AD53" s="27"/>
      <c r="AE53" s="33"/>
      <c r="AG53" s="25"/>
      <c r="AH53" s="34"/>
      <c r="AI53" s="27"/>
      <c r="AJ53" s="27"/>
      <c r="AK53" s="27"/>
      <c r="AL53" s="25"/>
      <c r="AM53" s="34"/>
      <c r="AN53" s="27"/>
      <c r="AO53" s="27"/>
      <c r="AP53" s="36"/>
      <c r="AQ53" s="37"/>
      <c r="AR53" s="32"/>
      <c r="AS53" s="25" t="s">
        <v>82</v>
      </c>
      <c r="AT53" s="27" t="s">
        <v>52</v>
      </c>
      <c r="AU53" s="27"/>
      <c r="AW53" s="25"/>
      <c r="AX53" s="27"/>
      <c r="AY53" s="27"/>
      <c r="AZ53" s="32"/>
      <c r="BA53" s="41"/>
    </row>
    <row r="54" spans="1:53" s="125" customFormat="1" x14ac:dyDescent="0.2">
      <c r="A54" s="108">
        <v>47</v>
      </c>
      <c r="B54" s="109">
        <v>45099</v>
      </c>
      <c r="C54" s="112" t="s">
        <v>117</v>
      </c>
      <c r="E54" s="111"/>
      <c r="F54" s="112"/>
      <c r="G54" s="111"/>
      <c r="H54" s="112"/>
      <c r="I54" s="111"/>
      <c r="J54" s="112">
        <v>1.2</v>
      </c>
      <c r="K54" s="113" t="s">
        <v>35</v>
      </c>
      <c r="L54" s="108" t="s">
        <v>193</v>
      </c>
      <c r="M54" s="115"/>
      <c r="N54" s="112" t="s">
        <v>76</v>
      </c>
      <c r="P54" s="116"/>
      <c r="Q54" s="108"/>
      <c r="R54" s="112"/>
      <c r="S54" s="112"/>
      <c r="T54" s="111"/>
      <c r="U54" s="112"/>
      <c r="V54" s="112"/>
      <c r="W54" s="111"/>
      <c r="X54" s="117"/>
      <c r="Y54" s="116"/>
      <c r="Z54" s="108"/>
      <c r="AA54" s="112"/>
      <c r="AB54" s="111"/>
      <c r="AC54" s="112"/>
      <c r="AD54" s="112"/>
      <c r="AE54" s="117"/>
      <c r="AF54" s="121"/>
      <c r="AG54" s="108"/>
      <c r="AH54" s="122"/>
      <c r="AI54" s="112">
        <v>2.5000000000000001E-2</v>
      </c>
      <c r="AJ54" s="112">
        <v>2.5000000000000001E-2</v>
      </c>
      <c r="AK54" s="112">
        <v>2.5000000000000001E-2</v>
      </c>
      <c r="AL54" s="108"/>
      <c r="AM54" s="122"/>
      <c r="AN54" s="112">
        <v>0.05</v>
      </c>
      <c r="AO54" s="112">
        <v>0.05</v>
      </c>
      <c r="AP54" s="154">
        <v>0.05</v>
      </c>
      <c r="AQ54" s="123"/>
      <c r="AR54" s="116"/>
      <c r="AS54" s="108" t="s">
        <v>82</v>
      </c>
      <c r="AT54" s="112" t="s">
        <v>52</v>
      </c>
      <c r="AU54" s="112"/>
      <c r="AV54" s="121"/>
      <c r="AW54" s="108"/>
      <c r="AX54" s="112"/>
      <c r="AY54" s="112"/>
      <c r="AZ54" s="116"/>
      <c r="BA54" s="124"/>
    </row>
    <row r="55" spans="1:53" x14ac:dyDescent="0.2">
      <c r="A55" s="25">
        <v>48</v>
      </c>
      <c r="B55" s="26">
        <v>45100</v>
      </c>
      <c r="C55" s="27"/>
      <c r="D55" s="25"/>
      <c r="E55" s="28"/>
      <c r="F55" s="27"/>
      <c r="G55" s="28"/>
      <c r="H55" s="27"/>
      <c r="I55" s="28"/>
      <c r="J55" s="27">
        <v>1.2</v>
      </c>
      <c r="K55" s="29" t="s">
        <v>35</v>
      </c>
      <c r="M55" s="31"/>
      <c r="N55" s="27" t="s">
        <v>76</v>
      </c>
      <c r="P55" s="32"/>
      <c r="Q55" s="25"/>
      <c r="R55" s="27"/>
      <c r="S55" s="27"/>
      <c r="T55" s="28"/>
      <c r="U55" s="27"/>
      <c r="V55" s="27"/>
      <c r="W55" s="28"/>
      <c r="X55" s="33"/>
      <c r="Y55" s="32"/>
      <c r="Z55" s="25"/>
      <c r="AA55" s="27"/>
      <c r="AB55" s="28"/>
      <c r="AC55" s="27"/>
      <c r="AD55" s="27"/>
      <c r="AE55" s="33"/>
      <c r="AG55" s="25"/>
      <c r="AH55" s="34"/>
      <c r="AI55" s="27"/>
      <c r="AJ55" s="27"/>
      <c r="AK55" s="27"/>
      <c r="AL55" s="25"/>
      <c r="AM55" s="34"/>
      <c r="AN55" s="27"/>
      <c r="AO55" s="27"/>
      <c r="AP55" s="36"/>
      <c r="AQ55" s="37"/>
      <c r="AR55" s="32"/>
      <c r="AS55" s="25" t="s">
        <v>82</v>
      </c>
      <c r="AT55" s="27" t="s">
        <v>52</v>
      </c>
      <c r="AU55" s="27"/>
      <c r="AW55" s="25"/>
      <c r="AX55" s="27"/>
      <c r="AY55" s="27"/>
      <c r="AZ55" s="32"/>
      <c r="BA55" s="41"/>
    </row>
    <row r="56" spans="1:53" ht="16" thickBot="1" x14ac:dyDescent="0.25">
      <c r="A56" s="25">
        <v>49</v>
      </c>
      <c r="B56" s="26">
        <v>45101</v>
      </c>
      <c r="C56" s="27"/>
      <c r="D56" s="25"/>
      <c r="E56" s="28"/>
      <c r="F56" s="27"/>
      <c r="G56" s="28"/>
      <c r="H56" s="27"/>
      <c r="I56" s="28"/>
      <c r="J56" s="27">
        <v>1.2</v>
      </c>
      <c r="K56" s="29" t="s">
        <v>35</v>
      </c>
      <c r="L56" s="39"/>
      <c r="M56" s="31"/>
      <c r="N56" s="27" t="s">
        <v>76</v>
      </c>
      <c r="P56" s="32"/>
      <c r="Q56" s="25"/>
      <c r="R56" s="27"/>
      <c r="S56" s="27"/>
      <c r="T56" s="28"/>
      <c r="U56" s="27"/>
      <c r="V56" s="27"/>
      <c r="W56" s="28"/>
      <c r="X56" s="33"/>
      <c r="Y56" s="32"/>
      <c r="Z56" s="25"/>
      <c r="AA56" s="27"/>
      <c r="AB56" s="28"/>
      <c r="AC56" s="27"/>
      <c r="AD56" s="27"/>
      <c r="AE56" s="33"/>
      <c r="AG56" s="25"/>
      <c r="AH56" s="34"/>
      <c r="AI56" s="27"/>
      <c r="AJ56" s="27"/>
      <c r="AK56" s="27"/>
      <c r="AL56" s="25"/>
      <c r="AM56" s="34"/>
      <c r="AN56" s="27"/>
      <c r="AO56" s="27"/>
      <c r="AP56" s="36"/>
      <c r="AQ56" s="37"/>
      <c r="AR56" s="32"/>
      <c r="AS56" s="25" t="s">
        <v>82</v>
      </c>
      <c r="AT56" s="27" t="s">
        <v>52</v>
      </c>
      <c r="AU56" s="27"/>
      <c r="AW56" s="25"/>
      <c r="AX56" s="27"/>
      <c r="AY56" s="27"/>
      <c r="AZ56" s="32"/>
      <c r="BA56" s="41"/>
    </row>
    <row r="57" spans="1:53" ht="16" thickBot="1" x14ac:dyDescent="0.25">
      <c r="A57" s="25">
        <v>50</v>
      </c>
      <c r="B57" s="26">
        <v>45102</v>
      </c>
      <c r="C57" s="27"/>
      <c r="D57" s="25"/>
      <c r="E57" s="28"/>
      <c r="F57" s="27"/>
      <c r="G57" s="28"/>
      <c r="H57" s="27"/>
      <c r="I57" s="28"/>
      <c r="J57" s="27">
        <v>1.2</v>
      </c>
      <c r="K57" s="29" t="s">
        <v>35</v>
      </c>
      <c r="L57" s="44" t="s">
        <v>83</v>
      </c>
      <c r="M57" s="153" t="s">
        <v>174</v>
      </c>
      <c r="N57" s="27" t="s">
        <v>76</v>
      </c>
      <c r="O57" s="45" t="s">
        <v>84</v>
      </c>
      <c r="P57" s="46" t="s">
        <v>85</v>
      </c>
      <c r="Q57" s="25"/>
      <c r="R57" s="27"/>
      <c r="S57" s="27"/>
      <c r="T57" s="28"/>
      <c r="U57" s="27"/>
      <c r="V57" s="27"/>
      <c r="W57" s="28"/>
      <c r="X57" s="33"/>
      <c r="Y57" s="32"/>
      <c r="Z57" s="25"/>
      <c r="AA57" s="27"/>
      <c r="AB57" s="28"/>
      <c r="AC57" s="27"/>
      <c r="AD57" s="27"/>
      <c r="AE57" s="33"/>
      <c r="AG57" s="25"/>
      <c r="AH57" s="34"/>
      <c r="AI57" s="27"/>
      <c r="AJ57" s="27"/>
      <c r="AK57" s="27"/>
      <c r="AL57" s="25"/>
      <c r="AM57" s="34"/>
      <c r="AN57" s="27"/>
      <c r="AO57" s="27"/>
      <c r="AP57" s="36"/>
      <c r="AQ57" s="37"/>
      <c r="AR57" s="32"/>
      <c r="AS57" s="25" t="s">
        <v>86</v>
      </c>
      <c r="AT57" s="27" t="s">
        <v>87</v>
      </c>
      <c r="AU57" s="58" t="s">
        <v>88</v>
      </c>
      <c r="AW57" s="25"/>
      <c r="AX57" s="27"/>
      <c r="AY57" s="27"/>
      <c r="AZ57" s="32"/>
      <c r="BA57" s="41"/>
    </row>
    <row r="58" spans="1:53" ht="16" thickBot="1" x14ac:dyDescent="0.25">
      <c r="A58" s="25">
        <v>51</v>
      </c>
      <c r="B58" s="26">
        <v>45103</v>
      </c>
      <c r="C58" s="27"/>
      <c r="D58" s="25"/>
      <c r="E58" s="28"/>
      <c r="F58" s="27"/>
      <c r="G58" s="28"/>
      <c r="H58" s="27"/>
      <c r="I58" s="28"/>
      <c r="J58" s="27">
        <v>2</v>
      </c>
      <c r="K58" s="29" t="s">
        <v>35</v>
      </c>
      <c r="L58" s="88" t="s">
        <v>89</v>
      </c>
      <c r="M58" s="31"/>
      <c r="N58" s="27"/>
      <c r="P58" s="46"/>
      <c r="Q58" s="27"/>
      <c r="R58" s="27"/>
      <c r="S58" s="27"/>
      <c r="T58" s="28"/>
      <c r="U58" s="27"/>
      <c r="V58" s="27"/>
      <c r="W58" s="28"/>
      <c r="X58" s="33"/>
      <c r="Y58" s="32"/>
      <c r="Z58" s="25"/>
      <c r="AA58" s="27"/>
      <c r="AB58" s="28"/>
      <c r="AC58" s="27"/>
      <c r="AD58" s="27"/>
      <c r="AE58" s="33"/>
      <c r="AG58" s="25"/>
      <c r="AH58" s="34"/>
      <c r="AI58" s="27"/>
      <c r="AJ58" s="27"/>
      <c r="AK58" s="27"/>
      <c r="AL58" s="25"/>
      <c r="AM58" s="34"/>
      <c r="AN58" s="27"/>
      <c r="AO58" s="27"/>
      <c r="AP58" s="36"/>
      <c r="AQ58" s="37"/>
      <c r="AR58" s="32"/>
      <c r="AS58" s="25" t="s">
        <v>86</v>
      </c>
      <c r="AT58" s="27" t="s">
        <v>87</v>
      </c>
      <c r="AU58" s="27"/>
      <c r="AW58" s="25"/>
      <c r="AX58" s="27"/>
      <c r="AY58" s="27"/>
      <c r="AZ58" s="32"/>
      <c r="BA58" s="41"/>
    </row>
    <row r="59" spans="1:53" ht="16" thickBot="1" x14ac:dyDescent="0.25">
      <c r="A59" s="25">
        <v>52</v>
      </c>
      <c r="B59" s="26">
        <v>45104</v>
      </c>
      <c r="C59" s="27"/>
      <c r="D59" s="25"/>
      <c r="E59" s="28"/>
      <c r="F59" s="27"/>
      <c r="G59" s="28"/>
      <c r="H59" s="27"/>
      <c r="I59" s="28"/>
      <c r="J59" s="27">
        <v>2</v>
      </c>
      <c r="K59" s="29" t="s">
        <v>35</v>
      </c>
      <c r="L59" s="39"/>
      <c r="M59" s="31"/>
      <c r="N59" s="27"/>
      <c r="P59" s="32"/>
      <c r="Q59" s="25"/>
      <c r="R59" s="27"/>
      <c r="S59" s="27"/>
      <c r="T59" s="28"/>
      <c r="U59" s="27"/>
      <c r="V59" s="27"/>
      <c r="W59" s="28"/>
      <c r="X59" s="33"/>
      <c r="Y59" s="32"/>
      <c r="Z59" s="25"/>
      <c r="AA59" s="27"/>
      <c r="AB59" s="28"/>
      <c r="AC59" s="27"/>
      <c r="AD59" s="27"/>
      <c r="AE59" s="33"/>
      <c r="AG59" s="25"/>
      <c r="AH59" s="34"/>
      <c r="AI59" s="27"/>
      <c r="AJ59" s="27"/>
      <c r="AK59" s="27"/>
      <c r="AL59" s="25"/>
      <c r="AM59" s="34"/>
      <c r="AN59" s="27"/>
      <c r="AO59" s="27"/>
      <c r="AP59" s="36"/>
      <c r="AQ59" s="37"/>
      <c r="AR59" s="32"/>
      <c r="AS59" s="25" t="s">
        <v>86</v>
      </c>
      <c r="AT59" s="27" t="s">
        <v>87</v>
      </c>
      <c r="AW59" s="25"/>
      <c r="AX59" s="27"/>
      <c r="AY59" s="27"/>
      <c r="AZ59" s="32"/>
      <c r="BA59" s="41"/>
    </row>
    <row r="60" spans="1:53" ht="16" thickBot="1" x14ac:dyDescent="0.25">
      <c r="A60" s="25">
        <v>53</v>
      </c>
      <c r="B60" s="26">
        <v>45105</v>
      </c>
      <c r="C60" s="27"/>
      <c r="D60" s="25"/>
      <c r="E60" s="28"/>
      <c r="F60" s="27"/>
      <c r="G60" s="28"/>
      <c r="H60" s="27"/>
      <c r="I60" s="28"/>
      <c r="J60" s="27">
        <v>2</v>
      </c>
      <c r="K60" s="29" t="s">
        <v>35</v>
      </c>
      <c r="L60" s="39"/>
      <c r="M60" s="153" t="s">
        <v>175</v>
      </c>
      <c r="N60" s="27"/>
      <c r="P60" s="32"/>
      <c r="Q60" s="25"/>
      <c r="R60" s="27"/>
      <c r="S60" s="27"/>
      <c r="T60" s="28"/>
      <c r="U60" s="27"/>
      <c r="V60" s="27"/>
      <c r="W60" s="28"/>
      <c r="X60" s="33"/>
      <c r="Y60" s="32"/>
      <c r="Z60" s="25"/>
      <c r="AA60" s="27"/>
      <c r="AB60" s="28"/>
      <c r="AC60" s="27"/>
      <c r="AD60" s="27"/>
      <c r="AE60" s="33"/>
      <c r="AG60" s="25"/>
      <c r="AH60" s="34"/>
      <c r="AI60" s="27"/>
      <c r="AJ60" s="27"/>
      <c r="AK60" s="27"/>
      <c r="AL60" s="25"/>
      <c r="AM60" s="34"/>
      <c r="AN60" s="27"/>
      <c r="AO60" s="27"/>
      <c r="AP60" s="36"/>
      <c r="AQ60" s="37"/>
      <c r="AR60" s="32"/>
      <c r="AS60" s="25" t="s">
        <v>86</v>
      </c>
      <c r="AT60" s="27" t="s">
        <v>87</v>
      </c>
      <c r="AU60" s="27"/>
      <c r="AW60" s="25" t="s">
        <v>90</v>
      </c>
      <c r="AX60" s="27" t="s">
        <v>91</v>
      </c>
      <c r="AY60" s="89" t="s">
        <v>92</v>
      </c>
      <c r="AZ60" s="32"/>
      <c r="BA60" s="41"/>
    </row>
    <row r="61" spans="1:53" ht="16" thickBot="1" x14ac:dyDescent="0.25">
      <c r="A61" s="25">
        <v>54</v>
      </c>
      <c r="B61" s="26">
        <v>45106</v>
      </c>
      <c r="C61" s="27"/>
      <c r="D61" s="25"/>
      <c r="E61" s="28"/>
      <c r="F61" s="27"/>
      <c r="G61" s="28"/>
      <c r="H61" s="27"/>
      <c r="I61" s="28"/>
      <c r="J61" s="27">
        <v>2</v>
      </c>
      <c r="K61" s="29" t="s">
        <v>35</v>
      </c>
      <c r="L61" s="39"/>
      <c r="M61" s="31"/>
      <c r="N61" s="27"/>
      <c r="P61" s="32"/>
      <c r="Q61" s="25"/>
      <c r="R61" s="27"/>
      <c r="S61" s="27"/>
      <c r="T61" s="28"/>
      <c r="U61" s="27"/>
      <c r="V61" s="27"/>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U61" s="27"/>
      <c r="AW61" s="25" t="s">
        <v>90</v>
      </c>
      <c r="AX61" s="27" t="s">
        <v>91</v>
      </c>
      <c r="AY61" s="27"/>
      <c r="AZ61" s="32"/>
      <c r="BA61" s="41"/>
    </row>
    <row r="62" spans="1:53" ht="16" thickBot="1" x14ac:dyDescent="0.25">
      <c r="A62" s="25">
        <v>55</v>
      </c>
      <c r="B62" s="26">
        <v>45107</v>
      </c>
      <c r="C62" s="27"/>
      <c r="D62" s="25"/>
      <c r="E62" s="28"/>
      <c r="F62" s="27"/>
      <c r="G62" s="28"/>
      <c r="H62" s="27"/>
      <c r="I62" s="28"/>
      <c r="J62" s="27">
        <v>2</v>
      </c>
      <c r="K62" s="29" t="s">
        <v>35</v>
      </c>
      <c r="L62" s="39"/>
      <c r="M62" s="31"/>
      <c r="N62" s="27"/>
      <c r="P62" s="32"/>
      <c r="Q62" s="25"/>
      <c r="R62" s="27"/>
      <c r="S62" s="27"/>
      <c r="T62" s="28"/>
      <c r="U62" s="27"/>
      <c r="V62" s="27"/>
      <c r="W62" s="28"/>
      <c r="X62" s="33"/>
      <c r="Y62" s="32"/>
      <c r="Z62" s="25"/>
      <c r="AA62" s="27"/>
      <c r="AB62" s="28"/>
      <c r="AC62" s="27"/>
      <c r="AD62" s="27"/>
      <c r="AE62" s="33"/>
      <c r="AG62" s="25"/>
      <c r="AH62" s="34"/>
      <c r="AI62" s="27"/>
      <c r="AJ62" s="27"/>
      <c r="AK62" s="27"/>
      <c r="AL62" s="25"/>
      <c r="AM62" s="34"/>
      <c r="AN62" s="27"/>
      <c r="AO62" s="27"/>
      <c r="AP62" s="36"/>
      <c r="AQ62" s="82" t="s">
        <v>93</v>
      </c>
      <c r="AR62" s="32"/>
      <c r="AS62" s="25" t="s">
        <v>86</v>
      </c>
      <c r="AT62" s="27" t="s">
        <v>87</v>
      </c>
      <c r="AW62" s="25" t="s">
        <v>90</v>
      </c>
      <c r="AX62" s="27" t="s">
        <v>91</v>
      </c>
      <c r="AY62" s="27"/>
      <c r="AZ62" s="32"/>
      <c r="BA62" s="41"/>
    </row>
    <row r="63" spans="1:53" x14ac:dyDescent="0.2">
      <c r="A63" s="25">
        <v>56</v>
      </c>
      <c r="B63" s="26">
        <v>45108</v>
      </c>
      <c r="C63" s="27"/>
      <c r="D63" s="25"/>
      <c r="E63" s="28"/>
      <c r="F63" s="27"/>
      <c r="G63" s="28"/>
      <c r="H63" s="27"/>
      <c r="I63" s="28"/>
      <c r="J63" s="27">
        <v>2</v>
      </c>
      <c r="K63" s="29" t="s">
        <v>35</v>
      </c>
      <c r="L63" s="39"/>
      <c r="M63" s="31"/>
      <c r="N63" s="27"/>
      <c r="P63" s="32"/>
      <c r="Q63" s="25"/>
      <c r="R63" s="27"/>
      <c r="S63" s="27"/>
      <c r="T63" s="28"/>
      <c r="U63" s="27"/>
      <c r="V63" s="27"/>
      <c r="W63" s="28"/>
      <c r="X63" s="33"/>
      <c r="Y63" s="32"/>
      <c r="Z63" s="25"/>
      <c r="AA63" s="27"/>
      <c r="AB63" s="28"/>
      <c r="AC63" s="27"/>
      <c r="AD63" s="27"/>
      <c r="AE63" s="33"/>
      <c r="AG63" s="25"/>
      <c r="AH63" s="34"/>
      <c r="AI63" s="27"/>
      <c r="AJ63" s="27"/>
      <c r="AK63" s="27"/>
      <c r="AL63" s="25"/>
      <c r="AM63" s="34"/>
      <c r="AN63" s="27"/>
      <c r="AO63" s="27"/>
      <c r="AP63" s="36"/>
      <c r="AQ63" s="37"/>
      <c r="AR63" s="32"/>
      <c r="AS63" s="25" t="s">
        <v>86</v>
      </c>
      <c r="AT63" s="27" t="s">
        <v>87</v>
      </c>
      <c r="AU63" s="27"/>
      <c r="AW63" s="25" t="s">
        <v>90</v>
      </c>
      <c r="AX63" s="27" t="s">
        <v>91</v>
      </c>
      <c r="AY63" s="27"/>
      <c r="AZ63" s="32"/>
      <c r="BA63" s="41"/>
    </row>
    <row r="64" spans="1:53" ht="16" thickBot="1" x14ac:dyDescent="0.25">
      <c r="A64" s="25">
        <v>57</v>
      </c>
      <c r="B64" s="26">
        <v>45109</v>
      </c>
      <c r="C64" s="27"/>
      <c r="D64" s="25"/>
      <c r="E64" s="28"/>
      <c r="F64" s="27"/>
      <c r="G64" s="28"/>
      <c r="H64" s="27"/>
      <c r="I64" s="28"/>
      <c r="J64" s="27">
        <v>2</v>
      </c>
      <c r="K64" s="29" t="s">
        <v>35</v>
      </c>
      <c r="L64" s="39"/>
      <c r="M64" s="31"/>
      <c r="N64" s="27"/>
      <c r="P64" s="32"/>
      <c r="Q64" s="25"/>
      <c r="R64" s="27"/>
      <c r="S64" s="27"/>
      <c r="T64" s="28"/>
      <c r="U64" s="27"/>
      <c r="V64" s="27"/>
      <c r="W64" s="28"/>
      <c r="X64" s="33"/>
      <c r="Y64" s="32"/>
      <c r="Z64" s="25"/>
      <c r="AA64" s="27"/>
      <c r="AB64" s="28"/>
      <c r="AC64" s="27"/>
      <c r="AD64" s="27"/>
      <c r="AE64" s="33"/>
      <c r="AG64" s="25"/>
      <c r="AH64" s="34"/>
      <c r="AI64" s="27"/>
      <c r="AJ64" s="27"/>
      <c r="AK64" s="27"/>
      <c r="AL64" s="25"/>
      <c r="AM64" s="34"/>
      <c r="AN64" s="27"/>
      <c r="AO64" s="27"/>
      <c r="AP64" s="36"/>
      <c r="AQ64" s="37"/>
      <c r="AR64" s="32"/>
      <c r="AS64" s="25" t="s">
        <v>86</v>
      </c>
      <c r="AT64" s="27" t="s">
        <v>87</v>
      </c>
      <c r="AU64" s="27"/>
      <c r="AW64" s="25" t="s">
        <v>90</v>
      </c>
      <c r="AX64" s="27" t="s">
        <v>91</v>
      </c>
      <c r="AY64" s="27"/>
      <c r="AZ64" s="32"/>
      <c r="BA64" s="41"/>
    </row>
    <row r="65" spans="1:53" ht="16" thickBot="1" x14ac:dyDescent="0.25">
      <c r="A65" s="25">
        <v>58</v>
      </c>
      <c r="B65" s="26">
        <v>45110</v>
      </c>
      <c r="C65" s="27"/>
      <c r="D65" s="25"/>
      <c r="E65" s="28"/>
      <c r="F65" s="27"/>
      <c r="G65" s="28"/>
      <c r="H65" s="27"/>
      <c r="I65" s="28"/>
      <c r="J65" s="27">
        <v>2</v>
      </c>
      <c r="K65" s="29" t="s">
        <v>35</v>
      </c>
      <c r="L65" s="39"/>
      <c r="M65" s="31"/>
      <c r="N65" s="27"/>
      <c r="P65" s="32"/>
      <c r="Q65" s="25"/>
      <c r="R65" s="27"/>
      <c r="S65" s="27"/>
      <c r="T65" s="28"/>
      <c r="U65" s="27"/>
      <c r="V65" s="27"/>
      <c r="W65" s="28"/>
      <c r="X65" s="33"/>
      <c r="Y65" s="32"/>
      <c r="Z65" s="25"/>
      <c r="AA65" s="27"/>
      <c r="AB65" s="28"/>
      <c r="AC65" s="27"/>
      <c r="AD65" s="27"/>
      <c r="AE65" s="33"/>
      <c r="AG65" s="25"/>
      <c r="AH65" s="34"/>
      <c r="AI65" s="27"/>
      <c r="AJ65" s="27"/>
      <c r="AK65" s="27"/>
      <c r="AL65" s="25"/>
      <c r="AM65" s="34"/>
      <c r="AN65" s="27"/>
      <c r="AO65" s="27"/>
      <c r="AP65" s="36"/>
      <c r="AQ65" s="37"/>
      <c r="AR65" s="32"/>
      <c r="AS65" s="25" t="s">
        <v>86</v>
      </c>
      <c r="AT65" s="27" t="s">
        <v>87</v>
      </c>
      <c r="AU65" s="27"/>
      <c r="AW65" s="25" t="s">
        <v>90</v>
      </c>
      <c r="AX65" s="27" t="s">
        <v>91</v>
      </c>
      <c r="AY65" s="89" t="s">
        <v>94</v>
      </c>
      <c r="AZ65" s="32"/>
      <c r="BA65" s="41"/>
    </row>
    <row r="66" spans="1:53" ht="16" thickBot="1" x14ac:dyDescent="0.25">
      <c r="A66" s="25">
        <v>59</v>
      </c>
      <c r="B66" s="26">
        <v>45111</v>
      </c>
      <c r="C66" s="27"/>
      <c r="D66" s="25"/>
      <c r="E66" s="28"/>
      <c r="F66" s="27"/>
      <c r="G66" s="28"/>
      <c r="H66" s="27"/>
      <c r="I66" s="28"/>
      <c r="J66" s="27">
        <v>2</v>
      </c>
      <c r="K66" s="29" t="s">
        <v>35</v>
      </c>
      <c r="L66" s="39"/>
      <c r="M66" s="31"/>
      <c r="N66" s="27"/>
      <c r="P66" s="32"/>
      <c r="Q66" s="25"/>
      <c r="R66" s="27"/>
      <c r="S66" s="27"/>
      <c r="T66" s="28"/>
      <c r="U66" s="27"/>
      <c r="V66" s="27"/>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27"/>
      <c r="AW66" s="25" t="s">
        <v>90</v>
      </c>
      <c r="AX66" s="27" t="s">
        <v>95</v>
      </c>
      <c r="AY66" s="27"/>
      <c r="AZ66" s="32"/>
      <c r="BA66" s="41"/>
    </row>
    <row r="67" spans="1:53" ht="16" thickBot="1" x14ac:dyDescent="0.25">
      <c r="A67" s="25">
        <v>60</v>
      </c>
      <c r="B67" s="26">
        <v>45112</v>
      </c>
      <c r="C67" s="27"/>
      <c r="D67" s="25"/>
      <c r="E67" s="28"/>
      <c r="F67" s="27"/>
      <c r="G67" s="28"/>
      <c r="H67" s="27"/>
      <c r="I67" s="28"/>
      <c r="J67" s="27">
        <v>2</v>
      </c>
      <c r="K67" s="29" t="s">
        <v>35</v>
      </c>
      <c r="L67" s="39"/>
      <c r="M67" s="31"/>
      <c r="N67" s="27"/>
      <c r="P67" s="32"/>
      <c r="Q67" s="25"/>
      <c r="R67" s="27"/>
      <c r="S67" s="27"/>
      <c r="T67" s="28"/>
      <c r="U67" s="27"/>
      <c r="V67" s="27"/>
      <c r="W67" s="28"/>
      <c r="X67" s="33"/>
      <c r="Y67" s="32"/>
      <c r="Z67" s="25"/>
      <c r="AA67" s="27"/>
      <c r="AB67" s="28"/>
      <c r="AC67" s="27"/>
      <c r="AD67" s="27"/>
      <c r="AE67" s="33"/>
      <c r="AG67" s="25"/>
      <c r="AH67" s="34"/>
      <c r="AI67" s="27"/>
      <c r="AJ67" s="27"/>
      <c r="AK67" s="27"/>
      <c r="AL67" s="25"/>
      <c r="AM67" s="34"/>
      <c r="AN67" s="27"/>
      <c r="AO67" s="27"/>
      <c r="AP67" s="36"/>
      <c r="AQ67" s="37"/>
      <c r="AR67" s="32"/>
      <c r="AS67" s="25" t="s">
        <v>96</v>
      </c>
      <c r="AT67" s="27" t="s">
        <v>87</v>
      </c>
      <c r="AU67" s="58" t="s">
        <v>97</v>
      </c>
      <c r="AW67" s="25" t="s">
        <v>90</v>
      </c>
      <c r="AX67" s="27" t="s">
        <v>95</v>
      </c>
      <c r="AY67" s="27"/>
      <c r="AZ67" s="32"/>
      <c r="BA67" s="41"/>
    </row>
    <row r="68" spans="1:53" x14ac:dyDescent="0.2">
      <c r="A68" s="25">
        <v>61</v>
      </c>
      <c r="B68" s="26">
        <v>45113</v>
      </c>
      <c r="C68" s="27"/>
      <c r="D68" s="25"/>
      <c r="E68" s="28"/>
      <c r="F68" s="27"/>
      <c r="G68" s="28"/>
      <c r="H68" s="27"/>
      <c r="I68" s="28"/>
      <c r="J68" s="27">
        <v>2</v>
      </c>
      <c r="K68" s="29" t="s">
        <v>35</v>
      </c>
      <c r="L68" s="39"/>
      <c r="M68" s="31"/>
      <c r="N68" s="27"/>
      <c r="P68" s="32"/>
      <c r="Q68" s="25"/>
      <c r="R68" s="27"/>
      <c r="S68" s="27"/>
      <c r="T68" s="28"/>
      <c r="U68" s="27"/>
      <c r="V68" s="27"/>
      <c r="W68" s="28"/>
      <c r="X68" s="33"/>
      <c r="Y68" s="32"/>
      <c r="Z68" s="25"/>
      <c r="AA68" s="27"/>
      <c r="AB68" s="28"/>
      <c r="AC68" s="27"/>
      <c r="AD68" s="27"/>
      <c r="AE68" s="33"/>
      <c r="AG68" s="25"/>
      <c r="AH68" s="34"/>
      <c r="AI68" s="27"/>
      <c r="AJ68" s="27"/>
      <c r="AK68" s="27"/>
      <c r="AL68" s="25"/>
      <c r="AM68" s="34"/>
      <c r="AN68" s="27"/>
      <c r="AO68" s="27"/>
      <c r="AP68" s="36"/>
      <c r="AQ68" s="37"/>
      <c r="AR68" s="32"/>
      <c r="AS68" s="25" t="s">
        <v>96</v>
      </c>
      <c r="AT68" s="27" t="s">
        <v>87</v>
      </c>
      <c r="AU68" s="27"/>
      <c r="AW68" s="25" t="s">
        <v>90</v>
      </c>
      <c r="AX68" s="27" t="s">
        <v>95</v>
      </c>
      <c r="AY68" s="27"/>
      <c r="AZ68" s="32"/>
      <c r="BA68" s="41"/>
    </row>
    <row r="69" spans="1:53" x14ac:dyDescent="0.2">
      <c r="A69" s="25">
        <v>62</v>
      </c>
      <c r="B69" s="26">
        <v>45114</v>
      </c>
      <c r="C69" s="27"/>
      <c r="D69" s="25"/>
      <c r="E69" s="28"/>
      <c r="F69" s="27"/>
      <c r="G69" s="28"/>
      <c r="H69" s="27"/>
      <c r="I69" s="28"/>
      <c r="J69" s="27">
        <v>2</v>
      </c>
      <c r="K69" s="29" t="s">
        <v>35</v>
      </c>
      <c r="L69" s="39"/>
      <c r="M69" s="31"/>
      <c r="N69" s="27"/>
      <c r="P69" s="32"/>
      <c r="Q69" s="25"/>
      <c r="R69" s="27"/>
      <c r="S69" s="27"/>
      <c r="T69" s="28"/>
      <c r="U69" s="27"/>
      <c r="V69" s="27"/>
      <c r="W69" s="28"/>
      <c r="X69" s="33"/>
      <c r="Y69" s="32"/>
      <c r="Z69" s="25"/>
      <c r="AA69" s="27"/>
      <c r="AB69" s="28"/>
      <c r="AC69" s="27"/>
      <c r="AD69" s="27"/>
      <c r="AE69" s="33"/>
      <c r="AG69" s="25"/>
      <c r="AH69" s="34"/>
      <c r="AI69" s="27"/>
      <c r="AJ69" s="27"/>
      <c r="AK69" s="27"/>
      <c r="AL69" s="25"/>
      <c r="AM69" s="34"/>
      <c r="AN69" s="27"/>
      <c r="AO69" s="27"/>
      <c r="AP69" s="36"/>
      <c r="AQ69" s="37"/>
      <c r="AR69" s="32"/>
      <c r="AS69" s="25" t="s">
        <v>96</v>
      </c>
      <c r="AT69" s="27" t="s">
        <v>87</v>
      </c>
      <c r="AU69" s="27"/>
      <c r="AW69" s="25" t="s">
        <v>90</v>
      </c>
      <c r="AX69" s="27" t="s">
        <v>95</v>
      </c>
      <c r="AY69" s="27"/>
      <c r="AZ69" s="32"/>
      <c r="BA69" s="41"/>
    </row>
    <row r="70" spans="1:53" x14ac:dyDescent="0.2">
      <c r="A70" s="25">
        <v>63</v>
      </c>
      <c r="B70" s="26">
        <v>45115</v>
      </c>
      <c r="C70" s="27"/>
      <c r="D70" s="25"/>
      <c r="E70" s="28"/>
      <c r="F70" s="27"/>
      <c r="G70" s="28"/>
      <c r="H70" s="27"/>
      <c r="I70" s="28"/>
      <c r="J70" s="27">
        <v>2</v>
      </c>
      <c r="K70" s="29" t="s">
        <v>35</v>
      </c>
      <c r="L70" s="39"/>
      <c r="M70" s="31"/>
      <c r="N70" s="27"/>
      <c r="P70" s="32"/>
      <c r="Q70" s="25"/>
      <c r="R70" s="27"/>
      <c r="S70" s="27"/>
      <c r="T70" s="28"/>
      <c r="U70" s="27"/>
      <c r="V70" s="27"/>
      <c r="W70" s="28"/>
      <c r="X70" s="33"/>
      <c r="Y70" s="32"/>
      <c r="Z70" s="25"/>
      <c r="AA70" s="27"/>
      <c r="AB70" s="28"/>
      <c r="AC70" s="27"/>
      <c r="AD70" s="27"/>
      <c r="AE70" s="33"/>
      <c r="AG70" s="25"/>
      <c r="AH70" s="34"/>
      <c r="AI70" s="27"/>
      <c r="AJ70" s="27"/>
      <c r="AK70" s="27"/>
      <c r="AL70" s="25"/>
      <c r="AM70" s="34"/>
      <c r="AN70" s="27"/>
      <c r="AO70" s="27"/>
      <c r="AP70" s="36"/>
      <c r="AQ70" s="37"/>
      <c r="AR70" s="32"/>
      <c r="AS70" s="25" t="s">
        <v>96</v>
      </c>
      <c r="AT70" s="27" t="s">
        <v>87</v>
      </c>
      <c r="AU70" s="27"/>
      <c r="AW70" s="25" t="s">
        <v>90</v>
      </c>
      <c r="AX70" s="27" t="s">
        <v>95</v>
      </c>
      <c r="AY70" s="27"/>
      <c r="AZ70" s="32"/>
      <c r="BA70" s="41"/>
    </row>
    <row r="71" spans="1:53" x14ac:dyDescent="0.2">
      <c r="A71" s="25">
        <v>64</v>
      </c>
      <c r="B71" s="26">
        <v>45116</v>
      </c>
      <c r="C71" s="27"/>
      <c r="D71" s="25"/>
      <c r="E71" s="28"/>
      <c r="F71" s="27"/>
      <c r="G71" s="28"/>
      <c r="H71" s="27"/>
      <c r="I71" s="28"/>
      <c r="J71" s="27">
        <v>2</v>
      </c>
      <c r="K71" s="29" t="s">
        <v>35</v>
      </c>
      <c r="L71" s="39"/>
      <c r="M71" s="31"/>
      <c r="N71" s="27"/>
      <c r="P71" s="32"/>
      <c r="Q71" s="25"/>
      <c r="R71" s="27"/>
      <c r="S71" s="27"/>
      <c r="T71" s="28"/>
      <c r="U71" s="27"/>
      <c r="V71" s="27"/>
      <c r="W71" s="28"/>
      <c r="X71" s="33"/>
      <c r="Y71" s="32"/>
      <c r="Z71" s="25"/>
      <c r="AA71" s="27"/>
      <c r="AB71" s="28"/>
      <c r="AC71" s="27"/>
      <c r="AD71" s="27"/>
      <c r="AE71" s="33"/>
      <c r="AG71" s="25"/>
      <c r="AH71" s="34"/>
      <c r="AI71" s="27"/>
      <c r="AJ71" s="27"/>
      <c r="AK71" s="27"/>
      <c r="AL71" s="25"/>
      <c r="AM71" s="34"/>
      <c r="AN71" s="27"/>
      <c r="AO71" s="27"/>
      <c r="AP71" s="36"/>
      <c r="AQ71" s="37"/>
      <c r="AR71" s="32"/>
      <c r="AS71" s="25" t="s">
        <v>96</v>
      </c>
      <c r="AT71" s="27" t="s">
        <v>87</v>
      </c>
      <c r="AU71" s="27"/>
      <c r="AW71" s="25" t="s">
        <v>90</v>
      </c>
      <c r="AX71" s="27" t="s">
        <v>95</v>
      </c>
      <c r="AY71" s="27"/>
      <c r="AZ71" s="32"/>
      <c r="BA71" s="41"/>
    </row>
    <row r="72" spans="1:53" x14ac:dyDescent="0.2">
      <c r="A72" s="25">
        <v>65</v>
      </c>
      <c r="B72" s="26">
        <v>45117</v>
      </c>
      <c r="C72" s="27"/>
      <c r="D72" s="25"/>
      <c r="E72" s="28"/>
      <c r="F72" s="27"/>
      <c r="G72" s="28"/>
      <c r="H72" s="27"/>
      <c r="I72" s="28"/>
      <c r="J72" s="27">
        <v>2</v>
      </c>
      <c r="K72" s="29" t="s">
        <v>35</v>
      </c>
      <c r="L72" s="39"/>
      <c r="M72" s="31"/>
      <c r="N72" s="27"/>
      <c r="P72" s="32"/>
      <c r="Q72" s="25"/>
      <c r="R72" s="27"/>
      <c r="S72" s="27"/>
      <c r="T72" s="28"/>
      <c r="U72" s="27"/>
      <c r="V72" s="27"/>
      <c r="W72" s="28"/>
      <c r="X72" s="33"/>
      <c r="Y72" s="32"/>
      <c r="Z72" s="25"/>
      <c r="AA72" s="27"/>
      <c r="AB72" s="28"/>
      <c r="AC72" s="27"/>
      <c r="AD72" s="27"/>
      <c r="AE72" s="33"/>
      <c r="AG72" s="25"/>
      <c r="AH72" s="34"/>
      <c r="AI72" s="27"/>
      <c r="AJ72" s="27"/>
      <c r="AK72" s="27"/>
      <c r="AL72" s="25"/>
      <c r="AM72" s="34"/>
      <c r="AN72" s="27"/>
      <c r="AO72" s="27"/>
      <c r="AP72" s="36"/>
      <c r="AQ72" s="37"/>
      <c r="AR72" s="32"/>
      <c r="AS72" s="25" t="s">
        <v>96</v>
      </c>
      <c r="AT72" s="27" t="s">
        <v>87</v>
      </c>
      <c r="AU72" s="27"/>
      <c r="AW72" s="25" t="s">
        <v>90</v>
      </c>
      <c r="AX72" s="27" t="s">
        <v>95</v>
      </c>
      <c r="AY72" s="27"/>
      <c r="AZ72" s="32"/>
      <c r="BA72" s="41"/>
    </row>
    <row r="73" spans="1:53" x14ac:dyDescent="0.2">
      <c r="A73" s="25">
        <v>66</v>
      </c>
      <c r="B73" s="26">
        <v>45118</v>
      </c>
      <c r="C73" s="27"/>
      <c r="D73" s="25"/>
      <c r="E73" s="28"/>
      <c r="F73" s="27"/>
      <c r="G73" s="28"/>
      <c r="H73" s="27"/>
      <c r="I73" s="28"/>
      <c r="J73" s="27">
        <v>2</v>
      </c>
      <c r="K73" s="29" t="s">
        <v>35</v>
      </c>
      <c r="L73" s="39"/>
      <c r="M73" s="31"/>
      <c r="N73" s="27"/>
      <c r="P73" s="32"/>
      <c r="Q73" s="25"/>
      <c r="R73" s="27"/>
      <c r="S73" s="27"/>
      <c r="T73" s="28"/>
      <c r="U73" s="27"/>
      <c r="V73" s="27"/>
      <c r="W73" s="28"/>
      <c r="X73" s="33"/>
      <c r="Y73" s="32"/>
      <c r="Z73" s="25"/>
      <c r="AA73" s="27"/>
      <c r="AB73" s="28"/>
      <c r="AC73" s="27"/>
      <c r="AD73" s="27"/>
      <c r="AE73" s="33"/>
      <c r="AG73" s="25"/>
      <c r="AH73" s="34"/>
      <c r="AI73" s="27"/>
      <c r="AJ73" s="27"/>
      <c r="AK73" s="27"/>
      <c r="AL73" s="25"/>
      <c r="AM73" s="34"/>
      <c r="AN73" s="27"/>
      <c r="AO73" s="27"/>
      <c r="AP73" s="36"/>
      <c r="AQ73" s="37"/>
      <c r="AR73" s="32"/>
      <c r="AS73" s="25" t="s">
        <v>96</v>
      </c>
      <c r="AT73" s="27" t="s">
        <v>87</v>
      </c>
      <c r="AU73" s="27"/>
      <c r="AW73" s="25" t="s">
        <v>90</v>
      </c>
      <c r="AX73" s="27" t="s">
        <v>95</v>
      </c>
      <c r="AY73" s="27"/>
      <c r="AZ73" s="32"/>
      <c r="BA73" s="41"/>
    </row>
    <row r="74" spans="1:53" x14ac:dyDescent="0.2">
      <c r="A74" s="25">
        <v>67</v>
      </c>
      <c r="B74" s="26">
        <v>45119</v>
      </c>
      <c r="C74" s="27"/>
      <c r="D74" s="25"/>
      <c r="E74" s="28"/>
      <c r="F74" s="27"/>
      <c r="G74" s="28"/>
      <c r="H74" s="27"/>
      <c r="I74" s="28"/>
      <c r="J74" s="27">
        <v>2</v>
      </c>
      <c r="K74" s="29" t="s">
        <v>35</v>
      </c>
      <c r="L74" s="39"/>
      <c r="M74" s="31"/>
      <c r="N74" s="27"/>
      <c r="P74" s="32"/>
      <c r="Q74" s="25"/>
      <c r="R74" s="27"/>
      <c r="S74" s="27"/>
      <c r="T74" s="28"/>
      <c r="U74" s="27"/>
      <c r="V74" s="27"/>
      <c r="W74" s="28"/>
      <c r="X74" s="33"/>
      <c r="Y74" s="32"/>
      <c r="Z74" s="25"/>
      <c r="AA74" s="27"/>
      <c r="AB74" s="28"/>
      <c r="AC74" s="27"/>
      <c r="AD74" s="27"/>
      <c r="AE74" s="33"/>
      <c r="AG74" s="25"/>
      <c r="AH74" s="34"/>
      <c r="AI74" s="27"/>
      <c r="AJ74" s="27"/>
      <c r="AK74" s="27"/>
      <c r="AL74" s="25"/>
      <c r="AM74" s="34"/>
      <c r="AN74" s="27"/>
      <c r="AO74" s="27"/>
      <c r="AP74" s="36"/>
      <c r="AQ74" s="37"/>
      <c r="AR74" s="32"/>
      <c r="AS74" s="25" t="s">
        <v>96</v>
      </c>
      <c r="AT74" s="27" t="s">
        <v>87</v>
      </c>
      <c r="AU74" s="27"/>
      <c r="AW74" s="25" t="s">
        <v>90</v>
      </c>
      <c r="AX74" s="27" t="s">
        <v>95</v>
      </c>
      <c r="AY74" s="27"/>
      <c r="AZ74" s="32"/>
      <c r="BA74" s="41"/>
    </row>
    <row r="75" spans="1:53" x14ac:dyDescent="0.2">
      <c r="A75" s="25">
        <v>68</v>
      </c>
      <c r="B75" s="26">
        <v>45120</v>
      </c>
      <c r="C75" s="27"/>
      <c r="D75" s="25"/>
      <c r="E75" s="28"/>
      <c r="F75" s="27"/>
      <c r="G75" s="28"/>
      <c r="H75" s="27"/>
      <c r="I75" s="28"/>
      <c r="J75" s="27">
        <v>2</v>
      </c>
      <c r="K75" s="29" t="s">
        <v>35</v>
      </c>
      <c r="L75" s="39"/>
      <c r="M75" s="31"/>
      <c r="N75" s="27"/>
      <c r="P75" s="32"/>
      <c r="Q75" s="25"/>
      <c r="R75" s="27"/>
      <c r="S75" s="27"/>
      <c r="T75" s="28"/>
      <c r="U75" s="27"/>
      <c r="V75" s="27"/>
      <c r="W75" s="28"/>
      <c r="X75" s="33"/>
      <c r="Y75" s="32"/>
      <c r="Z75" s="25"/>
      <c r="AA75" s="27"/>
      <c r="AB75" s="28"/>
      <c r="AC75" s="27"/>
      <c r="AD75" s="27"/>
      <c r="AE75" s="33"/>
      <c r="AG75" s="25"/>
      <c r="AH75" s="34"/>
      <c r="AI75" s="27"/>
      <c r="AJ75" s="27"/>
      <c r="AK75" s="27"/>
      <c r="AL75" s="25"/>
      <c r="AM75" s="34"/>
      <c r="AN75" s="27"/>
      <c r="AO75" s="27"/>
      <c r="AP75" s="36"/>
      <c r="AQ75" s="37"/>
      <c r="AR75" s="32"/>
      <c r="AS75" s="25" t="s">
        <v>96</v>
      </c>
      <c r="AT75" s="27" t="s">
        <v>87</v>
      </c>
      <c r="AU75" s="27"/>
      <c r="AW75" s="25" t="s">
        <v>90</v>
      </c>
      <c r="AX75" s="27" t="s">
        <v>95</v>
      </c>
      <c r="AY75" s="27"/>
      <c r="AZ75" s="32"/>
      <c r="BA75" s="41"/>
    </row>
    <row r="76" spans="1:53" x14ac:dyDescent="0.2">
      <c r="A76" s="25">
        <v>69</v>
      </c>
      <c r="B76" s="26">
        <v>45121</v>
      </c>
      <c r="C76" s="27"/>
      <c r="D76" s="25"/>
      <c r="E76" s="28"/>
      <c r="F76" s="27"/>
      <c r="G76" s="28"/>
      <c r="H76" s="27"/>
      <c r="I76" s="28"/>
      <c r="J76" s="27">
        <v>2</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27"/>
      <c r="AW76" s="25" t="s">
        <v>90</v>
      </c>
      <c r="AX76" s="27" t="s">
        <v>95</v>
      </c>
      <c r="AY76" s="27"/>
      <c r="AZ76" s="32"/>
      <c r="BA76" s="41"/>
    </row>
    <row r="77" spans="1:53" x14ac:dyDescent="0.2">
      <c r="A77" s="25">
        <v>70</v>
      </c>
      <c r="B77" s="26">
        <v>45122</v>
      </c>
      <c r="C77" s="27"/>
      <c r="D77" s="25"/>
      <c r="E77" s="28"/>
      <c r="F77" s="27"/>
      <c r="G77" s="28"/>
      <c r="H77" s="27"/>
      <c r="I77" s="28"/>
      <c r="J77" s="27">
        <v>2</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71</v>
      </c>
      <c r="B78" s="26">
        <v>45123</v>
      </c>
      <c r="C78" s="27"/>
      <c r="D78" s="25"/>
      <c r="E78" s="28"/>
      <c r="F78" s="27"/>
      <c r="G78" s="28"/>
      <c r="H78" s="27"/>
      <c r="I78" s="28"/>
      <c r="J78" s="27">
        <v>2</v>
      </c>
      <c r="K78" s="29" t="s">
        <v>35</v>
      </c>
      <c r="L78" s="39"/>
      <c r="M78" s="31"/>
      <c r="N78" s="27"/>
      <c r="P78" s="32"/>
      <c r="Q78" s="25"/>
      <c r="R78" s="27"/>
      <c r="S78" s="27"/>
      <c r="T78" s="28"/>
      <c r="U78" s="27"/>
      <c r="V78" s="27"/>
      <c r="W78" s="28"/>
      <c r="X78" s="33"/>
      <c r="Y78" s="32"/>
      <c r="Z78" s="25"/>
      <c r="AA78" s="27"/>
      <c r="AB78" s="28"/>
      <c r="AC78" s="27"/>
      <c r="AD78" s="27"/>
      <c r="AE78" s="33"/>
      <c r="AF78" s="32"/>
      <c r="AG78" s="90"/>
      <c r="AH78" s="91"/>
      <c r="AI78" s="27"/>
      <c r="AJ78" s="27"/>
      <c r="AK78" s="28"/>
      <c r="AL78" s="27"/>
      <c r="AM78" s="27"/>
      <c r="AN78" s="27"/>
      <c r="AO78" s="27"/>
      <c r="AP78" s="36"/>
      <c r="AQ78" s="37"/>
      <c r="AS78" s="25"/>
      <c r="AT78" s="27"/>
      <c r="AU78" s="27"/>
      <c r="AW78" s="25" t="s">
        <v>90</v>
      </c>
      <c r="AX78" s="27" t="s">
        <v>95</v>
      </c>
      <c r="AY78" s="27"/>
      <c r="AZ78" s="32"/>
      <c r="BA78" s="41"/>
    </row>
    <row r="79" spans="1:53" x14ac:dyDescent="0.2">
      <c r="A79" s="25">
        <v>72</v>
      </c>
      <c r="B79" s="26">
        <v>45124</v>
      </c>
      <c r="C79" s="27"/>
      <c r="D79" s="25"/>
      <c r="E79" s="28"/>
      <c r="F79" s="27"/>
      <c r="G79" s="28"/>
      <c r="H79" s="27"/>
      <c r="I79" s="28"/>
      <c r="J79" s="27">
        <v>2</v>
      </c>
      <c r="K79" s="29" t="s">
        <v>35</v>
      </c>
      <c r="L79" s="39"/>
      <c r="M79" s="31"/>
      <c r="N79" s="27"/>
      <c r="P79" s="32"/>
      <c r="Q79" s="25"/>
      <c r="R79" s="27"/>
      <c r="S79" s="27"/>
      <c r="T79" s="28"/>
      <c r="U79" s="27"/>
      <c r="V79" s="27"/>
      <c r="W79" s="28"/>
      <c r="X79" s="33"/>
      <c r="Y79" s="32"/>
      <c r="Z79" s="25"/>
      <c r="AA79" s="27"/>
      <c r="AB79" s="28"/>
      <c r="AC79" s="27"/>
      <c r="AD79" s="27"/>
      <c r="AE79" s="33"/>
      <c r="AF79" s="32"/>
      <c r="AG79" s="90"/>
      <c r="AH79" s="91"/>
      <c r="AI79" s="27"/>
      <c r="AJ79" s="27"/>
      <c r="AK79" s="28"/>
      <c r="AL79" s="27"/>
      <c r="AM79" s="27"/>
      <c r="AN79" s="27"/>
      <c r="AO79" s="27"/>
      <c r="AP79" s="36"/>
      <c r="AQ79" s="37"/>
      <c r="AS79" s="25"/>
      <c r="AT79" s="27"/>
      <c r="AU79" s="27"/>
      <c r="AW79" s="25"/>
      <c r="AX79" s="27"/>
      <c r="AY79" s="27"/>
      <c r="AZ79" s="32"/>
      <c r="BA79" s="41"/>
    </row>
    <row r="80" spans="1:53" x14ac:dyDescent="0.2">
      <c r="A80" s="25">
        <v>73</v>
      </c>
      <c r="B80" s="26">
        <v>45125</v>
      </c>
      <c r="C80" s="27"/>
      <c r="D80" s="25"/>
      <c r="E80" s="28"/>
      <c r="F80" s="27"/>
      <c r="G80" s="28"/>
      <c r="H80" s="27"/>
      <c r="I80" s="28"/>
      <c r="J80" s="27">
        <v>2</v>
      </c>
      <c r="K80" s="29" t="s">
        <v>35</v>
      </c>
      <c r="L80" s="39"/>
      <c r="M80" s="31"/>
      <c r="N80" s="27"/>
      <c r="P80" s="32"/>
      <c r="Q80" s="25"/>
      <c r="R80" s="27"/>
      <c r="S80" s="27"/>
      <c r="T80" s="28"/>
      <c r="U80" s="27"/>
      <c r="V80" s="27"/>
      <c r="W80" s="28"/>
      <c r="X80" s="33"/>
      <c r="Y80" s="32"/>
      <c r="Z80" s="25"/>
      <c r="AA80" s="27"/>
      <c r="AB80" s="28"/>
      <c r="AC80" s="27"/>
      <c r="AD80" s="27"/>
      <c r="AE80" s="33"/>
      <c r="AF80" s="32"/>
      <c r="AG80" s="90"/>
      <c r="AH80" s="91"/>
      <c r="AI80" s="27"/>
      <c r="AJ80" s="27"/>
      <c r="AK80" s="28"/>
      <c r="AL80" s="27"/>
      <c r="AM80" s="27"/>
      <c r="AN80" s="27"/>
      <c r="AO80" s="27"/>
      <c r="AP80" s="36"/>
      <c r="AQ80" s="37"/>
      <c r="AS80" s="25"/>
      <c r="AT80" s="27"/>
      <c r="AU80" s="27"/>
      <c r="AW80" s="25"/>
      <c r="AX80" s="27"/>
      <c r="AY80" s="27"/>
      <c r="AZ80" s="32"/>
      <c r="BA80" s="41"/>
    </row>
    <row r="81" spans="1:53" x14ac:dyDescent="0.2">
      <c r="A81" s="25">
        <v>74</v>
      </c>
      <c r="B81" s="26">
        <v>45126</v>
      </c>
      <c r="C81" s="27"/>
      <c r="D81" s="25"/>
      <c r="E81" s="28"/>
      <c r="F81" s="27"/>
      <c r="G81" s="28"/>
      <c r="H81" s="27"/>
      <c r="I81" s="28"/>
      <c r="J81" s="27">
        <v>2</v>
      </c>
      <c r="K81" s="29" t="s">
        <v>35</v>
      </c>
      <c r="L81" s="39"/>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c r="AO81" s="27"/>
      <c r="AP81" s="36"/>
      <c r="AQ81" s="37"/>
      <c r="AS81" s="25"/>
      <c r="AT81" s="27"/>
      <c r="AU81" s="27"/>
      <c r="AW81" s="25"/>
      <c r="AX81" s="27"/>
      <c r="AY81" s="27"/>
      <c r="AZ81" s="32"/>
      <c r="BA81" s="41"/>
    </row>
    <row r="82" spans="1:53" x14ac:dyDescent="0.2">
      <c r="A82" s="25">
        <v>75</v>
      </c>
      <c r="B82" s="26">
        <v>45127</v>
      </c>
      <c r="C82" s="27"/>
      <c r="D82" s="25"/>
      <c r="E82" s="28"/>
      <c r="F82" s="27"/>
      <c r="G82" s="28"/>
      <c r="H82" s="27"/>
      <c r="I82" s="28"/>
      <c r="J82" s="27">
        <v>2</v>
      </c>
      <c r="K82" s="29" t="s">
        <v>35</v>
      </c>
      <c r="L82" s="39"/>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c r="AO82" s="27"/>
      <c r="AP82" s="36"/>
      <c r="AQ82" s="37"/>
      <c r="AR82" s="32"/>
      <c r="AS82" s="25"/>
      <c r="AT82" s="27"/>
      <c r="AU82" s="27"/>
      <c r="AW82" s="25"/>
      <c r="AX82" s="27"/>
      <c r="AY82" s="27"/>
      <c r="AZ82" s="32"/>
      <c r="BA82" s="41"/>
    </row>
    <row r="83" spans="1:53" x14ac:dyDescent="0.2">
      <c r="A83" s="25">
        <v>76</v>
      </c>
      <c r="B83" s="26">
        <v>45128</v>
      </c>
      <c r="C83" s="27"/>
      <c r="D83" s="25"/>
      <c r="E83" s="28"/>
      <c r="F83" s="27"/>
      <c r="G83" s="28"/>
      <c r="H83" s="27"/>
      <c r="I83" s="28"/>
      <c r="J83" s="27">
        <v>2</v>
      </c>
      <c r="K83" s="29" t="s">
        <v>35</v>
      </c>
      <c r="L83" s="39"/>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c r="AO83" s="27"/>
      <c r="AP83" s="36"/>
      <c r="AQ83" s="37"/>
      <c r="AR83" s="32"/>
      <c r="AS83" s="25"/>
      <c r="AT83" s="27"/>
      <c r="AU83" s="27"/>
      <c r="AW83" s="25"/>
      <c r="AX83" s="27"/>
      <c r="AY83" s="27"/>
      <c r="AZ83" s="32"/>
      <c r="BA83" s="41"/>
    </row>
    <row r="84" spans="1:53" x14ac:dyDescent="0.2">
      <c r="A84" s="25">
        <v>77</v>
      </c>
      <c r="B84" s="26">
        <v>45129</v>
      </c>
      <c r="C84" s="27"/>
      <c r="D84" s="25"/>
      <c r="E84" s="28"/>
      <c r="F84" s="27"/>
      <c r="G84" s="28"/>
      <c r="H84" s="27"/>
      <c r="I84" s="28"/>
      <c r="J84" s="27">
        <v>2</v>
      </c>
      <c r="K84" s="29" t="s">
        <v>35</v>
      </c>
      <c r="L84" s="39"/>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c r="AO84" s="27"/>
      <c r="AP84" s="36"/>
      <c r="AQ84" s="37"/>
      <c r="AR84" s="32"/>
      <c r="AS84" s="25"/>
      <c r="AT84" s="27"/>
      <c r="AU84" s="27"/>
      <c r="AW84" s="25"/>
      <c r="AX84" s="27"/>
      <c r="AY84" s="27"/>
      <c r="AZ84" s="32"/>
      <c r="BA84" s="41"/>
    </row>
    <row r="85" spans="1:53" x14ac:dyDescent="0.2">
      <c r="A85" s="25">
        <v>78</v>
      </c>
      <c r="B85" s="26">
        <v>45130</v>
      </c>
      <c r="C85" s="27"/>
      <c r="D85" s="25"/>
      <c r="E85" s="28"/>
      <c r="F85" s="27"/>
      <c r="G85" s="28"/>
      <c r="H85" s="27"/>
      <c r="I85" s="28"/>
      <c r="J85" s="27">
        <v>2</v>
      </c>
      <c r="K85" s="29" t="s">
        <v>35</v>
      </c>
      <c r="L85" s="39"/>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c r="AO85" s="27"/>
      <c r="AP85" s="36"/>
      <c r="AQ85" s="37"/>
      <c r="AR85" s="32"/>
      <c r="AS85" s="25"/>
      <c r="AT85" s="27"/>
      <c r="AU85" s="27"/>
      <c r="AW85" s="25"/>
      <c r="AX85" s="27"/>
      <c r="AY85" s="27"/>
      <c r="AZ85" s="32"/>
      <c r="BA85" s="41"/>
    </row>
    <row r="86" spans="1:53" x14ac:dyDescent="0.2">
      <c r="A86" s="25">
        <v>79</v>
      </c>
      <c r="B86" s="26">
        <v>45131</v>
      </c>
      <c r="C86" s="27"/>
      <c r="D86" s="25"/>
      <c r="E86" s="28"/>
      <c r="F86" s="27"/>
      <c r="G86" s="28"/>
      <c r="H86" s="27"/>
      <c r="I86" s="28"/>
      <c r="J86" s="27">
        <v>2</v>
      </c>
      <c r="K86" s="29" t="s">
        <v>35</v>
      </c>
      <c r="L86" s="39"/>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c r="AO86" s="27"/>
      <c r="AP86" s="36"/>
      <c r="AQ86" s="37"/>
      <c r="AR86" s="32"/>
      <c r="AS86" s="25"/>
      <c r="AT86" s="27"/>
      <c r="AU86" s="27"/>
      <c r="AW86" s="25"/>
      <c r="AX86" s="27"/>
      <c r="AY86" s="27"/>
      <c r="AZ86" s="32"/>
      <c r="BA86" s="41"/>
    </row>
    <row r="87" spans="1:53" x14ac:dyDescent="0.2">
      <c r="A87" s="25">
        <v>80</v>
      </c>
      <c r="B87" s="26">
        <v>45132</v>
      </c>
      <c r="C87" s="27"/>
      <c r="D87" s="25"/>
      <c r="E87" s="28"/>
      <c r="F87" s="27"/>
      <c r="G87" s="28"/>
      <c r="H87" s="27"/>
      <c r="I87" s="28"/>
      <c r="J87" s="27">
        <v>2</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R87" s="32"/>
      <c r="AS87" s="25"/>
      <c r="AT87" s="27"/>
      <c r="AU87" s="27"/>
      <c r="AW87" s="25"/>
      <c r="AX87" s="27"/>
      <c r="AY87" s="27"/>
      <c r="AZ87" s="32"/>
      <c r="BA87" s="41"/>
    </row>
    <row r="88" spans="1:53" x14ac:dyDescent="0.2">
      <c r="A88" s="25">
        <v>81</v>
      </c>
      <c r="B88" s="26">
        <v>45133</v>
      </c>
      <c r="C88" s="27"/>
      <c r="D88" s="25"/>
      <c r="E88" s="28"/>
      <c r="F88" s="27"/>
      <c r="G88" s="28"/>
      <c r="H88" s="27"/>
      <c r="I88" s="28"/>
      <c r="J88" s="27">
        <v>2</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R88" s="32"/>
      <c r="AS88" s="25"/>
      <c r="AT88" s="27"/>
      <c r="AU88" s="27"/>
      <c r="AW88" s="25"/>
      <c r="AX88" s="27"/>
      <c r="AY88" s="27"/>
      <c r="AZ88" s="32"/>
      <c r="BA88" s="41"/>
    </row>
    <row r="89" spans="1:53" x14ac:dyDescent="0.2">
      <c r="A89" s="25">
        <v>82</v>
      </c>
      <c r="B89" s="26">
        <v>45134</v>
      </c>
      <c r="C89" s="27"/>
      <c r="D89" s="25"/>
      <c r="E89" s="28"/>
      <c r="F89" s="27"/>
      <c r="G89" s="28"/>
      <c r="H89" s="27"/>
      <c r="I89" s="28"/>
      <c r="J89" s="27">
        <v>2</v>
      </c>
      <c r="K89" s="29" t="s">
        <v>35</v>
      </c>
      <c r="L89" s="39"/>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R89" s="32"/>
      <c r="AS89" s="25"/>
      <c r="AT89" s="27"/>
      <c r="AU89" s="27"/>
      <c r="AW89" s="25"/>
      <c r="AX89" s="27"/>
      <c r="AY89" s="27"/>
      <c r="AZ89" s="32"/>
      <c r="BA89" s="41"/>
    </row>
    <row r="90" spans="1:53" x14ac:dyDescent="0.2">
      <c r="A90" s="25">
        <v>83</v>
      </c>
      <c r="B90" s="26">
        <v>45135</v>
      </c>
      <c r="C90" s="27"/>
      <c r="D90" s="25"/>
      <c r="E90" s="28"/>
      <c r="F90" s="27"/>
      <c r="G90" s="28"/>
      <c r="H90" s="27"/>
      <c r="I90" s="28"/>
      <c r="J90" s="27">
        <v>2</v>
      </c>
      <c r="K90" s="29" t="s">
        <v>35</v>
      </c>
      <c r="L90" s="39"/>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R90" s="32"/>
      <c r="AS90" s="25"/>
      <c r="AT90" s="27"/>
      <c r="AU90" s="27"/>
      <c r="AW90" s="25"/>
      <c r="AX90" s="27"/>
      <c r="AY90" s="27"/>
      <c r="AZ90" s="32"/>
      <c r="BA90" s="41"/>
    </row>
    <row r="91" spans="1:53" x14ac:dyDescent="0.2">
      <c r="A91" s="25">
        <v>84</v>
      </c>
      <c r="B91" s="26">
        <v>45136</v>
      </c>
      <c r="C91" s="27"/>
      <c r="D91" s="25"/>
      <c r="E91" s="28"/>
      <c r="F91" s="27"/>
      <c r="G91" s="28"/>
      <c r="H91" s="27"/>
      <c r="I91" s="28"/>
      <c r="J91" s="27">
        <v>2</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c r="AT91" s="27"/>
      <c r="AU91" s="27"/>
      <c r="AW91" s="25"/>
      <c r="AX91" s="27"/>
      <c r="AY91" s="27"/>
      <c r="AZ91" s="32"/>
      <c r="BA91" s="41"/>
    </row>
    <row r="92" spans="1:53" x14ac:dyDescent="0.2">
      <c r="A92" s="25">
        <v>85</v>
      </c>
      <c r="B92" s="26">
        <v>45137</v>
      </c>
      <c r="C92" s="27"/>
      <c r="D92" s="25"/>
      <c r="E92" s="28"/>
      <c r="F92" s="27"/>
      <c r="G92" s="28"/>
      <c r="H92" s="27"/>
      <c r="I92" s="28"/>
      <c r="J92" s="27">
        <v>2</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c r="AT92" s="27"/>
      <c r="AU92" s="27"/>
      <c r="AW92" s="25"/>
      <c r="AX92" s="27"/>
      <c r="AY92" s="27"/>
      <c r="AZ92" s="32"/>
      <c r="BA92" s="41"/>
    </row>
    <row r="93" spans="1:53" x14ac:dyDescent="0.2">
      <c r="A93" s="25">
        <v>86</v>
      </c>
      <c r="B93" s="26">
        <v>45138</v>
      </c>
      <c r="C93" s="27"/>
      <c r="D93" s="25"/>
      <c r="E93" s="28"/>
      <c r="F93" s="27"/>
      <c r="G93" s="28"/>
      <c r="H93" s="27"/>
      <c r="I93" s="28"/>
      <c r="J93" s="27">
        <v>2</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c r="AT93" s="27"/>
      <c r="AU93" s="27"/>
      <c r="AW93" s="25"/>
      <c r="AX93" s="27"/>
      <c r="AY93" s="27"/>
      <c r="AZ93" s="32"/>
      <c r="BA93" s="41"/>
    </row>
    <row r="94" spans="1:53" x14ac:dyDescent="0.2">
      <c r="A94" s="25">
        <v>87</v>
      </c>
      <c r="B94" s="26">
        <v>45139</v>
      </c>
      <c r="C94" s="27"/>
      <c r="D94" s="25"/>
      <c r="E94" s="28"/>
      <c r="F94" s="27"/>
      <c r="G94" s="28"/>
      <c r="H94" s="27"/>
      <c r="I94" s="28"/>
      <c r="J94" s="27">
        <v>2</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c r="AT94" s="27"/>
      <c r="AU94" s="27"/>
      <c r="AW94" s="25"/>
      <c r="AX94" s="27"/>
      <c r="AY94" s="27"/>
      <c r="AZ94" s="32"/>
      <c r="BA94" s="41"/>
    </row>
    <row r="95" spans="1:53" x14ac:dyDescent="0.2">
      <c r="A95" s="25">
        <v>88</v>
      </c>
      <c r="B95" s="26">
        <v>45140</v>
      </c>
      <c r="C95" s="27"/>
      <c r="D95" s="25"/>
      <c r="E95" s="28"/>
      <c r="F95" s="27"/>
      <c r="G95" s="28"/>
      <c r="H95" s="27"/>
      <c r="I95" s="28"/>
      <c r="J95" s="27">
        <v>2</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c r="AT95" s="27"/>
      <c r="AU95" s="27"/>
      <c r="AW95" s="25"/>
      <c r="AX95" s="27"/>
      <c r="AY95" s="27"/>
      <c r="AZ95" s="32"/>
      <c r="BA95" s="41"/>
    </row>
    <row r="96" spans="1:53" x14ac:dyDescent="0.2">
      <c r="A96" s="25">
        <v>89</v>
      </c>
      <c r="B96" s="26">
        <v>45141</v>
      </c>
      <c r="C96" s="27"/>
      <c r="D96" s="25"/>
      <c r="E96" s="28"/>
      <c r="F96" s="27"/>
      <c r="G96" s="28"/>
      <c r="H96" s="27"/>
      <c r="I96" s="28"/>
      <c r="J96" s="27">
        <v>2</v>
      </c>
      <c r="K96" s="29" t="s">
        <v>35</v>
      </c>
      <c r="L96" s="39"/>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c r="AT96" s="27"/>
      <c r="AU96" s="27"/>
      <c r="AW96" s="25"/>
      <c r="AX96" s="27"/>
      <c r="AY96" s="27"/>
      <c r="AZ96" s="32"/>
      <c r="BA96" s="41"/>
    </row>
    <row r="97" spans="1:53" x14ac:dyDescent="0.2">
      <c r="A97" s="25">
        <v>90</v>
      </c>
      <c r="B97" s="26">
        <v>45142</v>
      </c>
      <c r="C97" s="27"/>
      <c r="D97" s="25"/>
      <c r="E97" s="28"/>
      <c r="F97" s="27"/>
      <c r="G97" s="28"/>
      <c r="H97" s="27"/>
      <c r="I97" s="28"/>
      <c r="J97" s="27">
        <v>2</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c r="AT97" s="27"/>
      <c r="AU97" s="27"/>
      <c r="AW97" s="25"/>
      <c r="AX97" s="27"/>
      <c r="AY97" s="27"/>
      <c r="AZ97" s="32"/>
      <c r="BA97" s="41"/>
    </row>
    <row r="98" spans="1:53" x14ac:dyDescent="0.2">
      <c r="B98" s="26">
        <v>45143</v>
      </c>
    </row>
    <row r="99" spans="1:53" x14ac:dyDescent="0.2">
      <c r="B99" s="26">
        <v>45144</v>
      </c>
    </row>
  </sheetData>
  <mergeCells count="52">
    <mergeCell ref="X11:X18"/>
    <mergeCell ref="AV4:AV6"/>
    <mergeCell ref="AW4:AW6"/>
    <mergeCell ref="AG4:AG5"/>
    <mergeCell ref="X4:X6"/>
    <mergeCell ref="O27:O47"/>
    <mergeCell ref="AR4:AR6"/>
    <mergeCell ref="AS4:AS6"/>
    <mergeCell ref="AT4:AT6"/>
    <mergeCell ref="AU4:AU6"/>
    <mergeCell ref="AH4:AH6"/>
    <mergeCell ref="AI4:AK5"/>
    <mergeCell ref="AL4:AL6"/>
    <mergeCell ref="AM4:AM5"/>
    <mergeCell ref="AN4:AP5"/>
    <mergeCell ref="AQ4:AQ6"/>
    <mergeCell ref="Y4:Y6"/>
    <mergeCell ref="Z4:AB5"/>
    <mergeCell ref="AC4:AD5"/>
    <mergeCell ref="AE4:AE6"/>
    <mergeCell ref="AF4:AF6"/>
    <mergeCell ref="H4:I5"/>
    <mergeCell ref="J4:J6"/>
    <mergeCell ref="K4:K6"/>
    <mergeCell ref="L4:L6"/>
    <mergeCell ref="M4:M6"/>
    <mergeCell ref="N4:N6"/>
    <mergeCell ref="AS1:AV3"/>
    <mergeCell ref="AW1:AZ3"/>
    <mergeCell ref="BA1:BA3"/>
    <mergeCell ref="AG3:AK3"/>
    <mergeCell ref="AM3:AP3"/>
    <mergeCell ref="AG1:AP2"/>
    <mergeCell ref="O4:O6"/>
    <mergeCell ref="P4:P6"/>
    <mergeCell ref="Q4:Q6"/>
    <mergeCell ref="R4:T5"/>
    <mergeCell ref="U4:W5"/>
    <mergeCell ref="AX4:AX6"/>
    <mergeCell ref="AY4:AY6"/>
    <mergeCell ref="AZ4:AZ6"/>
    <mergeCell ref="BA4:BA6"/>
    <mergeCell ref="A4:A6"/>
    <mergeCell ref="B4:B6"/>
    <mergeCell ref="C4:C6"/>
    <mergeCell ref="D4:E5"/>
    <mergeCell ref="F4:G5"/>
    <mergeCell ref="A1:C3"/>
    <mergeCell ref="D1:M3"/>
    <mergeCell ref="N1:P3"/>
    <mergeCell ref="Q1:Y3"/>
    <mergeCell ref="Z1:AF3"/>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A99"/>
  <sheetViews>
    <sheetView zoomScaleNormal="100" workbookViewId="0">
      <pane xSplit="1" topLeftCell="B1" activePane="topRight" state="frozen"/>
      <selection pane="topRight" activeCell="L65" sqref="L65"/>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3.1640625" bestFit="1" customWidth="1"/>
    <col min="32" max="32" width="41.1640625" bestFit="1" customWidth="1"/>
    <col min="33" max="33" width="11.83203125" bestFit="1" customWidth="1"/>
    <col min="34" max="34" width="14" bestFit="1" customWidth="1"/>
    <col min="35" max="35" width="6" bestFit="1" customWidth="1"/>
    <col min="36" max="36" width="6.5" bestFit="1" customWidth="1"/>
    <col min="37" max="37" width="6" bestFit="1" customWidth="1"/>
    <col min="38" max="38" width="16.33203125" bestFit="1" customWidth="1"/>
    <col min="39" max="39" width="11.83203125" bestFit="1" customWidth="1"/>
    <col min="40" max="40" width="6" bestFit="1" customWidth="1"/>
    <col min="41" max="41" width="6.5" bestFit="1" customWidth="1"/>
    <col min="42" max="42" width="5" bestFit="1"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ht="23" x14ac:dyDescent="0.2">
      <c r="A1" s="209" t="s">
        <v>0</v>
      </c>
      <c r="B1" s="210"/>
      <c r="C1" s="210"/>
      <c r="D1" s="215" t="s">
        <v>1</v>
      </c>
      <c r="E1" s="215"/>
      <c r="F1" s="215"/>
      <c r="G1" s="215"/>
      <c r="H1" s="215"/>
      <c r="I1" s="215"/>
      <c r="J1" s="215"/>
      <c r="K1" s="215"/>
      <c r="L1" s="215"/>
      <c r="M1" s="215"/>
      <c r="N1" s="218" t="s">
        <v>2</v>
      </c>
      <c r="O1" s="218"/>
      <c r="P1" s="219"/>
      <c r="Q1" s="224" t="s">
        <v>3</v>
      </c>
      <c r="R1" s="225"/>
      <c r="S1" s="225"/>
      <c r="T1" s="225"/>
      <c r="U1" s="225"/>
      <c r="V1" s="225"/>
      <c r="W1" s="225"/>
      <c r="X1" s="225"/>
      <c r="Y1" s="226"/>
      <c r="Z1" s="230" t="s">
        <v>4</v>
      </c>
      <c r="AA1" s="231"/>
      <c r="AB1" s="231"/>
      <c r="AC1" s="231"/>
      <c r="AD1" s="231"/>
      <c r="AE1" s="231"/>
      <c r="AF1" s="232"/>
      <c r="AG1" s="271" t="s">
        <v>5</v>
      </c>
      <c r="AH1" s="271"/>
      <c r="AI1" s="271"/>
      <c r="AJ1" s="271"/>
      <c r="AK1" s="271"/>
      <c r="AL1" s="271"/>
      <c r="AM1" s="271"/>
      <c r="AN1" s="271"/>
      <c r="AO1" s="271"/>
      <c r="AP1" s="271"/>
      <c r="AQ1" s="1"/>
      <c r="AR1" s="2"/>
      <c r="AS1" s="251" t="s">
        <v>6</v>
      </c>
      <c r="AT1" s="252"/>
      <c r="AU1" s="252"/>
      <c r="AV1" s="252"/>
      <c r="AW1" s="257" t="s">
        <v>7</v>
      </c>
      <c r="AX1" s="258"/>
      <c r="AY1" s="258"/>
      <c r="AZ1" s="259"/>
      <c r="BA1" s="266" t="s">
        <v>8</v>
      </c>
    </row>
    <row r="2" spans="1:53" ht="23" x14ac:dyDescent="0.2">
      <c r="A2" s="211"/>
      <c r="B2" s="212"/>
      <c r="C2" s="212"/>
      <c r="D2" s="216"/>
      <c r="E2" s="216"/>
      <c r="F2" s="216"/>
      <c r="G2" s="216"/>
      <c r="H2" s="216"/>
      <c r="I2" s="216"/>
      <c r="J2" s="216"/>
      <c r="K2" s="216"/>
      <c r="L2" s="216"/>
      <c r="M2" s="216"/>
      <c r="N2" s="220"/>
      <c r="O2" s="220"/>
      <c r="P2" s="221"/>
      <c r="Q2" s="227"/>
      <c r="R2" s="228"/>
      <c r="S2" s="228"/>
      <c r="T2" s="228"/>
      <c r="U2" s="228"/>
      <c r="V2" s="228"/>
      <c r="W2" s="228"/>
      <c r="X2" s="228"/>
      <c r="Y2" s="229"/>
      <c r="Z2" s="233"/>
      <c r="AA2" s="234"/>
      <c r="AB2" s="234"/>
      <c r="AC2" s="234"/>
      <c r="AD2" s="234"/>
      <c r="AE2" s="234"/>
      <c r="AF2" s="235"/>
      <c r="AG2" s="272"/>
      <c r="AH2" s="272"/>
      <c r="AI2" s="272"/>
      <c r="AJ2" s="272"/>
      <c r="AK2" s="272"/>
      <c r="AL2" s="272"/>
      <c r="AM2" s="272"/>
      <c r="AN2" s="272"/>
      <c r="AO2" s="272"/>
      <c r="AP2" s="272"/>
      <c r="AQ2" s="3"/>
      <c r="AR2" s="4"/>
      <c r="AS2" s="253"/>
      <c r="AT2" s="254"/>
      <c r="AU2" s="254"/>
      <c r="AV2" s="254"/>
      <c r="AW2" s="260"/>
      <c r="AX2" s="261"/>
      <c r="AY2" s="261"/>
      <c r="AZ2" s="262"/>
      <c r="BA2" s="267"/>
    </row>
    <row r="3" spans="1:53" ht="21" thickBot="1" x14ac:dyDescent="0.25">
      <c r="A3" s="213"/>
      <c r="B3" s="214"/>
      <c r="C3" s="214"/>
      <c r="D3" s="217"/>
      <c r="E3" s="217"/>
      <c r="F3" s="217"/>
      <c r="G3" s="217"/>
      <c r="H3" s="217"/>
      <c r="I3" s="217"/>
      <c r="J3" s="217"/>
      <c r="K3" s="217"/>
      <c r="L3" s="217"/>
      <c r="M3" s="217"/>
      <c r="N3" s="222"/>
      <c r="O3" s="222"/>
      <c r="P3" s="223"/>
      <c r="Q3" s="227"/>
      <c r="R3" s="228"/>
      <c r="S3" s="228"/>
      <c r="T3" s="228"/>
      <c r="U3" s="228"/>
      <c r="V3" s="228"/>
      <c r="W3" s="228"/>
      <c r="X3" s="228"/>
      <c r="Y3" s="229"/>
      <c r="Z3" s="233"/>
      <c r="AA3" s="234"/>
      <c r="AB3" s="234"/>
      <c r="AC3" s="234"/>
      <c r="AD3" s="234"/>
      <c r="AE3" s="234"/>
      <c r="AF3" s="235"/>
      <c r="AG3" s="269" t="s">
        <v>9</v>
      </c>
      <c r="AH3" s="269"/>
      <c r="AI3" s="269"/>
      <c r="AJ3" s="269"/>
      <c r="AK3" s="270"/>
      <c r="AL3" s="5"/>
      <c r="AM3" s="269" t="s">
        <v>10</v>
      </c>
      <c r="AN3" s="269"/>
      <c r="AO3" s="269"/>
      <c r="AP3" s="270"/>
      <c r="AQ3" s="6"/>
      <c r="AR3" s="7"/>
      <c r="AS3" s="255"/>
      <c r="AT3" s="256"/>
      <c r="AU3" s="256"/>
      <c r="AV3" s="256"/>
      <c r="AW3" s="263"/>
      <c r="AX3" s="264"/>
      <c r="AY3" s="264"/>
      <c r="AZ3" s="265"/>
      <c r="BA3" s="268"/>
    </row>
    <row r="4" spans="1:53" x14ac:dyDescent="0.2">
      <c r="A4" s="236" t="s">
        <v>11</v>
      </c>
      <c r="B4" s="239" t="s">
        <v>12</v>
      </c>
      <c r="C4" s="239" t="s">
        <v>13</v>
      </c>
      <c r="D4" s="242" t="s">
        <v>14</v>
      </c>
      <c r="E4" s="243"/>
      <c r="F4" s="246" t="s">
        <v>15</v>
      </c>
      <c r="G4" s="243"/>
      <c r="H4" s="292" t="s">
        <v>16</v>
      </c>
      <c r="I4" s="293"/>
      <c r="J4" s="296" t="s">
        <v>17</v>
      </c>
      <c r="K4" s="299" t="s">
        <v>18</v>
      </c>
      <c r="L4" s="292" t="s">
        <v>19</v>
      </c>
      <c r="M4" s="303" t="s">
        <v>20</v>
      </c>
      <c r="N4" s="248" t="s">
        <v>21</v>
      </c>
      <c r="O4" s="248" t="s">
        <v>19</v>
      </c>
      <c r="P4" s="248" t="s">
        <v>20</v>
      </c>
      <c r="Q4" s="273" t="s">
        <v>22</v>
      </c>
      <c r="R4" s="276" t="s">
        <v>23</v>
      </c>
      <c r="S4" s="276"/>
      <c r="T4" s="277"/>
      <c r="U4" s="280" t="s">
        <v>24</v>
      </c>
      <c r="V4" s="280"/>
      <c r="W4" s="281"/>
      <c r="X4" s="353" t="s">
        <v>19</v>
      </c>
      <c r="Y4" s="330" t="s">
        <v>20</v>
      </c>
      <c r="Z4" s="333" t="s">
        <v>23</v>
      </c>
      <c r="AA4" s="334"/>
      <c r="AB4" s="335"/>
      <c r="AC4" s="339" t="s">
        <v>24</v>
      </c>
      <c r="AD4" s="339"/>
      <c r="AE4" s="339" t="s">
        <v>19</v>
      </c>
      <c r="AF4" s="342" t="s">
        <v>20</v>
      </c>
      <c r="AG4" s="351" t="s">
        <v>25</v>
      </c>
      <c r="AH4" s="318" t="s">
        <v>26</v>
      </c>
      <c r="AI4" s="321" t="s">
        <v>24</v>
      </c>
      <c r="AJ4" s="321"/>
      <c r="AK4" s="321"/>
      <c r="AL4" s="323" t="s">
        <v>27</v>
      </c>
      <c r="AM4" s="325" t="s">
        <v>25</v>
      </c>
      <c r="AN4" s="321" t="s">
        <v>24</v>
      </c>
      <c r="AO4" s="321"/>
      <c r="AP4" s="309"/>
      <c r="AQ4" s="327" t="s">
        <v>19</v>
      </c>
      <c r="AR4" s="309" t="s">
        <v>20</v>
      </c>
      <c r="AS4" s="312" t="s">
        <v>28</v>
      </c>
      <c r="AT4" s="315" t="s">
        <v>29</v>
      </c>
      <c r="AU4" s="315" t="s">
        <v>19</v>
      </c>
      <c r="AV4" s="315" t="s">
        <v>20</v>
      </c>
      <c r="AW4" s="348" t="s">
        <v>30</v>
      </c>
      <c r="AX4" s="284" t="s">
        <v>29</v>
      </c>
      <c r="AY4" s="284" t="s">
        <v>19</v>
      </c>
      <c r="AZ4" s="287" t="s">
        <v>20</v>
      </c>
      <c r="BA4" s="290" t="s">
        <v>31</v>
      </c>
    </row>
    <row r="5" spans="1:53" x14ac:dyDescent="0.2">
      <c r="A5" s="237"/>
      <c r="B5" s="240"/>
      <c r="C5" s="240"/>
      <c r="D5" s="244"/>
      <c r="E5" s="245"/>
      <c r="F5" s="247"/>
      <c r="G5" s="245"/>
      <c r="H5" s="294"/>
      <c r="I5" s="295"/>
      <c r="J5" s="297"/>
      <c r="K5" s="300"/>
      <c r="L5" s="294"/>
      <c r="M5" s="304"/>
      <c r="N5" s="249"/>
      <c r="O5" s="249"/>
      <c r="P5" s="249"/>
      <c r="Q5" s="274"/>
      <c r="R5" s="278"/>
      <c r="S5" s="278"/>
      <c r="T5" s="279"/>
      <c r="U5" s="282"/>
      <c r="V5" s="282"/>
      <c r="W5" s="283"/>
      <c r="X5" s="354"/>
      <c r="Y5" s="331"/>
      <c r="Z5" s="336"/>
      <c r="AA5" s="337"/>
      <c r="AB5" s="338"/>
      <c r="AC5" s="340"/>
      <c r="AD5" s="340"/>
      <c r="AE5" s="340"/>
      <c r="AF5" s="343"/>
      <c r="AG5" s="352"/>
      <c r="AH5" s="319"/>
      <c r="AI5" s="322"/>
      <c r="AJ5" s="322"/>
      <c r="AK5" s="322"/>
      <c r="AL5" s="324"/>
      <c r="AM5" s="326"/>
      <c r="AN5" s="322"/>
      <c r="AO5" s="322"/>
      <c r="AP5" s="310"/>
      <c r="AQ5" s="328"/>
      <c r="AR5" s="310"/>
      <c r="AS5" s="313"/>
      <c r="AT5" s="316"/>
      <c r="AU5" s="316"/>
      <c r="AV5" s="316"/>
      <c r="AW5" s="349"/>
      <c r="AX5" s="285"/>
      <c r="AY5" s="285"/>
      <c r="AZ5" s="288"/>
      <c r="BA5" s="290"/>
    </row>
    <row r="6" spans="1:53" ht="16" thickBot="1" x14ac:dyDescent="0.25">
      <c r="A6" s="238"/>
      <c r="B6" s="241"/>
      <c r="C6" s="241"/>
      <c r="D6" s="8" t="s">
        <v>32</v>
      </c>
      <c r="E6" s="9" t="s">
        <v>33</v>
      </c>
      <c r="F6" s="10" t="s">
        <v>32</v>
      </c>
      <c r="G6" s="9" t="s">
        <v>33</v>
      </c>
      <c r="H6" s="11" t="s">
        <v>32</v>
      </c>
      <c r="I6" s="12" t="s">
        <v>33</v>
      </c>
      <c r="J6" s="298"/>
      <c r="K6" s="301"/>
      <c r="L6" s="302"/>
      <c r="M6" s="305"/>
      <c r="N6" s="250"/>
      <c r="O6" s="250"/>
      <c r="P6" s="250"/>
      <c r="Q6" s="275"/>
      <c r="R6" s="13" t="s">
        <v>32</v>
      </c>
      <c r="S6" s="13" t="s">
        <v>34</v>
      </c>
      <c r="T6" s="14" t="s">
        <v>33</v>
      </c>
      <c r="U6" s="15" t="s">
        <v>32</v>
      </c>
      <c r="V6" s="15" t="s">
        <v>34</v>
      </c>
      <c r="W6" s="16" t="s">
        <v>33</v>
      </c>
      <c r="X6" s="355"/>
      <c r="Y6" s="332"/>
      <c r="Z6" s="17" t="s">
        <v>32</v>
      </c>
      <c r="AA6" s="18" t="s">
        <v>34</v>
      </c>
      <c r="AB6" s="19" t="s">
        <v>33</v>
      </c>
      <c r="AC6" s="20" t="s">
        <v>32</v>
      </c>
      <c r="AD6" s="20" t="s">
        <v>34</v>
      </c>
      <c r="AE6" s="341"/>
      <c r="AF6" s="344"/>
      <c r="AG6" s="21" t="s">
        <v>34</v>
      </c>
      <c r="AH6" s="320"/>
      <c r="AI6" s="22" t="s">
        <v>32</v>
      </c>
      <c r="AJ6" s="22" t="s">
        <v>34</v>
      </c>
      <c r="AK6" s="22" t="s">
        <v>33</v>
      </c>
      <c r="AL6" s="324"/>
      <c r="AM6" s="23" t="s">
        <v>33</v>
      </c>
      <c r="AN6" s="22" t="s">
        <v>32</v>
      </c>
      <c r="AO6" s="22" t="s">
        <v>34</v>
      </c>
      <c r="AP6" s="24" t="s">
        <v>33</v>
      </c>
      <c r="AQ6" s="329"/>
      <c r="AR6" s="311"/>
      <c r="AS6" s="314"/>
      <c r="AT6" s="317"/>
      <c r="AU6" s="317"/>
      <c r="AV6" s="317"/>
      <c r="AW6" s="350"/>
      <c r="AX6" s="286"/>
      <c r="AY6" s="286"/>
      <c r="AZ6" s="289"/>
      <c r="BA6" s="291"/>
    </row>
    <row r="7" spans="1:53" ht="16" thickBot="1" x14ac:dyDescent="0.25">
      <c r="A7" s="25">
        <v>0</v>
      </c>
      <c r="B7" s="26">
        <v>45041</v>
      </c>
      <c r="C7" s="27"/>
      <c r="D7" s="25"/>
      <c r="E7" s="28"/>
      <c r="F7" s="27"/>
      <c r="G7" s="28"/>
      <c r="H7" s="27"/>
      <c r="I7" s="28"/>
      <c r="J7" s="27">
        <v>0.8</v>
      </c>
      <c r="K7" s="29" t="s">
        <v>35</v>
      </c>
      <c r="L7" s="30" t="s">
        <v>36</v>
      </c>
      <c r="M7" s="153" t="s">
        <v>160</v>
      </c>
      <c r="N7" s="27"/>
      <c r="P7" s="32"/>
      <c r="Q7" s="25"/>
      <c r="R7" s="27"/>
      <c r="S7" s="27"/>
      <c r="T7" s="28"/>
      <c r="U7" s="27"/>
      <c r="V7" s="27"/>
      <c r="W7" s="28"/>
      <c r="X7" s="33"/>
      <c r="Y7" s="32"/>
      <c r="Z7" s="25"/>
      <c r="AA7" s="27"/>
      <c r="AB7" s="28"/>
      <c r="AC7" s="27"/>
      <c r="AD7" s="27"/>
      <c r="AE7" s="33"/>
      <c r="AG7" s="25"/>
      <c r="AH7" s="34"/>
      <c r="AI7" s="27"/>
      <c r="AJ7" s="27"/>
      <c r="AK7" s="27"/>
      <c r="AL7" s="25"/>
      <c r="AM7" s="35"/>
      <c r="AN7" s="27"/>
      <c r="AO7" s="27"/>
      <c r="AP7" s="36"/>
      <c r="AQ7" s="37"/>
      <c r="AR7" s="32"/>
      <c r="AS7" s="25"/>
      <c r="AT7" s="27"/>
      <c r="AU7" s="27"/>
      <c r="AW7" s="25"/>
      <c r="AX7" s="27"/>
      <c r="AY7" s="27"/>
      <c r="AZ7" s="32"/>
      <c r="BA7" s="38"/>
    </row>
    <row r="8" spans="1:53" ht="16" thickBot="1" x14ac:dyDescent="0.25">
      <c r="A8" s="25">
        <v>1</v>
      </c>
      <c r="B8" s="26">
        <v>45042</v>
      </c>
      <c r="C8" s="27" t="s">
        <v>140</v>
      </c>
      <c r="D8" s="25"/>
      <c r="E8" s="28"/>
      <c r="F8" s="27"/>
      <c r="G8" s="28"/>
      <c r="H8" s="27"/>
      <c r="I8" s="28"/>
      <c r="J8" s="27">
        <v>0.8</v>
      </c>
      <c r="K8" s="29" t="s">
        <v>35</v>
      </c>
      <c r="L8" s="39"/>
      <c r="M8" s="31"/>
      <c r="N8" s="27"/>
      <c r="P8" s="32"/>
      <c r="Q8" s="40"/>
      <c r="R8" s="27"/>
      <c r="S8" s="27"/>
      <c r="T8" s="28"/>
      <c r="U8" s="27"/>
      <c r="V8" s="27"/>
      <c r="W8" s="28"/>
      <c r="X8" s="33"/>
      <c r="Y8" s="32"/>
      <c r="Z8" s="25"/>
      <c r="AA8" s="27"/>
      <c r="AB8" s="28"/>
      <c r="AC8" s="27"/>
      <c r="AD8" s="27"/>
      <c r="AE8" s="33"/>
      <c r="AG8" s="25"/>
      <c r="AH8" s="34"/>
      <c r="AI8" s="27"/>
      <c r="AJ8" s="27"/>
      <c r="AK8" s="27"/>
      <c r="AL8" s="25"/>
      <c r="AM8" s="34"/>
      <c r="AN8" s="27"/>
      <c r="AO8" s="27"/>
      <c r="AP8" s="36"/>
      <c r="AQ8" s="37"/>
      <c r="AR8" s="32"/>
      <c r="AS8" s="25"/>
      <c r="AT8" s="27"/>
      <c r="AU8" s="27"/>
      <c r="AW8" s="25"/>
      <c r="AX8" s="27"/>
      <c r="AY8" s="27"/>
      <c r="AZ8" s="32"/>
      <c r="BA8" s="41"/>
    </row>
    <row r="9" spans="1:53" ht="16" thickBot="1" x14ac:dyDescent="0.25">
      <c r="A9" s="25">
        <v>2</v>
      </c>
      <c r="B9" s="26">
        <v>45043</v>
      </c>
      <c r="C9" s="27" t="s">
        <v>117</v>
      </c>
      <c r="D9" s="25"/>
      <c r="E9" s="28"/>
      <c r="F9" s="27"/>
      <c r="G9" s="28"/>
      <c r="H9" s="27"/>
      <c r="I9" s="28"/>
      <c r="J9" s="27">
        <v>0.8</v>
      </c>
      <c r="K9" s="29" t="s">
        <v>35</v>
      </c>
      <c r="L9" s="39"/>
      <c r="M9" s="31"/>
      <c r="N9" s="27"/>
      <c r="O9" s="42"/>
      <c r="Q9" s="43" t="s">
        <v>37</v>
      </c>
      <c r="R9" s="27"/>
      <c r="S9" s="27"/>
      <c r="T9" s="28"/>
      <c r="U9" s="27"/>
      <c r="V9" s="27"/>
      <c r="W9" s="28"/>
      <c r="X9" s="33"/>
      <c r="Y9" s="32"/>
      <c r="Z9" s="25"/>
      <c r="AA9" s="27"/>
      <c r="AB9" s="28"/>
      <c r="AC9" s="27"/>
      <c r="AD9" s="27"/>
      <c r="AE9" s="33"/>
      <c r="AG9" s="25"/>
      <c r="AH9" s="34"/>
      <c r="AI9" s="27"/>
      <c r="AJ9" s="27"/>
      <c r="AK9" s="27"/>
      <c r="AL9" s="25"/>
      <c r="AM9" s="34"/>
      <c r="AN9" s="27"/>
      <c r="AO9" s="27"/>
      <c r="AP9" s="36"/>
      <c r="AQ9" s="37"/>
      <c r="AR9" s="32"/>
      <c r="AS9" s="25"/>
      <c r="AT9" s="27"/>
      <c r="AU9" s="27"/>
      <c r="AW9" s="25"/>
      <c r="AX9" s="27"/>
      <c r="AY9" s="27"/>
      <c r="AZ9" s="32"/>
      <c r="BA9" s="41"/>
    </row>
    <row r="10" spans="1:53" ht="16" thickBot="1" x14ac:dyDescent="0.25">
      <c r="A10" s="25">
        <v>3</v>
      </c>
      <c r="B10" s="26">
        <v>45044</v>
      </c>
      <c r="C10" s="27" t="s">
        <v>117</v>
      </c>
      <c r="D10" s="25"/>
      <c r="E10" s="28"/>
      <c r="F10" s="27"/>
      <c r="G10" s="28"/>
      <c r="H10" s="27"/>
      <c r="I10" s="28"/>
      <c r="J10" s="27">
        <v>1.2</v>
      </c>
      <c r="K10" s="29" t="s">
        <v>35</v>
      </c>
      <c r="L10" s="44" t="s">
        <v>38</v>
      </c>
      <c r="M10" s="153" t="s">
        <v>161</v>
      </c>
      <c r="N10" s="27" t="s">
        <v>40</v>
      </c>
      <c r="O10" s="45" t="s">
        <v>41</v>
      </c>
      <c r="P10" s="46"/>
      <c r="Q10" s="25"/>
      <c r="R10" s="27"/>
      <c r="S10" s="27"/>
      <c r="T10" s="28"/>
      <c r="U10" s="27" t="s">
        <v>158</v>
      </c>
      <c r="V10" s="27"/>
      <c r="W10" s="28" t="s">
        <v>158</v>
      </c>
      <c r="X10" s="47" t="s">
        <v>43</v>
      </c>
      <c r="Y10" s="32" t="s">
        <v>44</v>
      </c>
      <c r="Z10" s="25"/>
      <c r="AA10" s="27"/>
      <c r="AB10" s="28"/>
      <c r="AC10" s="27" t="s">
        <v>158</v>
      </c>
      <c r="AD10" s="27"/>
      <c r="AE10" s="48" t="s">
        <v>45</v>
      </c>
      <c r="AG10" s="25"/>
      <c r="AH10" s="34"/>
      <c r="AI10" s="27"/>
      <c r="AJ10" s="27"/>
      <c r="AK10" s="27"/>
      <c r="AL10" s="25"/>
      <c r="AM10" s="34"/>
      <c r="AN10" s="27"/>
      <c r="AO10" s="27"/>
      <c r="AP10" s="36"/>
      <c r="AQ10" s="37"/>
      <c r="AR10" s="32"/>
      <c r="AS10" s="25"/>
      <c r="AT10" s="27"/>
      <c r="AU10" s="27"/>
      <c r="AW10" s="25"/>
      <c r="AX10" s="27"/>
      <c r="AY10" s="27"/>
      <c r="AZ10" s="32"/>
      <c r="BA10" s="41"/>
    </row>
    <row r="11" spans="1:53" x14ac:dyDescent="0.2">
      <c r="A11" s="25">
        <v>4</v>
      </c>
      <c r="B11" s="26">
        <v>45045</v>
      </c>
      <c r="C11" s="27"/>
      <c r="D11" s="25"/>
      <c r="E11" s="28"/>
      <c r="F11" s="27"/>
      <c r="G11" s="28"/>
      <c r="H11" s="27"/>
      <c r="I11" s="28"/>
      <c r="J11" s="27">
        <v>1.2</v>
      </c>
      <c r="K11" s="29" t="s">
        <v>35</v>
      </c>
      <c r="L11" s="39"/>
      <c r="M11" s="31"/>
      <c r="N11" s="27" t="s">
        <v>40</v>
      </c>
      <c r="O11" t="s">
        <v>46</v>
      </c>
      <c r="P11" s="32"/>
      <c r="Q11" s="25"/>
      <c r="R11" s="27"/>
      <c r="S11" s="27"/>
      <c r="T11" s="28"/>
      <c r="U11" s="27" t="s">
        <v>158</v>
      </c>
      <c r="V11" s="27"/>
      <c r="W11" s="28" t="s">
        <v>158</v>
      </c>
      <c r="X11" s="345" t="s">
        <v>47</v>
      </c>
      <c r="Y11" s="32"/>
      <c r="Z11" s="25"/>
      <c r="AA11" s="27"/>
      <c r="AB11" s="28"/>
      <c r="AC11" s="27" t="s">
        <v>158</v>
      </c>
      <c r="AD11" s="27"/>
      <c r="AE11" s="33"/>
      <c r="AG11" s="25"/>
      <c r="AH11" s="34"/>
      <c r="AI11" s="27"/>
      <c r="AJ11" s="27"/>
      <c r="AK11" s="27"/>
      <c r="AL11" s="25"/>
      <c r="AM11" s="34"/>
      <c r="AN11" s="27"/>
      <c r="AO11" s="27"/>
      <c r="AP11" s="36"/>
      <c r="AQ11" s="37"/>
      <c r="AR11" s="32"/>
      <c r="AS11" s="25"/>
      <c r="AT11" s="27"/>
      <c r="AU11" s="27"/>
      <c r="AW11" s="25"/>
      <c r="AX11" s="27"/>
      <c r="AY11" s="27"/>
      <c r="AZ11" s="32"/>
      <c r="BA11" s="41"/>
    </row>
    <row r="12" spans="1:53" x14ac:dyDescent="0.2">
      <c r="A12" s="25">
        <v>5</v>
      </c>
      <c r="B12" s="26">
        <v>45046</v>
      </c>
      <c r="C12" s="27" t="s">
        <v>117</v>
      </c>
      <c r="D12" s="25"/>
      <c r="E12" s="28"/>
      <c r="F12" s="27"/>
      <c r="G12" s="28"/>
      <c r="H12" s="27"/>
      <c r="I12" s="28"/>
      <c r="J12" s="27">
        <v>1.2</v>
      </c>
      <c r="K12" s="29" t="s">
        <v>35</v>
      </c>
      <c r="L12" s="39"/>
      <c r="M12" s="31"/>
      <c r="N12" s="27" t="s">
        <v>40</v>
      </c>
      <c r="P12" s="32"/>
      <c r="Q12" s="25"/>
      <c r="R12" s="27"/>
      <c r="S12" s="27"/>
      <c r="T12" s="28"/>
      <c r="U12" s="27" t="s">
        <v>158</v>
      </c>
      <c r="V12" s="27"/>
      <c r="W12" s="28" t="s">
        <v>158</v>
      </c>
      <c r="X12" s="346"/>
      <c r="Y12" s="32"/>
      <c r="Z12" s="25"/>
      <c r="AA12" s="27"/>
      <c r="AB12" s="28"/>
      <c r="AC12" s="27" t="s">
        <v>158</v>
      </c>
      <c r="AD12" s="27"/>
      <c r="AE12" s="33"/>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6</v>
      </c>
      <c r="B13" s="26">
        <v>45047</v>
      </c>
      <c r="C13" s="27" t="s">
        <v>117</v>
      </c>
      <c r="D13" s="25"/>
      <c r="E13" s="28"/>
      <c r="F13" s="27"/>
      <c r="G13" s="28"/>
      <c r="H13" s="27"/>
      <c r="I13" s="28"/>
      <c r="J13" s="27">
        <v>1.2</v>
      </c>
      <c r="K13" s="29" t="s">
        <v>35</v>
      </c>
      <c r="L13" s="39"/>
      <c r="M13" s="31"/>
      <c r="N13" s="27" t="s">
        <v>40</v>
      </c>
      <c r="P13" s="32"/>
      <c r="Q13" s="25"/>
      <c r="R13" s="27"/>
      <c r="S13" s="27"/>
      <c r="T13" s="28"/>
      <c r="U13" s="27" t="s">
        <v>158</v>
      </c>
      <c r="V13" s="27"/>
      <c r="W13" s="28" t="s">
        <v>158</v>
      </c>
      <c r="X13" s="346"/>
      <c r="Y13" s="32"/>
      <c r="Z13" s="25"/>
      <c r="AA13" s="27"/>
      <c r="AB13" s="28"/>
      <c r="AC13" s="27" t="s">
        <v>158</v>
      </c>
      <c r="AD13" s="27"/>
      <c r="AE13" s="33"/>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7</v>
      </c>
      <c r="B14" s="26">
        <v>45048</v>
      </c>
      <c r="C14" s="27" t="s">
        <v>117</v>
      </c>
      <c r="D14" s="25"/>
      <c r="E14" s="28"/>
      <c r="F14" s="27"/>
      <c r="G14" s="28"/>
      <c r="H14" s="27"/>
      <c r="I14" s="28"/>
      <c r="J14" s="27">
        <v>1.2</v>
      </c>
      <c r="K14" s="29" t="s">
        <v>35</v>
      </c>
      <c r="L14" s="39"/>
      <c r="M14" s="31"/>
      <c r="N14" s="27" t="s">
        <v>40</v>
      </c>
      <c r="P14" s="32"/>
      <c r="Q14" s="25"/>
      <c r="R14" s="27"/>
      <c r="S14" s="27"/>
      <c r="T14" s="28"/>
      <c r="U14" s="27" t="s">
        <v>158</v>
      </c>
      <c r="V14" s="27"/>
      <c r="W14" s="28" t="s">
        <v>158</v>
      </c>
      <c r="X14" s="346"/>
      <c r="Y14" s="32"/>
      <c r="Z14" s="25"/>
      <c r="AA14" s="27"/>
      <c r="AB14" s="28"/>
      <c r="AC14" s="27" t="s">
        <v>158</v>
      </c>
      <c r="AD14" s="27"/>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8</v>
      </c>
      <c r="B15" s="26">
        <v>45049</v>
      </c>
      <c r="C15" s="27" t="s">
        <v>140</v>
      </c>
      <c r="D15" s="25"/>
      <c r="E15" s="28"/>
      <c r="F15" s="27"/>
      <c r="G15" s="28"/>
      <c r="H15" s="27"/>
      <c r="I15" s="28"/>
      <c r="J15" s="27">
        <v>1.2</v>
      </c>
      <c r="K15" s="29" t="s">
        <v>35</v>
      </c>
      <c r="L15" s="39"/>
      <c r="M15" s="31"/>
      <c r="N15" s="27" t="s">
        <v>40</v>
      </c>
      <c r="P15" s="32"/>
      <c r="Q15" s="25"/>
      <c r="R15" s="27"/>
      <c r="S15" s="27"/>
      <c r="T15" s="28"/>
      <c r="U15" s="27" t="s">
        <v>158</v>
      </c>
      <c r="V15" s="27"/>
      <c r="W15" s="28" t="s">
        <v>158</v>
      </c>
      <c r="X15" s="346"/>
      <c r="Y15" s="32"/>
      <c r="Z15" s="25"/>
      <c r="AA15" s="27"/>
      <c r="AB15" s="28"/>
      <c r="AC15" s="27" t="s">
        <v>158</v>
      </c>
      <c r="AD15" s="27"/>
      <c r="AE15" s="33"/>
      <c r="AG15" s="25"/>
      <c r="AH15" s="34"/>
      <c r="AI15" s="27"/>
      <c r="AJ15" s="27"/>
      <c r="AK15" s="27"/>
      <c r="AL15" s="25"/>
      <c r="AM15" s="34"/>
      <c r="AN15" s="27"/>
      <c r="AO15" s="27"/>
      <c r="AP15" s="36"/>
      <c r="AQ15" s="37"/>
      <c r="AR15" s="32"/>
      <c r="AS15" s="25"/>
      <c r="AT15" s="27"/>
      <c r="AU15" s="27"/>
      <c r="AW15" s="25"/>
      <c r="AX15" s="27"/>
      <c r="AY15" s="27"/>
      <c r="AZ15" s="32"/>
      <c r="BA15" s="41"/>
    </row>
    <row r="16" spans="1:53" ht="16" thickBot="1" x14ac:dyDescent="0.25">
      <c r="A16" s="25">
        <v>9</v>
      </c>
      <c r="B16" s="26">
        <v>45050</v>
      </c>
      <c r="C16" s="27" t="s">
        <v>140</v>
      </c>
      <c r="D16" s="25"/>
      <c r="E16" s="28"/>
      <c r="F16" s="27"/>
      <c r="G16" s="28"/>
      <c r="H16" s="27"/>
      <c r="I16" s="28"/>
      <c r="J16" s="27">
        <v>1.2</v>
      </c>
      <c r="K16" s="29" t="s">
        <v>35</v>
      </c>
      <c r="L16" s="39"/>
      <c r="M16" s="31"/>
      <c r="N16" s="27" t="s">
        <v>40</v>
      </c>
      <c r="P16" s="32"/>
      <c r="Q16" s="25"/>
      <c r="R16" s="27"/>
      <c r="S16" s="27"/>
      <c r="T16" s="28"/>
      <c r="U16" s="27" t="s">
        <v>158</v>
      </c>
      <c r="V16" s="27"/>
      <c r="W16" s="28" t="s">
        <v>158</v>
      </c>
      <c r="X16" s="346"/>
      <c r="Y16" s="32"/>
      <c r="Z16" s="25"/>
      <c r="AA16" s="27"/>
      <c r="AB16" s="28"/>
      <c r="AC16" s="27" t="s">
        <v>158</v>
      </c>
      <c r="AD16" s="27"/>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10</v>
      </c>
      <c r="B17" s="26">
        <v>45051</v>
      </c>
      <c r="C17" s="27" t="s">
        <v>117</v>
      </c>
      <c r="D17" s="25"/>
      <c r="E17" s="28"/>
      <c r="F17" s="27"/>
      <c r="G17" s="28"/>
      <c r="H17" s="27"/>
      <c r="I17" s="28"/>
      <c r="J17" s="27">
        <v>1.2</v>
      </c>
      <c r="K17" s="29" t="s">
        <v>35</v>
      </c>
      <c r="L17" s="39"/>
      <c r="M17" s="153" t="s">
        <v>162</v>
      </c>
      <c r="N17" s="27" t="s">
        <v>40</v>
      </c>
      <c r="O17" s="49"/>
      <c r="P17" s="32"/>
      <c r="Q17" s="25"/>
      <c r="R17" s="27"/>
      <c r="S17" s="27"/>
      <c r="T17" s="28"/>
      <c r="U17" s="27" t="s">
        <v>158</v>
      </c>
      <c r="V17" s="27"/>
      <c r="W17" s="28" t="s">
        <v>158</v>
      </c>
      <c r="X17" s="346"/>
      <c r="Y17" s="32"/>
      <c r="Z17" s="25"/>
      <c r="AA17" s="27"/>
      <c r="AB17" s="28"/>
      <c r="AC17" s="27" t="s">
        <v>163</v>
      </c>
      <c r="AD17" s="27"/>
      <c r="AE17" s="50"/>
      <c r="AF17" s="51"/>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11</v>
      </c>
      <c r="B18" s="26">
        <v>45052</v>
      </c>
      <c r="C18" s="27" t="s">
        <v>117</v>
      </c>
      <c r="D18" s="25"/>
      <c r="E18" s="28"/>
      <c r="F18" s="27"/>
      <c r="G18" s="28"/>
      <c r="H18" s="27"/>
      <c r="I18" s="28"/>
      <c r="J18" s="27">
        <v>1.2</v>
      </c>
      <c r="K18" s="29" t="s">
        <v>35</v>
      </c>
      <c r="L18" s="52"/>
      <c r="M18" s="31"/>
      <c r="N18" s="27" t="s">
        <v>40</v>
      </c>
      <c r="P18" s="32"/>
      <c r="Q18" s="25"/>
      <c r="R18" s="27"/>
      <c r="S18" s="27"/>
      <c r="T18" s="28"/>
      <c r="U18" s="27" t="s">
        <v>158</v>
      </c>
      <c r="V18" s="27"/>
      <c r="W18" s="28" t="s">
        <v>158</v>
      </c>
      <c r="X18" s="347"/>
      <c r="Y18" s="32"/>
      <c r="Z18" s="25"/>
      <c r="AA18" s="27"/>
      <c r="AB18" s="28"/>
      <c r="AC18" s="27" t="s">
        <v>163</v>
      </c>
      <c r="AD18" s="27"/>
      <c r="AE18" s="33"/>
      <c r="AF18" s="46"/>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12</v>
      </c>
      <c r="B19" s="26">
        <v>45053</v>
      </c>
      <c r="C19" s="27"/>
      <c r="D19" s="25"/>
      <c r="E19" s="28"/>
      <c r="F19" s="27"/>
      <c r="G19" s="28"/>
      <c r="H19" s="27"/>
      <c r="I19" s="28"/>
      <c r="J19" s="27">
        <v>1.2</v>
      </c>
      <c r="K19" s="29" t="s">
        <v>35</v>
      </c>
      <c r="L19" s="53"/>
      <c r="M19" s="153" t="s">
        <v>164</v>
      </c>
      <c r="N19" s="27" t="s">
        <v>40</v>
      </c>
      <c r="P19" s="32"/>
      <c r="Q19" s="25"/>
      <c r="R19" s="27"/>
      <c r="S19" s="27"/>
      <c r="T19" s="28"/>
      <c r="U19" s="27">
        <v>1</v>
      </c>
      <c r="V19" s="27"/>
      <c r="W19" s="28">
        <v>1</v>
      </c>
      <c r="X19" s="54" t="s">
        <v>49</v>
      </c>
      <c r="Y19" s="32"/>
      <c r="Z19" s="25"/>
      <c r="AA19" s="27"/>
      <c r="AB19" s="28"/>
      <c r="AC19" s="27" t="s">
        <v>165</v>
      </c>
      <c r="AD19" s="27"/>
      <c r="AE19" s="33"/>
      <c r="AG19" s="25"/>
      <c r="AH19" s="34"/>
      <c r="AI19" s="27"/>
      <c r="AJ19" s="27"/>
      <c r="AK19" s="27"/>
      <c r="AL19" s="25"/>
      <c r="AM19" s="34"/>
      <c r="AN19" s="27"/>
      <c r="AO19" s="27"/>
      <c r="AP19" s="36"/>
      <c r="AQ19" s="37"/>
      <c r="AR19" s="32"/>
      <c r="AS19" s="25"/>
      <c r="AT19" s="27"/>
      <c r="AU19" s="27"/>
      <c r="AW19" s="25"/>
      <c r="AX19" s="27"/>
      <c r="AY19" s="27"/>
      <c r="AZ19" s="32"/>
      <c r="BA19" s="41"/>
    </row>
    <row r="20" spans="1:53" ht="16" thickBot="1" x14ac:dyDescent="0.25">
      <c r="A20" s="25">
        <v>13</v>
      </c>
      <c r="B20" s="26">
        <v>45054</v>
      </c>
      <c r="C20" s="27"/>
      <c r="D20" s="25"/>
      <c r="E20" s="28"/>
      <c r="F20" s="27"/>
      <c r="G20" s="28"/>
      <c r="H20" s="27"/>
      <c r="I20" s="28"/>
      <c r="J20" s="27">
        <v>1.2</v>
      </c>
      <c r="K20" s="29" t="s">
        <v>35</v>
      </c>
      <c r="L20" s="39"/>
      <c r="M20" s="31"/>
      <c r="N20" s="27" t="s">
        <v>40</v>
      </c>
      <c r="P20" s="32"/>
      <c r="Q20" s="25"/>
      <c r="R20" s="27"/>
      <c r="S20" s="27"/>
      <c r="T20" s="28"/>
      <c r="U20" s="27">
        <v>1</v>
      </c>
      <c r="V20" s="27"/>
      <c r="W20" s="28">
        <v>1</v>
      </c>
      <c r="X20" s="33">
        <v>1</v>
      </c>
      <c r="Y20" s="32"/>
      <c r="Z20" s="55"/>
      <c r="AA20" s="56"/>
      <c r="AB20" s="57"/>
      <c r="AC20" s="27" t="s">
        <v>165</v>
      </c>
      <c r="AD20" s="27"/>
      <c r="AE20" s="33"/>
      <c r="AG20" s="25"/>
      <c r="AH20" s="34"/>
      <c r="AI20" s="27"/>
      <c r="AJ20" s="27"/>
      <c r="AK20" s="27"/>
      <c r="AL20" s="25"/>
      <c r="AM20" s="34"/>
      <c r="AN20" s="27"/>
      <c r="AO20" s="27"/>
      <c r="AP20" s="36"/>
      <c r="AQ20" s="37"/>
      <c r="AR20" s="32"/>
      <c r="AS20" s="25" t="s">
        <v>51</v>
      </c>
      <c r="AT20" s="27" t="s">
        <v>52</v>
      </c>
      <c r="AU20" s="58" t="s">
        <v>53</v>
      </c>
      <c r="AW20" s="25"/>
      <c r="AX20" s="27"/>
      <c r="AY20" s="27"/>
      <c r="AZ20" s="32"/>
      <c r="BA20" s="41"/>
    </row>
    <row r="21" spans="1:53" ht="16" thickBot="1" x14ac:dyDescent="0.25">
      <c r="A21" s="25">
        <v>14</v>
      </c>
      <c r="B21" s="26">
        <v>45055</v>
      </c>
      <c r="C21" s="27" t="s">
        <v>117</v>
      </c>
      <c r="D21" s="25"/>
      <c r="E21" s="28"/>
      <c r="F21" s="27"/>
      <c r="G21" s="28"/>
      <c r="H21" s="27"/>
      <c r="I21" s="28"/>
      <c r="J21" s="27">
        <v>1.2</v>
      </c>
      <c r="K21" s="29" t="s">
        <v>35</v>
      </c>
      <c r="L21" s="39"/>
      <c r="M21" s="31"/>
      <c r="N21" s="27" t="s">
        <v>40</v>
      </c>
      <c r="P21" s="32"/>
      <c r="Q21" s="25"/>
      <c r="R21" s="27"/>
      <c r="S21" s="27"/>
      <c r="T21" s="28"/>
      <c r="U21" s="27">
        <v>1</v>
      </c>
      <c r="V21" s="27"/>
      <c r="W21" s="28">
        <v>1</v>
      </c>
      <c r="X21" s="33"/>
      <c r="Y21" s="32"/>
      <c r="Z21" s="59"/>
      <c r="AA21" s="60"/>
      <c r="AB21" s="61"/>
      <c r="AC21" s="27" t="s">
        <v>165</v>
      </c>
      <c r="AD21" s="27"/>
      <c r="AE21" s="33"/>
      <c r="AG21" s="25"/>
      <c r="AH21" s="34"/>
      <c r="AI21" s="27"/>
      <c r="AJ21" s="27"/>
      <c r="AK21" s="27"/>
      <c r="AL21" s="25"/>
      <c r="AM21" s="34"/>
      <c r="AN21" s="27"/>
      <c r="AO21" s="27"/>
      <c r="AP21" s="36"/>
      <c r="AQ21" s="37"/>
      <c r="AR21" s="32"/>
      <c r="AS21" s="25" t="s">
        <v>51</v>
      </c>
      <c r="AT21" s="27" t="s">
        <v>52</v>
      </c>
      <c r="AW21" s="25"/>
      <c r="AX21" s="27"/>
      <c r="AY21" s="27"/>
      <c r="AZ21" s="32"/>
      <c r="BA21" s="62"/>
    </row>
    <row r="22" spans="1:53" ht="16" thickBot="1" x14ac:dyDescent="0.25">
      <c r="A22" s="25">
        <v>15</v>
      </c>
      <c r="B22" s="26">
        <v>45056</v>
      </c>
      <c r="C22" s="27" t="s">
        <v>117</v>
      </c>
      <c r="D22" s="25"/>
      <c r="E22" s="28"/>
      <c r="F22" s="27"/>
      <c r="G22" s="28"/>
      <c r="H22" s="27"/>
      <c r="I22" s="28"/>
      <c r="J22" s="27">
        <v>1.2</v>
      </c>
      <c r="K22" s="29" t="s">
        <v>35</v>
      </c>
      <c r="L22" s="39"/>
      <c r="M22" s="31"/>
      <c r="N22" s="27" t="s">
        <v>40</v>
      </c>
      <c r="P22" s="32"/>
      <c r="Q22" s="25"/>
      <c r="R22" s="27"/>
      <c r="S22" s="27"/>
      <c r="T22" s="28"/>
      <c r="U22" s="27">
        <v>1</v>
      </c>
      <c r="V22" s="27"/>
      <c r="W22" s="28">
        <v>1</v>
      </c>
      <c r="X22" s="33"/>
      <c r="Y22" s="32"/>
      <c r="Z22" s="25"/>
      <c r="AA22" s="27"/>
      <c r="AB22" s="28"/>
      <c r="AC22" s="27" t="s">
        <v>165</v>
      </c>
      <c r="AD22" s="27"/>
      <c r="AE22" s="33"/>
      <c r="AG22" s="25"/>
      <c r="AH22" s="34"/>
      <c r="AI22" s="27"/>
      <c r="AJ22" s="27"/>
      <c r="AK22" s="27"/>
      <c r="AL22" s="25"/>
      <c r="AM22" s="34"/>
      <c r="AN22" s="27"/>
      <c r="AO22" s="27"/>
      <c r="AP22" s="36"/>
      <c r="AQ22" s="37"/>
      <c r="AR22" s="46"/>
      <c r="AS22" s="25" t="s">
        <v>57</v>
      </c>
      <c r="AT22" s="27" t="s">
        <v>52</v>
      </c>
      <c r="AU22" s="58" t="s">
        <v>58</v>
      </c>
      <c r="AW22" s="25"/>
      <c r="AX22" s="27"/>
      <c r="AY22" s="27"/>
      <c r="AZ22" s="32"/>
      <c r="BA22" s="41"/>
    </row>
    <row r="23" spans="1:53" ht="16" thickBot="1" x14ac:dyDescent="0.25">
      <c r="A23" s="25">
        <v>16</v>
      </c>
      <c r="B23" s="26">
        <v>45057</v>
      </c>
      <c r="C23" s="27" t="s">
        <v>140</v>
      </c>
      <c r="D23" s="25"/>
      <c r="E23" s="28"/>
      <c r="F23" s="27"/>
      <c r="G23" s="28"/>
      <c r="H23" s="27"/>
      <c r="I23" s="28"/>
      <c r="J23" s="27">
        <v>1.2</v>
      </c>
      <c r="K23" s="29" t="s">
        <v>35</v>
      </c>
      <c r="L23" s="44" t="s">
        <v>59</v>
      </c>
      <c r="M23" s="153" t="s">
        <v>166</v>
      </c>
      <c r="N23" s="27" t="s">
        <v>40</v>
      </c>
      <c r="P23" s="32"/>
      <c r="Q23" s="25"/>
      <c r="R23" s="27"/>
      <c r="S23" s="27"/>
      <c r="T23" s="28"/>
      <c r="U23" s="27">
        <v>1</v>
      </c>
      <c r="V23" s="27"/>
      <c r="W23" s="28">
        <v>1</v>
      </c>
      <c r="X23" s="63" t="s">
        <v>60</v>
      </c>
      <c r="Y23" s="46" t="s">
        <v>61</v>
      </c>
      <c r="AB23" s="28"/>
      <c r="AC23" s="27" t="s">
        <v>165</v>
      </c>
      <c r="AD23" s="27"/>
      <c r="AE23" s="33"/>
      <c r="AG23" s="25"/>
      <c r="AH23" s="34"/>
      <c r="AI23" s="27"/>
      <c r="AJ23" s="27"/>
      <c r="AK23" s="27"/>
      <c r="AL23" s="25"/>
      <c r="AM23" s="34"/>
      <c r="AN23" s="27"/>
      <c r="AO23" s="27"/>
      <c r="AP23" s="36"/>
      <c r="AQ23" s="64"/>
      <c r="AR23" s="65"/>
      <c r="AS23" s="25" t="s">
        <v>57</v>
      </c>
      <c r="AT23" s="27" t="s">
        <v>52</v>
      </c>
      <c r="AU23" s="27"/>
      <c r="AW23" s="25"/>
      <c r="AX23" s="27"/>
      <c r="AY23" s="27"/>
      <c r="AZ23" s="32"/>
      <c r="BA23" s="41"/>
    </row>
    <row r="24" spans="1:53" x14ac:dyDescent="0.2">
      <c r="A24" s="25">
        <v>17</v>
      </c>
      <c r="B24" s="26">
        <v>45058</v>
      </c>
      <c r="C24" s="27" t="s">
        <v>117</v>
      </c>
      <c r="D24" s="25"/>
      <c r="E24" s="28"/>
      <c r="F24" s="27"/>
      <c r="G24" s="28"/>
      <c r="H24" s="27"/>
      <c r="I24" s="28"/>
      <c r="J24" s="27">
        <v>1.2</v>
      </c>
      <c r="K24" s="29" t="s">
        <v>35</v>
      </c>
      <c r="L24" s="39"/>
      <c r="M24" s="31"/>
      <c r="N24" s="27" t="s">
        <v>40</v>
      </c>
      <c r="P24" s="32"/>
      <c r="Q24" s="25"/>
      <c r="R24" s="27"/>
      <c r="S24" s="27"/>
      <c r="T24" s="28"/>
      <c r="U24" s="27">
        <v>1</v>
      </c>
      <c r="V24" s="27"/>
      <c r="W24" s="28">
        <v>1</v>
      </c>
      <c r="X24" s="33"/>
      <c r="Y24" s="32"/>
      <c r="Z24" s="25"/>
      <c r="AA24" s="27"/>
      <c r="AB24" s="28"/>
      <c r="AC24" s="27" t="s">
        <v>165</v>
      </c>
      <c r="AD24" s="27"/>
      <c r="AE24" s="33"/>
      <c r="AG24" s="25"/>
      <c r="AH24" s="34"/>
      <c r="AI24" s="27"/>
      <c r="AJ24" s="27"/>
      <c r="AK24" s="27"/>
      <c r="AL24" s="25"/>
      <c r="AM24" s="34"/>
      <c r="AN24" s="27"/>
      <c r="AO24" s="27"/>
      <c r="AP24" s="36"/>
      <c r="AQ24" s="37"/>
      <c r="AR24" s="32"/>
      <c r="AS24" s="25" t="s">
        <v>57</v>
      </c>
      <c r="AT24" s="27" t="s">
        <v>52</v>
      </c>
      <c r="AU24" s="27"/>
      <c r="AW24" s="25"/>
      <c r="AX24" s="27"/>
      <c r="AY24" s="27"/>
      <c r="AZ24" s="32"/>
      <c r="BA24" s="41"/>
    </row>
    <row r="25" spans="1:53" ht="16" thickBot="1" x14ac:dyDescent="0.25">
      <c r="A25" s="25">
        <v>18</v>
      </c>
      <c r="B25" s="26">
        <v>45059</v>
      </c>
      <c r="C25" s="27"/>
      <c r="D25" s="25"/>
      <c r="E25" s="28"/>
      <c r="F25" s="27"/>
      <c r="G25" s="28"/>
      <c r="H25" s="27"/>
      <c r="I25" s="28"/>
      <c r="J25" s="27">
        <v>1.2</v>
      </c>
      <c r="K25" s="29" t="s">
        <v>35</v>
      </c>
      <c r="L25" s="39"/>
      <c r="M25" s="31"/>
      <c r="N25" s="27" t="s">
        <v>40</v>
      </c>
      <c r="P25" s="66"/>
      <c r="Q25" s="25"/>
      <c r="R25" s="27"/>
      <c r="S25" s="27"/>
      <c r="T25" s="28"/>
      <c r="U25" s="27">
        <v>1</v>
      </c>
      <c r="V25" s="27"/>
      <c r="W25" s="28">
        <v>1</v>
      </c>
      <c r="X25" s="33" t="s">
        <v>62</v>
      </c>
      <c r="Y25" s="32"/>
      <c r="Z25" s="25"/>
      <c r="AA25" s="27"/>
      <c r="AB25" s="28"/>
      <c r="AC25" s="27" t="s">
        <v>165</v>
      </c>
      <c r="AD25" s="27"/>
      <c r="AE25" s="33"/>
      <c r="AG25" s="25"/>
      <c r="AH25" s="34"/>
      <c r="AI25" s="27"/>
      <c r="AJ25" s="27"/>
      <c r="AK25" s="27"/>
      <c r="AL25" s="25"/>
      <c r="AM25" s="34"/>
      <c r="AN25" s="27"/>
      <c r="AO25" s="27"/>
      <c r="AP25" s="36"/>
      <c r="AQ25" s="67" t="s">
        <v>63</v>
      </c>
      <c r="AR25" s="46" t="s">
        <v>64</v>
      </c>
      <c r="AS25" s="25" t="s">
        <v>57</v>
      </c>
      <c r="AT25" s="27" t="s">
        <v>52</v>
      </c>
      <c r="AW25" s="25"/>
      <c r="AX25" s="27"/>
      <c r="AY25" s="27"/>
      <c r="AZ25" s="32"/>
      <c r="BA25" s="41"/>
    </row>
    <row r="26" spans="1:53" ht="16" thickBot="1" x14ac:dyDescent="0.25">
      <c r="A26" s="25">
        <v>19</v>
      </c>
      <c r="B26" s="26">
        <v>45060</v>
      </c>
      <c r="C26" s="27" t="s">
        <v>117</v>
      </c>
      <c r="D26" s="25"/>
      <c r="E26" s="28"/>
      <c r="F26" s="27"/>
      <c r="G26" s="28"/>
      <c r="H26" s="27"/>
      <c r="I26" s="28"/>
      <c r="J26" s="27">
        <v>1.2</v>
      </c>
      <c r="K26" s="29" t="s">
        <v>35</v>
      </c>
      <c r="L26" s="39"/>
      <c r="M26" s="31"/>
      <c r="N26" s="27" t="s">
        <v>40</v>
      </c>
      <c r="P26" s="32"/>
      <c r="Q26" s="25"/>
      <c r="R26" s="27"/>
      <c r="S26" s="27"/>
      <c r="T26" s="28"/>
      <c r="U26" s="27"/>
      <c r="V26" s="27"/>
      <c r="W26" s="28"/>
      <c r="X26" s="33"/>
      <c r="Y26" s="32"/>
      <c r="Z26" s="25"/>
      <c r="AA26" s="27"/>
      <c r="AB26" s="28"/>
      <c r="AC26" s="27" t="s">
        <v>165</v>
      </c>
      <c r="AD26" s="27"/>
      <c r="AE26" s="33"/>
      <c r="AG26" s="25"/>
      <c r="AH26" s="34"/>
      <c r="AI26" s="27"/>
      <c r="AJ26" s="27"/>
      <c r="AK26" s="27"/>
      <c r="AL26" s="25"/>
      <c r="AM26" s="34"/>
      <c r="AN26" s="27"/>
      <c r="AO26" s="27"/>
      <c r="AP26" s="36"/>
      <c r="AQ26" s="68" t="s">
        <v>65</v>
      </c>
      <c r="AR26" s="32" t="s">
        <v>64</v>
      </c>
      <c r="AS26" s="25" t="s">
        <v>57</v>
      </c>
      <c r="AT26" s="27" t="s">
        <v>52</v>
      </c>
      <c r="AU26" s="27"/>
      <c r="AW26" s="25"/>
      <c r="AX26" s="27"/>
      <c r="AY26" s="27"/>
      <c r="AZ26" s="32"/>
      <c r="BA26" s="62"/>
    </row>
    <row r="27" spans="1:53" x14ac:dyDescent="0.2">
      <c r="A27" s="25">
        <v>20</v>
      </c>
      <c r="B27" s="26">
        <v>45061</v>
      </c>
      <c r="C27" s="27" t="s">
        <v>117</v>
      </c>
      <c r="D27" s="25"/>
      <c r="E27" s="28"/>
      <c r="F27" s="27"/>
      <c r="G27" s="28"/>
      <c r="H27" s="27"/>
      <c r="I27" s="28"/>
      <c r="J27" s="27">
        <v>1.2</v>
      </c>
      <c r="K27" s="29" t="s">
        <v>35</v>
      </c>
      <c r="L27" s="39"/>
      <c r="M27" s="153" t="s">
        <v>167</v>
      </c>
      <c r="N27" s="27" t="s">
        <v>40</v>
      </c>
      <c r="O27" s="306" t="s">
        <v>66</v>
      </c>
      <c r="P27" s="32"/>
      <c r="Q27" s="25"/>
      <c r="R27" s="27"/>
      <c r="S27" s="27"/>
      <c r="T27" s="28"/>
      <c r="U27" s="27"/>
      <c r="V27" s="27"/>
      <c r="W27" s="28"/>
      <c r="X27" s="33"/>
      <c r="Y27" s="32"/>
      <c r="Z27" s="25"/>
      <c r="AA27" s="27"/>
      <c r="AB27" s="28"/>
      <c r="AC27" s="27" t="s">
        <v>165</v>
      </c>
      <c r="AD27" s="27"/>
      <c r="AE27" s="33"/>
      <c r="AG27" s="25"/>
      <c r="AH27" s="34"/>
      <c r="AI27" s="27"/>
      <c r="AJ27" s="27"/>
      <c r="AK27" s="27"/>
      <c r="AL27" s="25"/>
      <c r="AM27" s="34"/>
      <c r="AN27" s="27"/>
      <c r="AO27" s="27"/>
      <c r="AP27" s="36"/>
      <c r="AQ27" s="37"/>
      <c r="AR27" s="32"/>
      <c r="AS27" s="25" t="s">
        <v>57</v>
      </c>
      <c r="AT27" s="27" t="s">
        <v>52</v>
      </c>
      <c r="AU27" s="27"/>
      <c r="AW27" s="25"/>
      <c r="AX27" s="27"/>
      <c r="AY27" s="27"/>
      <c r="AZ27" s="32"/>
      <c r="BA27" s="41"/>
    </row>
    <row r="28" spans="1:53" ht="16" thickBot="1" x14ac:dyDescent="0.25">
      <c r="A28" s="70">
        <v>21</v>
      </c>
      <c r="B28" s="26">
        <v>45062</v>
      </c>
      <c r="C28" s="71" t="s">
        <v>117</v>
      </c>
      <c r="D28" s="70"/>
      <c r="E28" s="72"/>
      <c r="F28" s="71"/>
      <c r="G28" s="72"/>
      <c r="H28" s="71"/>
      <c r="I28" s="72"/>
      <c r="J28" s="27">
        <v>1.2</v>
      </c>
      <c r="K28" s="29" t="s">
        <v>35</v>
      </c>
      <c r="L28" s="39"/>
      <c r="M28" s="73"/>
      <c r="N28" s="27" t="s">
        <v>40</v>
      </c>
      <c r="O28" s="307"/>
      <c r="P28" s="74"/>
      <c r="Q28" s="70"/>
      <c r="R28" s="71"/>
      <c r="S28" s="71"/>
      <c r="T28" s="72"/>
      <c r="U28" s="71"/>
      <c r="V28" s="71"/>
      <c r="W28" s="72"/>
      <c r="X28" s="33"/>
      <c r="Y28" s="75"/>
      <c r="Z28" s="70"/>
      <c r="AA28" s="71"/>
      <c r="AB28" s="72"/>
      <c r="AC28" s="27" t="s">
        <v>165</v>
      </c>
      <c r="AD28" s="71"/>
      <c r="AE28" s="33"/>
      <c r="AF28" s="76"/>
      <c r="AG28" s="70"/>
      <c r="AH28" s="77"/>
      <c r="AI28" s="71"/>
      <c r="AJ28" s="71"/>
      <c r="AK28" s="71"/>
      <c r="AL28" s="70"/>
      <c r="AM28" s="77"/>
      <c r="AN28" s="27"/>
      <c r="AO28" s="71"/>
      <c r="AP28" s="78"/>
      <c r="AQ28" s="37"/>
      <c r="AR28" s="75"/>
      <c r="AS28" s="70" t="s">
        <v>57</v>
      </c>
      <c r="AT28" s="27" t="s">
        <v>52</v>
      </c>
      <c r="AU28" s="71"/>
      <c r="AV28" s="76"/>
      <c r="AW28" s="70"/>
      <c r="AX28" s="71"/>
      <c r="AY28" s="71"/>
      <c r="AZ28" s="75"/>
      <c r="BA28" s="79"/>
    </row>
    <row r="29" spans="1:53" ht="16" thickBot="1" x14ac:dyDescent="0.25">
      <c r="A29" s="25">
        <v>22</v>
      </c>
      <c r="B29" s="26">
        <v>45063</v>
      </c>
      <c r="C29" s="27" t="s">
        <v>117</v>
      </c>
      <c r="D29" s="25"/>
      <c r="E29" s="28"/>
      <c r="F29" s="27"/>
      <c r="G29" s="28"/>
      <c r="H29" s="27"/>
      <c r="I29" s="28"/>
      <c r="J29" s="27">
        <v>1.2</v>
      </c>
      <c r="K29" s="29" t="s">
        <v>35</v>
      </c>
      <c r="L29" s="39"/>
      <c r="M29" s="69"/>
      <c r="N29" s="27" t="s">
        <v>40</v>
      </c>
      <c r="O29" s="307"/>
      <c r="P29" s="46" t="s">
        <v>67</v>
      </c>
      <c r="Q29" s="43"/>
      <c r="R29" s="27"/>
      <c r="S29" s="27"/>
      <c r="T29" s="28"/>
      <c r="U29" s="27" t="s">
        <v>179</v>
      </c>
      <c r="V29" s="27"/>
      <c r="W29" s="28"/>
      <c r="X29" s="33"/>
      <c r="Y29" s="32"/>
      <c r="Z29" s="60"/>
      <c r="AA29" s="60"/>
      <c r="AB29" s="61"/>
      <c r="AC29" s="27" t="s">
        <v>165</v>
      </c>
      <c r="AD29" s="27"/>
      <c r="AE29" s="33"/>
      <c r="AG29" s="25"/>
      <c r="AH29" s="34"/>
      <c r="AI29" s="27">
        <v>2.5000000000000001E-2</v>
      </c>
      <c r="AJ29" s="27"/>
      <c r="AK29" s="36"/>
      <c r="AL29" s="25"/>
      <c r="AM29" s="34"/>
      <c r="AQ29" s="37"/>
      <c r="AR29" s="32"/>
      <c r="AS29" s="25" t="s">
        <v>57</v>
      </c>
      <c r="AT29" s="27" t="s">
        <v>52</v>
      </c>
      <c r="AU29" s="27"/>
      <c r="AW29" s="25"/>
      <c r="AX29" s="27"/>
      <c r="AY29" s="27"/>
      <c r="AZ29" s="32"/>
      <c r="BA29" s="80" t="s">
        <v>68</v>
      </c>
    </row>
    <row r="30" spans="1:53" ht="16" thickBot="1" x14ac:dyDescent="0.25">
      <c r="A30" s="25">
        <v>23</v>
      </c>
      <c r="B30" s="26">
        <v>45064</v>
      </c>
      <c r="C30" s="27" t="s">
        <v>117</v>
      </c>
      <c r="D30" s="25"/>
      <c r="E30" s="28"/>
      <c r="F30" s="27"/>
      <c r="G30" s="28"/>
      <c r="H30" s="27"/>
      <c r="I30" s="28"/>
      <c r="J30" s="27">
        <v>1.2</v>
      </c>
      <c r="K30" s="29" t="s">
        <v>35</v>
      </c>
      <c r="L30" s="39"/>
      <c r="M30" s="153" t="s">
        <v>168</v>
      </c>
      <c r="N30" s="27" t="s">
        <v>40</v>
      </c>
      <c r="O30" s="307"/>
      <c r="P30" s="32" t="s">
        <v>69</v>
      </c>
      <c r="Q30" s="25"/>
      <c r="R30" s="27"/>
      <c r="S30" s="27"/>
      <c r="T30" s="28"/>
      <c r="U30" s="27"/>
      <c r="V30" s="27"/>
      <c r="W30" s="28"/>
      <c r="X30" s="33"/>
      <c r="Y30" s="32"/>
      <c r="Z30" s="25"/>
      <c r="AA30" s="27"/>
      <c r="AB30" s="28"/>
      <c r="AC30" s="27" t="s">
        <v>165</v>
      </c>
      <c r="AD30" s="27"/>
      <c r="AE30" s="33"/>
      <c r="AG30" s="25"/>
      <c r="AH30" s="34"/>
      <c r="AI30" s="27">
        <v>2.5000000000000001E-2</v>
      </c>
      <c r="AJ30" s="27"/>
      <c r="AK30" s="36"/>
      <c r="AL30" s="25"/>
      <c r="AM30" s="34"/>
      <c r="AQ30" s="37"/>
      <c r="AR30" s="32"/>
      <c r="AS30" s="25" t="s">
        <v>57</v>
      </c>
      <c r="AT30" s="27" t="s">
        <v>52</v>
      </c>
      <c r="AU30" s="58" t="s">
        <v>70</v>
      </c>
      <c r="AW30" s="25"/>
      <c r="AX30" s="27"/>
      <c r="AY30" s="27"/>
      <c r="AZ30" s="32"/>
      <c r="BA30" s="41">
        <v>3</v>
      </c>
    </row>
    <row r="31" spans="1:53" ht="16" thickBot="1" x14ac:dyDescent="0.25">
      <c r="A31" s="25">
        <v>24</v>
      </c>
      <c r="B31" s="26">
        <v>45065</v>
      </c>
      <c r="C31" s="27" t="s">
        <v>117</v>
      </c>
      <c r="D31" s="25"/>
      <c r="E31" s="28"/>
      <c r="F31" s="27"/>
      <c r="G31" s="28"/>
      <c r="H31" s="27"/>
      <c r="I31" s="28"/>
      <c r="J31" s="27">
        <v>1.2</v>
      </c>
      <c r="K31" s="29" t="s">
        <v>35</v>
      </c>
      <c r="L31" s="44" t="s">
        <v>71</v>
      </c>
      <c r="M31" s="153" t="s">
        <v>169</v>
      </c>
      <c r="N31" s="27" t="s">
        <v>40</v>
      </c>
      <c r="O31" s="307"/>
      <c r="P31" s="32"/>
      <c r="Q31" s="25"/>
      <c r="R31" s="27"/>
      <c r="S31" s="27"/>
      <c r="T31" s="28"/>
      <c r="U31" s="27"/>
      <c r="V31" s="27"/>
      <c r="W31" s="28"/>
      <c r="X31" s="33"/>
      <c r="Y31" s="32"/>
      <c r="Z31" s="25"/>
      <c r="AA31" s="27"/>
      <c r="AB31" s="28"/>
      <c r="AC31" s="27" t="s">
        <v>165</v>
      </c>
      <c r="AD31" s="27"/>
      <c r="AE31" s="50"/>
      <c r="AF31" s="46"/>
      <c r="AG31" s="25"/>
      <c r="AH31" s="34"/>
      <c r="AI31" s="27"/>
      <c r="AJ31" s="27"/>
      <c r="AK31" s="36"/>
      <c r="AL31" s="25"/>
      <c r="AM31" s="34"/>
      <c r="AQ31" s="37"/>
      <c r="AR31" s="46"/>
      <c r="AS31" s="25" t="s">
        <v>72</v>
      </c>
      <c r="AT31" s="27" t="s">
        <v>52</v>
      </c>
      <c r="AU31" s="58" t="s">
        <v>73</v>
      </c>
      <c r="AW31" s="25"/>
      <c r="AX31" s="27"/>
      <c r="AY31" s="27"/>
      <c r="AZ31" s="32"/>
      <c r="BA31" s="41">
        <v>0</v>
      </c>
    </row>
    <row r="32" spans="1:53" ht="16" thickBot="1" x14ac:dyDescent="0.25">
      <c r="A32" s="25">
        <v>25</v>
      </c>
      <c r="B32" s="26">
        <v>45066</v>
      </c>
      <c r="C32" s="27" t="s">
        <v>117</v>
      </c>
      <c r="D32" s="25"/>
      <c r="E32" s="28"/>
      <c r="F32" s="27"/>
      <c r="G32" s="28"/>
      <c r="H32" s="27"/>
      <c r="I32" s="28"/>
      <c r="J32" s="27">
        <v>1.2</v>
      </c>
      <c r="K32" s="29" t="s">
        <v>35</v>
      </c>
      <c r="L32" s="39"/>
      <c r="M32" s="153" t="s">
        <v>170</v>
      </c>
      <c r="N32" s="27" t="s">
        <v>40</v>
      </c>
      <c r="O32" s="307"/>
      <c r="P32" s="81" t="s">
        <v>74</v>
      </c>
      <c r="Q32" s="43"/>
      <c r="R32" s="27"/>
      <c r="S32" s="27"/>
      <c r="T32" s="28"/>
      <c r="U32" s="27"/>
      <c r="V32" s="27"/>
      <c r="W32" s="28"/>
      <c r="X32" s="33"/>
      <c r="Y32" s="32"/>
      <c r="Z32" s="27"/>
      <c r="AA32" s="27"/>
      <c r="AB32" s="28"/>
      <c r="AC32" s="27"/>
      <c r="AD32" s="27"/>
      <c r="AE32" s="33"/>
      <c r="AG32" s="25"/>
      <c r="AH32" s="34"/>
      <c r="AI32" s="27">
        <v>2.5000000000000001E-2</v>
      </c>
      <c r="AJ32" s="27"/>
      <c r="AK32" s="36"/>
      <c r="AL32" s="25"/>
      <c r="AM32" s="34"/>
      <c r="AQ32" s="37"/>
      <c r="AR32" s="32" t="s">
        <v>64</v>
      </c>
      <c r="AS32" s="25" t="s">
        <v>72</v>
      </c>
      <c r="AT32" s="27" t="s">
        <v>52</v>
      </c>
      <c r="AW32" s="25"/>
      <c r="AX32" s="27"/>
      <c r="AY32" s="27"/>
      <c r="AZ32" s="32"/>
      <c r="BA32" s="41">
        <v>0</v>
      </c>
    </row>
    <row r="33" spans="1:53" ht="16" thickBot="1" x14ac:dyDescent="0.25">
      <c r="A33" s="25">
        <v>26</v>
      </c>
      <c r="B33" s="26">
        <v>45067</v>
      </c>
      <c r="C33" s="27" t="s">
        <v>117</v>
      </c>
      <c r="D33" s="25"/>
      <c r="E33" s="28"/>
      <c r="F33" s="27"/>
      <c r="G33" s="28"/>
      <c r="H33" s="27"/>
      <c r="I33" s="28"/>
      <c r="J33" s="27">
        <v>1.2</v>
      </c>
      <c r="K33" s="29" t="s">
        <v>35</v>
      </c>
      <c r="L33" s="39"/>
      <c r="M33" s="153" t="s">
        <v>171</v>
      </c>
      <c r="N33" s="27" t="s">
        <v>40</v>
      </c>
      <c r="O33" s="307"/>
      <c r="P33" s="32"/>
      <c r="Q33" s="25"/>
      <c r="R33" s="27"/>
      <c r="S33" s="27"/>
      <c r="T33" s="28"/>
      <c r="U33" s="27"/>
      <c r="V33" s="27"/>
      <c r="W33" s="28"/>
      <c r="X33" s="33"/>
      <c r="Y33" s="32"/>
      <c r="Z33" s="25"/>
      <c r="AA33" s="27"/>
      <c r="AB33" s="28"/>
      <c r="AC33" s="27"/>
      <c r="AD33" s="27"/>
      <c r="AE33" s="33"/>
      <c r="AG33" s="25"/>
      <c r="AH33" s="34"/>
      <c r="AI33" s="27">
        <v>2.5000000000000001E-2</v>
      </c>
      <c r="AJ33" s="27"/>
      <c r="AK33" s="36"/>
      <c r="AL33" s="25"/>
      <c r="AM33" s="34"/>
      <c r="AQ33" s="37"/>
      <c r="AR33" s="32" t="s">
        <v>64</v>
      </c>
      <c r="AS33" s="25" t="s">
        <v>72</v>
      </c>
      <c r="AT33" s="27" t="s">
        <v>52</v>
      </c>
      <c r="AW33" s="25"/>
      <c r="AX33" s="27"/>
      <c r="AY33" s="27"/>
      <c r="AZ33" s="32"/>
      <c r="BA33" s="41">
        <v>0</v>
      </c>
    </row>
    <row r="34" spans="1:53" ht="16" thickBot="1" x14ac:dyDescent="0.25">
      <c r="A34" s="25">
        <v>27</v>
      </c>
      <c r="B34" s="26">
        <v>45068</v>
      </c>
      <c r="C34" s="27" t="s">
        <v>117</v>
      </c>
      <c r="D34" s="25"/>
      <c r="E34" s="28"/>
      <c r="F34" s="27"/>
      <c r="G34" s="28"/>
      <c r="H34" s="27"/>
      <c r="I34" s="28"/>
      <c r="J34" s="27">
        <v>1.2</v>
      </c>
      <c r="K34" s="29" t="s">
        <v>35</v>
      </c>
      <c r="L34" s="39"/>
      <c r="M34" s="31"/>
      <c r="N34" s="27" t="s">
        <v>40</v>
      </c>
      <c r="O34" s="307"/>
      <c r="P34" s="32"/>
      <c r="Q34" s="25"/>
      <c r="R34" s="27"/>
      <c r="S34" s="27"/>
      <c r="T34" s="28"/>
      <c r="U34" s="27"/>
      <c r="V34" s="27"/>
      <c r="W34" s="28"/>
      <c r="X34" s="33"/>
      <c r="Y34" s="32"/>
      <c r="Z34" s="25"/>
      <c r="AA34" s="27"/>
      <c r="AB34" s="28"/>
      <c r="AC34" s="27"/>
      <c r="AD34" s="27"/>
      <c r="AE34" s="33"/>
      <c r="AG34" s="25"/>
      <c r="AH34" s="34"/>
      <c r="AI34" s="27">
        <v>2.5000000000000001E-2</v>
      </c>
      <c r="AJ34" s="27">
        <v>2.5000000000000001E-2</v>
      </c>
      <c r="AK34" s="36"/>
      <c r="AL34" s="25"/>
      <c r="AM34" s="34"/>
      <c r="AQ34" s="82"/>
      <c r="AR34" s="32" t="s">
        <v>75</v>
      </c>
      <c r="AS34" s="25" t="s">
        <v>72</v>
      </c>
      <c r="AT34" s="27" t="s">
        <v>52</v>
      </c>
      <c r="AU34" s="27"/>
      <c r="AW34" s="25"/>
      <c r="AX34" s="27"/>
      <c r="AY34" s="27"/>
      <c r="AZ34" s="32"/>
      <c r="BA34" s="41">
        <v>4</v>
      </c>
    </row>
    <row r="35" spans="1:53" x14ac:dyDescent="0.2">
      <c r="A35" s="25">
        <v>28</v>
      </c>
      <c r="B35" s="26">
        <v>45069</v>
      </c>
      <c r="C35" s="27" t="s">
        <v>117</v>
      </c>
      <c r="D35" s="25"/>
      <c r="E35" s="28" t="s">
        <v>181</v>
      </c>
      <c r="F35" s="27"/>
      <c r="G35" s="28"/>
      <c r="H35" s="27"/>
      <c r="I35" s="28"/>
      <c r="J35" s="27">
        <v>1.2</v>
      </c>
      <c r="K35" s="29" t="s">
        <v>35</v>
      </c>
      <c r="L35" s="39"/>
      <c r="M35" s="31"/>
      <c r="N35" s="27" t="s">
        <v>40</v>
      </c>
      <c r="O35" s="307"/>
      <c r="P35" s="32"/>
      <c r="Q35" s="25"/>
      <c r="R35" s="27"/>
      <c r="S35" s="27"/>
      <c r="T35" s="28"/>
      <c r="U35" s="27"/>
      <c r="V35" s="27"/>
      <c r="W35" s="28"/>
      <c r="Y35" s="32"/>
      <c r="Z35" s="25"/>
      <c r="AA35" s="27"/>
      <c r="AB35" s="28"/>
      <c r="AC35" s="27"/>
      <c r="AD35" s="27"/>
      <c r="AE35" s="33"/>
      <c r="AG35" s="25"/>
      <c r="AH35" s="34"/>
      <c r="AI35" s="27">
        <v>2.5000000000000001E-2</v>
      </c>
      <c r="AJ35" s="27">
        <v>2.5000000000000001E-2</v>
      </c>
      <c r="AK35" s="36"/>
      <c r="AL35" s="25"/>
      <c r="AM35" s="34"/>
      <c r="AR35" s="32" t="s">
        <v>75</v>
      </c>
      <c r="AS35" s="25" t="s">
        <v>72</v>
      </c>
      <c r="AT35" s="27" t="s">
        <v>52</v>
      </c>
      <c r="AU35" s="27"/>
      <c r="AW35" s="25"/>
      <c r="AX35" s="27"/>
      <c r="AY35" s="27"/>
      <c r="AZ35" s="32"/>
      <c r="BA35" s="41">
        <v>4</v>
      </c>
    </row>
    <row r="36" spans="1:53" ht="17.25" customHeight="1" thickBot="1" x14ac:dyDescent="0.25">
      <c r="A36" s="25">
        <v>29</v>
      </c>
      <c r="B36" s="26">
        <v>45070</v>
      </c>
      <c r="C36" s="27" t="s">
        <v>117</v>
      </c>
      <c r="D36" s="25"/>
      <c r="E36" s="28"/>
      <c r="F36" s="27"/>
      <c r="G36" s="28"/>
      <c r="H36" s="27"/>
      <c r="I36" s="28"/>
      <c r="J36" s="27">
        <v>1.2</v>
      </c>
      <c r="K36" s="29" t="s">
        <v>35</v>
      </c>
      <c r="L36" s="39"/>
      <c r="M36" s="31"/>
      <c r="N36" s="27" t="s">
        <v>40</v>
      </c>
      <c r="O36" s="307"/>
      <c r="P36" s="32"/>
      <c r="Q36" s="25"/>
      <c r="R36" s="27"/>
      <c r="S36" s="27"/>
      <c r="T36" s="28"/>
      <c r="U36" s="27"/>
      <c r="V36" s="27"/>
      <c r="W36" s="28"/>
      <c r="X36" s="33"/>
      <c r="Y36" s="32"/>
      <c r="Z36" s="25"/>
      <c r="AA36" s="27"/>
      <c r="AB36" s="28"/>
      <c r="AC36" s="27"/>
      <c r="AD36" s="27"/>
      <c r="AE36" s="33"/>
      <c r="AG36" s="25"/>
      <c r="AH36" s="34"/>
      <c r="AI36" s="27">
        <v>2.5000000000000001E-2</v>
      </c>
      <c r="AJ36" s="27">
        <v>2.5000000000000001E-2</v>
      </c>
      <c r="AK36" s="36"/>
      <c r="AL36" s="25"/>
      <c r="AM36" s="34"/>
      <c r="AQ36" s="37"/>
      <c r="AR36" s="32"/>
      <c r="AS36" s="25" t="s">
        <v>72</v>
      </c>
      <c r="AT36" s="27" t="s">
        <v>52</v>
      </c>
      <c r="AU36" s="27"/>
      <c r="AW36" s="25"/>
      <c r="AX36" s="27"/>
      <c r="AY36" s="27"/>
      <c r="AZ36" s="32"/>
      <c r="BA36" s="41">
        <v>11</v>
      </c>
    </row>
    <row r="37" spans="1:53" s="87" customFormat="1" ht="16" thickBot="1" x14ac:dyDescent="0.25">
      <c r="A37" s="83">
        <v>30</v>
      </c>
      <c r="B37" s="26">
        <v>45071</v>
      </c>
      <c r="C37" s="83" t="s">
        <v>117</v>
      </c>
      <c r="D37" s="83"/>
      <c r="E37" s="83"/>
      <c r="F37" s="83"/>
      <c r="G37" s="83"/>
      <c r="H37" s="83"/>
      <c r="I37" s="83"/>
      <c r="J37" s="83">
        <v>1.2</v>
      </c>
      <c r="K37" s="85" t="s">
        <v>35</v>
      </c>
      <c r="L37" s="86"/>
      <c r="M37" s="86"/>
      <c r="N37" s="83" t="s">
        <v>40</v>
      </c>
      <c r="O37" s="307"/>
      <c r="Q37" s="83"/>
      <c r="R37" s="83"/>
      <c r="S37" s="83"/>
      <c r="T37" s="83"/>
      <c r="U37" s="83"/>
      <c r="V37" s="83"/>
      <c r="W37" s="83"/>
      <c r="X37" s="83"/>
      <c r="Z37" s="83"/>
      <c r="AA37" s="83"/>
      <c r="AB37" s="83"/>
      <c r="AC37" s="83"/>
      <c r="AD37" s="83"/>
      <c r="AE37" s="83"/>
      <c r="AG37" s="83"/>
      <c r="AH37" s="83"/>
      <c r="AI37" s="83">
        <v>2.5000000000000001E-2</v>
      </c>
      <c r="AJ37" s="83">
        <v>2.5000000000000001E-2</v>
      </c>
      <c r="AK37" s="83">
        <v>2.5000000000000001E-2</v>
      </c>
      <c r="AL37" s="83"/>
      <c r="AM37" s="83"/>
      <c r="AS37" s="83" t="s">
        <v>72</v>
      </c>
      <c r="AT37" s="83" t="s">
        <v>52</v>
      </c>
      <c r="AU37" s="83"/>
      <c r="AW37" s="83"/>
      <c r="AX37" s="83"/>
      <c r="AY37" s="83"/>
      <c r="BA37" s="83">
        <v>5</v>
      </c>
    </row>
    <row r="38" spans="1:53" x14ac:dyDescent="0.2">
      <c r="A38" s="25">
        <v>31</v>
      </c>
      <c r="B38" s="26">
        <v>45072</v>
      </c>
      <c r="C38" s="27" t="s">
        <v>117</v>
      </c>
      <c r="D38" s="25"/>
      <c r="E38" s="28"/>
      <c r="F38" s="27"/>
      <c r="G38" s="28"/>
      <c r="H38" s="27"/>
      <c r="I38" s="28"/>
      <c r="J38" s="27">
        <v>1.2</v>
      </c>
      <c r="K38" s="29" t="s">
        <v>35</v>
      </c>
      <c r="L38" s="39"/>
      <c r="M38" s="31"/>
      <c r="N38" s="27" t="s">
        <v>76</v>
      </c>
      <c r="O38" s="307"/>
      <c r="P38" s="32"/>
      <c r="Q38" s="25"/>
      <c r="R38" s="27"/>
      <c r="S38" s="27"/>
      <c r="T38" s="28"/>
      <c r="U38" s="27"/>
      <c r="V38" s="27"/>
      <c r="W38" s="28"/>
      <c r="X38" s="33"/>
      <c r="Y38" s="32"/>
      <c r="Z38" s="25"/>
      <c r="AA38" s="27"/>
      <c r="AB38" s="28"/>
      <c r="AC38" s="27"/>
      <c r="AD38" s="27"/>
      <c r="AE38" s="33"/>
      <c r="AG38" s="25"/>
      <c r="AH38" s="34"/>
      <c r="AI38" s="27">
        <v>2.5000000000000001E-2</v>
      </c>
      <c r="AJ38" s="27">
        <v>0.02</v>
      </c>
      <c r="AK38" s="36">
        <v>2.5000000000000001E-2</v>
      </c>
      <c r="AL38" s="25"/>
      <c r="AM38" s="34"/>
      <c r="AQ38" s="37"/>
      <c r="AR38" s="46"/>
      <c r="AS38" s="25" t="s">
        <v>72</v>
      </c>
      <c r="AT38" s="27" t="s">
        <v>52</v>
      </c>
      <c r="AU38" s="27"/>
      <c r="AW38" s="25"/>
      <c r="AX38" s="27"/>
      <c r="AY38" s="27"/>
      <c r="AZ38" s="32"/>
      <c r="BA38" s="41">
        <v>2</v>
      </c>
    </row>
    <row r="39" spans="1:53" x14ac:dyDescent="0.2">
      <c r="A39" s="25">
        <v>32</v>
      </c>
      <c r="B39" s="26">
        <v>45073</v>
      </c>
      <c r="C39" s="27"/>
      <c r="D39" s="25"/>
      <c r="E39" s="28"/>
      <c r="F39" s="27"/>
      <c r="G39" s="28"/>
      <c r="H39" s="27"/>
      <c r="I39" s="28"/>
      <c r="J39" s="27">
        <v>1.2</v>
      </c>
      <c r="K39" s="29" t="s">
        <v>35</v>
      </c>
      <c r="L39" s="39"/>
      <c r="M39" s="31"/>
      <c r="N39" s="27" t="s">
        <v>76</v>
      </c>
      <c r="O39" s="307"/>
      <c r="P39" s="32"/>
      <c r="Q39" s="25"/>
      <c r="R39" s="27"/>
      <c r="S39" s="27"/>
      <c r="T39" s="28"/>
      <c r="U39" s="27"/>
      <c r="V39" s="27"/>
      <c r="W39" s="28"/>
      <c r="X39" s="33"/>
      <c r="Y39" s="32"/>
      <c r="Z39" s="25"/>
      <c r="AA39" s="27"/>
      <c r="AB39" s="28"/>
      <c r="AC39" s="27"/>
      <c r="AD39" s="27"/>
      <c r="AE39" s="33"/>
      <c r="AG39" s="25"/>
      <c r="AH39" s="34"/>
      <c r="AI39" s="27">
        <v>2.5000000000000001E-2</v>
      </c>
      <c r="AJ39" s="27">
        <v>2.5000000000000001E-2</v>
      </c>
      <c r="AK39" s="36">
        <v>2.5000000000000001E-2</v>
      </c>
      <c r="AL39" s="25"/>
      <c r="AM39" s="34"/>
      <c r="AQ39" s="37"/>
      <c r="AR39" s="32"/>
      <c r="AS39" s="25" t="s">
        <v>72</v>
      </c>
      <c r="AT39" s="27" t="s">
        <v>52</v>
      </c>
      <c r="AU39" s="27"/>
      <c r="AW39" s="25"/>
      <c r="AX39" s="27"/>
      <c r="AY39" s="27"/>
      <c r="AZ39" s="32"/>
      <c r="BA39" s="41">
        <v>7</v>
      </c>
    </row>
    <row r="40" spans="1:53" x14ac:dyDescent="0.2">
      <c r="A40" s="25">
        <v>33</v>
      </c>
      <c r="B40" s="26">
        <v>45074</v>
      </c>
      <c r="C40" s="27"/>
      <c r="D40" s="25"/>
      <c r="E40" s="28"/>
      <c r="F40" s="27"/>
      <c r="G40" s="28"/>
      <c r="H40" s="27"/>
      <c r="I40" s="28"/>
      <c r="J40" s="27">
        <v>1.2</v>
      </c>
      <c r="K40" s="29" t="s">
        <v>35</v>
      </c>
      <c r="L40" s="39"/>
      <c r="M40" s="31"/>
      <c r="N40" s="27" t="s">
        <v>76</v>
      </c>
      <c r="O40" s="307"/>
      <c r="P40" s="32"/>
      <c r="Q40" s="25"/>
      <c r="R40" s="27"/>
      <c r="S40" s="27"/>
      <c r="T40" s="28"/>
      <c r="U40" s="27"/>
      <c r="V40" s="27"/>
      <c r="W40" s="28"/>
      <c r="X40" s="33"/>
      <c r="Y40" s="32"/>
      <c r="Z40" s="25"/>
      <c r="AA40" s="27"/>
      <c r="AB40" s="28"/>
      <c r="AC40" s="27"/>
      <c r="AD40" s="27"/>
      <c r="AE40" s="33"/>
      <c r="AG40" s="25"/>
      <c r="AH40" s="34"/>
      <c r="AI40" s="27">
        <v>2.5000000000000001E-2</v>
      </c>
      <c r="AJ40" s="27">
        <v>2.5000000000000001E-2</v>
      </c>
      <c r="AK40" s="36">
        <v>2.5000000000000001E-2</v>
      </c>
      <c r="AL40" s="25"/>
      <c r="AM40" s="34"/>
      <c r="AQ40" s="37"/>
      <c r="AR40" s="32"/>
      <c r="AS40" s="25" t="s">
        <v>72</v>
      </c>
      <c r="AT40" s="27" t="s">
        <v>52</v>
      </c>
      <c r="AW40" s="25"/>
      <c r="AX40" s="27"/>
      <c r="AY40" s="27"/>
      <c r="AZ40" s="32"/>
      <c r="BA40" s="41">
        <v>5</v>
      </c>
    </row>
    <row r="41" spans="1:53" ht="16" thickBot="1" x14ac:dyDescent="0.25">
      <c r="A41" s="25">
        <v>34</v>
      </c>
      <c r="B41" s="26">
        <v>45075</v>
      </c>
      <c r="C41" s="27" t="s">
        <v>117</v>
      </c>
      <c r="D41" s="25"/>
      <c r="E41" s="28"/>
      <c r="F41" s="27"/>
      <c r="G41" s="28"/>
      <c r="H41" s="27"/>
      <c r="I41" s="28"/>
      <c r="J41" s="27">
        <v>1.2</v>
      </c>
      <c r="K41" s="29" t="s">
        <v>35</v>
      </c>
      <c r="L41" s="39"/>
      <c r="M41" s="31"/>
      <c r="N41" s="27" t="s">
        <v>76</v>
      </c>
      <c r="O41" s="307"/>
      <c r="P41" s="32"/>
      <c r="Q41" s="25"/>
      <c r="R41" s="27"/>
      <c r="S41" s="27"/>
      <c r="T41" s="28"/>
      <c r="U41" s="27"/>
      <c r="V41" s="27"/>
      <c r="W41" s="28"/>
      <c r="X41" s="33"/>
      <c r="Y41" s="32"/>
      <c r="Z41" s="25"/>
      <c r="AA41" s="27"/>
      <c r="AB41" s="28"/>
      <c r="AC41" s="27"/>
      <c r="AD41" s="27"/>
      <c r="AE41" s="33"/>
      <c r="AG41" s="25"/>
      <c r="AH41" s="34"/>
      <c r="AI41" s="27">
        <v>2.5000000000000001E-2</v>
      </c>
      <c r="AJ41" s="27">
        <v>2.5000000000000001E-2</v>
      </c>
      <c r="AK41" s="36">
        <v>2.5000000000000001E-2</v>
      </c>
      <c r="AL41" s="25"/>
      <c r="AM41" s="34"/>
      <c r="AN41" s="27">
        <v>2.5000000000000001E-2</v>
      </c>
      <c r="AO41" s="27">
        <v>2.5000000000000001E-2</v>
      </c>
      <c r="AQ41" s="37"/>
      <c r="AR41" s="32"/>
      <c r="AS41" s="25" t="s">
        <v>72</v>
      </c>
      <c r="AT41" s="27" t="s">
        <v>52</v>
      </c>
      <c r="AU41" s="27"/>
      <c r="AW41" s="25"/>
      <c r="AX41" s="27"/>
      <c r="AY41" s="27"/>
      <c r="AZ41" s="32"/>
      <c r="BA41" s="41">
        <v>3</v>
      </c>
    </row>
    <row r="42" spans="1:53" ht="16" thickBot="1" x14ac:dyDescent="0.25">
      <c r="A42" s="25">
        <v>35</v>
      </c>
      <c r="B42" s="26">
        <v>45076</v>
      </c>
      <c r="C42" s="27" t="s">
        <v>117</v>
      </c>
      <c r="D42" s="25"/>
      <c r="E42" s="28"/>
      <c r="F42" s="27"/>
      <c r="G42" s="28"/>
      <c r="H42" s="27"/>
      <c r="I42" s="28"/>
      <c r="J42" s="27">
        <v>1.2</v>
      </c>
      <c r="K42" s="29" t="s">
        <v>35</v>
      </c>
      <c r="L42" s="39"/>
      <c r="M42" s="153" t="s">
        <v>172</v>
      </c>
      <c r="N42" s="27" t="s">
        <v>76</v>
      </c>
      <c r="O42" s="307"/>
      <c r="P42" s="32"/>
      <c r="Q42" s="25"/>
      <c r="R42" s="27"/>
      <c r="S42" s="27"/>
      <c r="T42" s="28"/>
      <c r="U42" s="27"/>
      <c r="V42" s="27"/>
      <c r="W42" s="28"/>
      <c r="X42" s="33"/>
      <c r="Y42" s="32"/>
      <c r="Z42" s="25"/>
      <c r="AA42" s="27"/>
      <c r="AB42" s="28"/>
      <c r="AC42" s="27"/>
      <c r="AD42" s="27"/>
      <c r="AE42" s="33"/>
      <c r="AG42" s="25"/>
      <c r="AH42" s="34"/>
      <c r="AI42" s="27">
        <v>2.5000000000000001E-2</v>
      </c>
      <c r="AJ42" s="27">
        <v>2.5000000000000001E-2</v>
      </c>
      <c r="AK42" s="36">
        <v>2.5000000000000001E-2</v>
      </c>
      <c r="AL42" s="25"/>
      <c r="AM42" s="34"/>
      <c r="AQ42" s="37"/>
      <c r="AR42" s="32"/>
      <c r="AS42" s="25" t="s">
        <v>72</v>
      </c>
      <c r="AT42" s="27" t="s">
        <v>52</v>
      </c>
      <c r="AU42" s="58" t="s">
        <v>77</v>
      </c>
      <c r="AW42" s="25"/>
      <c r="AX42" s="27"/>
      <c r="AY42" s="27"/>
      <c r="AZ42" s="32"/>
      <c r="BA42" s="41">
        <v>0</v>
      </c>
    </row>
    <row r="43" spans="1:53" ht="16" thickBot="1" x14ac:dyDescent="0.25">
      <c r="A43" s="25">
        <v>36</v>
      </c>
      <c r="B43" s="26">
        <v>45077</v>
      </c>
      <c r="C43" s="27" t="s">
        <v>117</v>
      </c>
      <c r="D43" s="25"/>
      <c r="E43" s="28"/>
      <c r="F43" s="27"/>
      <c r="G43" s="28"/>
      <c r="H43" s="27"/>
      <c r="I43" s="28"/>
      <c r="J43" s="27">
        <v>1.2</v>
      </c>
      <c r="K43" s="29" t="s">
        <v>35</v>
      </c>
      <c r="L43" s="53"/>
      <c r="M43" s="31"/>
      <c r="N43" s="27" t="s">
        <v>76</v>
      </c>
      <c r="O43" s="307"/>
      <c r="P43" s="32"/>
      <c r="Q43" s="25"/>
      <c r="R43" s="27"/>
      <c r="S43" s="27"/>
      <c r="T43" s="28"/>
      <c r="U43" s="27"/>
      <c r="V43" s="27"/>
      <c r="W43" s="28"/>
      <c r="X43" s="33"/>
      <c r="Y43" s="32"/>
      <c r="Z43" s="25"/>
      <c r="AA43" s="27"/>
      <c r="AB43" s="28"/>
      <c r="AC43" s="27"/>
      <c r="AD43" s="27"/>
      <c r="AE43" s="33"/>
      <c r="AG43" s="25"/>
      <c r="AH43" s="34"/>
      <c r="AI43" s="27">
        <v>2.5000000000000001E-2</v>
      </c>
      <c r="AJ43" s="27">
        <v>2.5000000000000001E-2</v>
      </c>
      <c r="AK43" s="27">
        <v>2.5000000000000001E-2</v>
      </c>
      <c r="AL43" s="25"/>
      <c r="AM43" s="34"/>
      <c r="AN43" s="27">
        <v>0.05</v>
      </c>
      <c r="AO43" s="27">
        <v>0.05</v>
      </c>
      <c r="AP43" s="36"/>
      <c r="AQ43" s="37"/>
      <c r="AR43" s="32"/>
      <c r="AS43" s="25" t="s">
        <v>78</v>
      </c>
      <c r="AT43" s="27" t="s">
        <v>52</v>
      </c>
      <c r="AW43" s="25"/>
      <c r="AX43" s="27"/>
      <c r="AY43" s="27"/>
      <c r="AZ43" s="32"/>
      <c r="BA43" s="41">
        <v>2</v>
      </c>
    </row>
    <row r="44" spans="1:53" ht="16" thickBot="1" x14ac:dyDescent="0.25">
      <c r="A44" s="25">
        <v>37</v>
      </c>
      <c r="B44" s="26">
        <v>45078</v>
      </c>
      <c r="C44" s="27" t="s">
        <v>140</v>
      </c>
      <c r="D44" s="25"/>
      <c r="E44" s="28"/>
      <c r="F44" s="27"/>
      <c r="G44" s="28"/>
      <c r="H44" s="27"/>
      <c r="I44" s="28"/>
      <c r="J44" s="27">
        <v>1.2</v>
      </c>
      <c r="K44" s="29" t="s">
        <v>35</v>
      </c>
      <c r="L44" s="53"/>
      <c r="M44" s="31"/>
      <c r="N44" s="27" t="s">
        <v>76</v>
      </c>
      <c r="O44" s="307"/>
      <c r="P44" s="32"/>
      <c r="Q44" s="25"/>
      <c r="R44" s="27"/>
      <c r="S44" s="27"/>
      <c r="T44" s="28"/>
      <c r="U44" s="27"/>
      <c r="V44" s="27"/>
      <c r="W44" s="28"/>
      <c r="X44" s="33"/>
      <c r="Y44" s="32"/>
      <c r="Z44" s="59"/>
      <c r="AA44" s="60"/>
      <c r="AB44" s="61"/>
      <c r="AC44" s="27"/>
      <c r="AD44" s="27"/>
      <c r="AE44" s="33"/>
      <c r="AG44" s="25"/>
      <c r="AH44" s="34"/>
      <c r="AI44" s="27">
        <v>2.5000000000000001E-2</v>
      </c>
      <c r="AJ44" s="27">
        <v>2.5000000000000001E-2</v>
      </c>
      <c r="AK44" s="27">
        <v>2.5000000000000001E-2</v>
      </c>
      <c r="AL44" s="25"/>
      <c r="AM44" s="34"/>
      <c r="AN44" s="27">
        <v>0.05</v>
      </c>
      <c r="AO44" s="27">
        <v>0.05</v>
      </c>
      <c r="AP44" s="36">
        <v>0.05</v>
      </c>
      <c r="AQ44" s="37"/>
      <c r="AR44" s="32"/>
      <c r="AS44" s="25" t="s">
        <v>78</v>
      </c>
      <c r="AT44" s="27" t="s">
        <v>52</v>
      </c>
      <c r="AU44" s="27"/>
      <c r="AW44" s="25"/>
      <c r="AX44" s="27"/>
      <c r="AY44" s="27"/>
      <c r="AZ44" s="32"/>
      <c r="BA44" s="41">
        <v>0</v>
      </c>
    </row>
    <row r="45" spans="1:53" x14ac:dyDescent="0.2">
      <c r="A45" s="25">
        <v>38</v>
      </c>
      <c r="B45" s="26">
        <v>45079</v>
      </c>
      <c r="C45" s="27" t="s">
        <v>140</v>
      </c>
      <c r="D45" s="25"/>
      <c r="E45" s="28"/>
      <c r="F45" s="27"/>
      <c r="G45" s="28"/>
      <c r="H45" s="27"/>
      <c r="I45" s="28"/>
      <c r="J45" s="27">
        <v>1.2</v>
      </c>
      <c r="K45" s="29" t="s">
        <v>35</v>
      </c>
      <c r="L45" s="39"/>
      <c r="M45" s="31"/>
      <c r="N45" s="27" t="s">
        <v>76</v>
      </c>
      <c r="O45" s="307"/>
      <c r="P45" s="32"/>
      <c r="Q45" s="25"/>
      <c r="R45" s="27"/>
      <c r="S45" s="27"/>
      <c r="T45" s="28"/>
      <c r="U45" s="27"/>
      <c r="V45" s="27"/>
      <c r="W45" s="28"/>
      <c r="X45" s="33"/>
      <c r="Y45" s="32"/>
      <c r="Z45" s="25"/>
      <c r="AA45" s="27"/>
      <c r="AB45" s="28"/>
      <c r="AC45" s="27"/>
      <c r="AD45" s="27"/>
      <c r="AE45" s="33"/>
      <c r="AG45" s="25"/>
      <c r="AH45" s="34"/>
      <c r="AI45" s="27">
        <v>2.5000000000000001E-2</v>
      </c>
      <c r="AJ45" s="27">
        <v>2.5000000000000001E-2</v>
      </c>
      <c r="AK45" s="27">
        <v>2.5000000000000001E-2</v>
      </c>
      <c r="AL45" s="25"/>
      <c r="AM45" s="34"/>
      <c r="AN45" s="27">
        <v>0.05</v>
      </c>
      <c r="AO45" s="27">
        <v>0.05</v>
      </c>
      <c r="AP45" s="36">
        <v>0.05</v>
      </c>
      <c r="AQ45" s="37"/>
      <c r="AR45" s="32"/>
      <c r="AS45" s="25" t="s">
        <v>78</v>
      </c>
      <c r="AT45" s="27" t="s">
        <v>52</v>
      </c>
      <c r="AU45" s="27"/>
      <c r="AW45" s="25"/>
      <c r="AX45" s="27"/>
      <c r="AY45" s="27"/>
      <c r="AZ45" s="32"/>
      <c r="BA45" s="41">
        <v>1</v>
      </c>
    </row>
    <row r="46" spans="1:53" ht="16" thickBot="1" x14ac:dyDescent="0.25">
      <c r="A46" s="25">
        <v>39</v>
      </c>
      <c r="B46" s="26">
        <v>45080</v>
      </c>
      <c r="C46" s="27"/>
      <c r="D46" s="25"/>
      <c r="E46" s="28"/>
      <c r="F46" s="27"/>
      <c r="G46" s="28"/>
      <c r="H46" s="27"/>
      <c r="I46" s="28"/>
      <c r="J46" s="27">
        <v>1.2</v>
      </c>
      <c r="K46" s="29" t="s">
        <v>35</v>
      </c>
      <c r="M46" s="31"/>
      <c r="N46" s="27" t="s">
        <v>76</v>
      </c>
      <c r="O46" s="307"/>
      <c r="P46" s="32"/>
      <c r="Q46" s="25"/>
      <c r="R46" s="27"/>
      <c r="S46" s="27"/>
      <c r="T46" s="28"/>
      <c r="U46" s="27"/>
      <c r="V46" s="27"/>
      <c r="W46" s="28"/>
      <c r="X46" s="33"/>
      <c r="Y46" s="32"/>
      <c r="Z46" s="25"/>
      <c r="AA46" s="27"/>
      <c r="AB46" s="28"/>
      <c r="AC46" s="27"/>
      <c r="AD46" s="27"/>
      <c r="AE46" s="33"/>
      <c r="AG46" s="25"/>
      <c r="AH46" s="34"/>
      <c r="AI46" s="27">
        <v>2.5000000000000001E-2</v>
      </c>
      <c r="AJ46" s="27">
        <v>2.5000000000000001E-2</v>
      </c>
      <c r="AK46" s="27">
        <v>2.5000000000000001E-2</v>
      </c>
      <c r="AL46" s="25"/>
      <c r="AM46" s="34"/>
      <c r="AN46" s="27">
        <v>0.05</v>
      </c>
      <c r="AO46" s="27">
        <v>0.05</v>
      </c>
      <c r="AP46" s="36">
        <v>0.05</v>
      </c>
      <c r="AQ46" s="37"/>
      <c r="AR46" s="32"/>
      <c r="AS46" s="25" t="s">
        <v>78</v>
      </c>
      <c r="AT46" s="27" t="s">
        <v>52</v>
      </c>
      <c r="AU46" s="27"/>
      <c r="AW46" s="25"/>
      <c r="AX46" s="27"/>
      <c r="AY46" s="27"/>
      <c r="AZ46" s="32"/>
      <c r="BA46" s="41">
        <v>0</v>
      </c>
    </row>
    <row r="47" spans="1:53" ht="16" thickBot="1" x14ac:dyDescent="0.25">
      <c r="A47" s="25">
        <v>40</v>
      </c>
      <c r="B47" s="26">
        <v>45081</v>
      </c>
      <c r="C47" s="27"/>
      <c r="D47" s="25"/>
      <c r="E47" s="28"/>
      <c r="F47" s="27"/>
      <c r="G47" s="28"/>
      <c r="H47" s="27"/>
      <c r="I47" s="28"/>
      <c r="J47" s="27">
        <v>1.2</v>
      </c>
      <c r="K47" s="29" t="s">
        <v>35</v>
      </c>
      <c r="L47" s="53"/>
      <c r="M47" s="153" t="s">
        <v>173</v>
      </c>
      <c r="N47" s="27" t="s">
        <v>76</v>
      </c>
      <c r="O47" s="308"/>
      <c r="Q47" s="25"/>
      <c r="R47" s="27"/>
      <c r="S47" s="27"/>
      <c r="T47" s="28"/>
      <c r="U47" s="27"/>
      <c r="V47" s="27"/>
      <c r="W47" s="28"/>
      <c r="X47" s="33"/>
      <c r="Y47" s="32"/>
      <c r="Z47" s="59"/>
      <c r="AA47" s="60"/>
      <c r="AB47" s="61"/>
      <c r="AC47" s="27"/>
      <c r="AD47" s="27"/>
      <c r="AE47" s="33"/>
      <c r="AG47" s="25"/>
      <c r="AH47" s="34"/>
      <c r="AI47" s="27">
        <v>2.5000000000000001E-2</v>
      </c>
      <c r="AJ47" s="27">
        <v>2.5000000000000001E-2</v>
      </c>
      <c r="AK47" s="27">
        <v>2.5000000000000001E-2</v>
      </c>
      <c r="AL47" s="25"/>
      <c r="AM47" s="34"/>
      <c r="AN47" s="27">
        <v>0.05</v>
      </c>
      <c r="AO47" s="27">
        <v>0.05</v>
      </c>
      <c r="AP47" s="36">
        <v>0.05</v>
      </c>
      <c r="AQ47" s="37"/>
      <c r="AR47" s="32"/>
      <c r="AS47" s="25" t="s">
        <v>79</v>
      </c>
      <c r="AT47" s="27" t="s">
        <v>52</v>
      </c>
      <c r="AU47" s="58" t="s">
        <v>80</v>
      </c>
      <c r="AW47" s="25"/>
      <c r="AX47" s="27"/>
      <c r="AY47" s="27"/>
      <c r="AZ47" s="32"/>
      <c r="BA47" s="41">
        <v>0</v>
      </c>
    </row>
    <row r="48" spans="1:53" x14ac:dyDescent="0.2">
      <c r="A48" s="25">
        <v>41</v>
      </c>
      <c r="B48" s="26">
        <v>45082</v>
      </c>
      <c r="C48" s="27" t="s">
        <v>117</v>
      </c>
      <c r="D48" s="25"/>
      <c r="E48" s="28"/>
      <c r="F48" s="27"/>
      <c r="G48" s="28"/>
      <c r="H48" s="27"/>
      <c r="I48" s="28"/>
      <c r="J48" s="27">
        <v>1.2</v>
      </c>
      <c r="K48" s="29" t="s">
        <v>35</v>
      </c>
      <c r="M48" s="31"/>
      <c r="N48" s="27" t="s">
        <v>76</v>
      </c>
      <c r="P48" s="32"/>
      <c r="Q48" s="25"/>
      <c r="R48" s="27"/>
      <c r="S48" s="27"/>
      <c r="T48" s="28"/>
      <c r="U48" s="27"/>
      <c r="V48" s="27"/>
      <c r="W48" s="28"/>
      <c r="X48" s="33"/>
      <c r="Y48" s="32"/>
      <c r="Z48" s="25"/>
      <c r="AA48" s="27"/>
      <c r="AB48" s="28"/>
      <c r="AC48" s="27"/>
      <c r="AD48" s="27"/>
      <c r="AE48" s="33"/>
      <c r="AG48" s="25"/>
      <c r="AH48" s="34"/>
      <c r="AI48" s="27">
        <v>2.5000000000000001E-2</v>
      </c>
      <c r="AJ48" s="27">
        <v>2.5000000000000001E-2</v>
      </c>
      <c r="AK48" s="27">
        <v>2.5000000000000001E-2</v>
      </c>
      <c r="AL48" s="25"/>
      <c r="AM48" s="34"/>
      <c r="AN48" s="27">
        <v>0.05</v>
      </c>
      <c r="AO48" s="27">
        <v>0.05</v>
      </c>
      <c r="AP48" s="36">
        <v>0.05</v>
      </c>
      <c r="AQ48" s="37"/>
      <c r="AR48" s="32"/>
      <c r="AS48" s="25" t="s">
        <v>79</v>
      </c>
      <c r="AT48" s="27" t="s">
        <v>52</v>
      </c>
      <c r="AU48" s="27"/>
      <c r="AW48" s="25"/>
      <c r="AX48" s="27"/>
      <c r="AY48" s="27"/>
      <c r="AZ48" s="32"/>
      <c r="BA48" s="41">
        <v>0</v>
      </c>
    </row>
    <row r="49" spans="1:53" x14ac:dyDescent="0.2">
      <c r="A49" s="25">
        <v>42</v>
      </c>
      <c r="B49" s="26">
        <v>45083</v>
      </c>
      <c r="C49" s="27" t="s">
        <v>117</v>
      </c>
      <c r="D49" s="25"/>
      <c r="E49" s="28"/>
      <c r="F49" s="27"/>
      <c r="G49" s="28"/>
      <c r="H49" s="27"/>
      <c r="I49" s="28"/>
      <c r="J49" s="27">
        <v>1.2</v>
      </c>
      <c r="K49" s="29" t="s">
        <v>35</v>
      </c>
      <c r="L49" s="39"/>
      <c r="M49" s="31"/>
      <c r="N49" s="27" t="s">
        <v>76</v>
      </c>
      <c r="P49" s="32"/>
      <c r="Q49" s="25"/>
      <c r="R49" s="27"/>
      <c r="S49" s="27"/>
      <c r="T49" s="28"/>
      <c r="U49" s="27"/>
      <c r="V49" s="27"/>
      <c r="W49" s="28"/>
      <c r="X49" s="33"/>
      <c r="Y49" s="32"/>
      <c r="Z49" s="25"/>
      <c r="AA49" s="27"/>
      <c r="AB49" s="28"/>
      <c r="AC49" s="27"/>
      <c r="AD49" s="27"/>
      <c r="AE49" s="33"/>
      <c r="AG49" s="25"/>
      <c r="AH49" s="34"/>
      <c r="AI49" s="27">
        <v>2.5000000000000001E-2</v>
      </c>
      <c r="AJ49" s="27">
        <v>2.5000000000000001E-2</v>
      </c>
      <c r="AK49" s="27">
        <v>2.5000000000000001E-2</v>
      </c>
      <c r="AL49" s="25"/>
      <c r="AM49" s="34"/>
      <c r="AN49" s="27">
        <v>0.05</v>
      </c>
      <c r="AO49" s="27">
        <v>0.05</v>
      </c>
      <c r="AP49" s="36">
        <v>0.05</v>
      </c>
      <c r="AQ49" s="37"/>
      <c r="AR49" s="32"/>
      <c r="AS49" s="25" t="s">
        <v>79</v>
      </c>
      <c r="AT49" s="27" t="s">
        <v>52</v>
      </c>
      <c r="AU49" s="27"/>
      <c r="AW49" s="25"/>
      <c r="AX49" s="27"/>
      <c r="AY49" s="27"/>
      <c r="AZ49" s="32"/>
      <c r="BA49" s="41">
        <v>1</v>
      </c>
    </row>
    <row r="50" spans="1:53" ht="16" thickBot="1" x14ac:dyDescent="0.25">
      <c r="A50" s="25">
        <v>43</v>
      </c>
      <c r="B50" s="26">
        <v>45084</v>
      </c>
      <c r="C50" s="27" t="s">
        <v>117</v>
      </c>
      <c r="D50" s="25"/>
      <c r="E50" s="28"/>
      <c r="F50" s="27"/>
      <c r="G50" s="28"/>
      <c r="H50" s="27"/>
      <c r="I50" s="28"/>
      <c r="J50" s="27">
        <v>1.2</v>
      </c>
      <c r="K50" s="29" t="s">
        <v>35</v>
      </c>
      <c r="L50" s="39"/>
      <c r="M50" s="31"/>
      <c r="N50" s="27" t="s">
        <v>76</v>
      </c>
      <c r="P50" s="32"/>
      <c r="Q50" s="25"/>
      <c r="R50" s="27"/>
      <c r="S50" s="27"/>
      <c r="T50" s="28"/>
      <c r="U50" s="27"/>
      <c r="V50" s="27"/>
      <c r="W50" s="28"/>
      <c r="X50" s="33"/>
      <c r="Y50" s="32"/>
      <c r="Z50" s="25"/>
      <c r="AA50" s="27"/>
      <c r="AB50" s="28"/>
      <c r="AC50" s="27"/>
      <c r="AD50" s="27"/>
      <c r="AE50" s="33"/>
      <c r="AG50" s="25"/>
      <c r="AH50" s="34"/>
      <c r="AI50" s="27">
        <v>2.5000000000000001E-2</v>
      </c>
      <c r="AJ50" s="27">
        <v>2.5000000000000001E-2</v>
      </c>
      <c r="AK50" s="27">
        <v>2.5000000000000001E-2</v>
      </c>
      <c r="AL50" s="25"/>
      <c r="AM50" s="34"/>
      <c r="AN50" s="27">
        <v>0.05</v>
      </c>
      <c r="AO50" s="27">
        <v>0.05</v>
      </c>
      <c r="AP50" s="36">
        <v>0.05</v>
      </c>
      <c r="AQ50" s="37"/>
      <c r="AR50" s="32"/>
      <c r="AS50" s="25" t="s">
        <v>79</v>
      </c>
      <c r="AT50" s="27" t="s">
        <v>52</v>
      </c>
      <c r="AU50" s="27"/>
      <c r="AW50" s="25"/>
      <c r="AX50" s="27"/>
      <c r="AY50" s="27"/>
      <c r="AZ50" s="32"/>
      <c r="BA50" s="41">
        <v>1</v>
      </c>
    </row>
    <row r="51" spans="1:53" ht="16" thickBot="1" x14ac:dyDescent="0.25">
      <c r="A51" s="25">
        <v>44</v>
      </c>
      <c r="B51" s="26">
        <v>45085</v>
      </c>
      <c r="C51" s="27" t="s">
        <v>117</v>
      </c>
      <c r="D51" s="25"/>
      <c r="E51" s="28"/>
      <c r="F51" s="27"/>
      <c r="G51" s="28"/>
      <c r="H51" s="27"/>
      <c r="I51" s="28"/>
      <c r="J51" s="27">
        <v>1.2</v>
      </c>
      <c r="K51" s="29" t="s">
        <v>35</v>
      </c>
      <c r="L51" s="39"/>
      <c r="M51" s="153" t="s">
        <v>81</v>
      </c>
      <c r="N51" s="27" t="s">
        <v>76</v>
      </c>
      <c r="P51" s="32"/>
      <c r="Q51" s="27"/>
      <c r="R51" s="27"/>
      <c r="S51" s="27"/>
      <c r="T51" s="28"/>
      <c r="U51" s="27"/>
      <c r="V51" s="27"/>
      <c r="W51" s="28"/>
      <c r="X51" s="33"/>
      <c r="Y51" s="32"/>
      <c r="Z51" s="59"/>
      <c r="AA51" s="60"/>
      <c r="AB51" s="61"/>
      <c r="AC51" s="27"/>
      <c r="AD51" s="27"/>
      <c r="AE51" s="33"/>
      <c r="AG51" s="25"/>
      <c r="AH51" s="34"/>
      <c r="AI51" s="27">
        <v>2.5000000000000001E-2</v>
      </c>
      <c r="AJ51" s="27">
        <v>2.5000000000000001E-2</v>
      </c>
      <c r="AK51" s="27">
        <v>2.5000000000000001E-2</v>
      </c>
      <c r="AL51" s="25"/>
      <c r="AM51" s="34"/>
      <c r="AN51" s="27">
        <v>0.05</v>
      </c>
      <c r="AO51" s="27">
        <v>0.05</v>
      </c>
      <c r="AP51" s="36">
        <v>0.05</v>
      </c>
      <c r="AQ51" s="37"/>
      <c r="AR51" s="32"/>
      <c r="AS51" s="25" t="s">
        <v>79</v>
      </c>
      <c r="AT51" s="27" t="s">
        <v>52</v>
      </c>
      <c r="AU51" s="58" t="s">
        <v>81</v>
      </c>
      <c r="AW51" s="25"/>
      <c r="AX51" s="27"/>
      <c r="AY51" s="27"/>
      <c r="AZ51" s="32"/>
      <c r="BA51" s="41">
        <v>0</v>
      </c>
    </row>
    <row r="52" spans="1:53" x14ac:dyDescent="0.2">
      <c r="A52" s="25">
        <v>45</v>
      </c>
      <c r="B52" s="26">
        <v>45086</v>
      </c>
      <c r="C52" s="27" t="s">
        <v>186</v>
      </c>
      <c r="D52" s="25"/>
      <c r="E52" s="28"/>
      <c r="F52" s="27"/>
      <c r="G52" s="28"/>
      <c r="H52" s="27"/>
      <c r="I52" s="28"/>
      <c r="J52" s="27">
        <v>1.2</v>
      </c>
      <c r="K52" s="29" t="s">
        <v>35</v>
      </c>
      <c r="L52" s="39"/>
      <c r="M52" s="31"/>
      <c r="N52" s="27" t="s">
        <v>76</v>
      </c>
      <c r="P52" s="32"/>
      <c r="Q52" s="25"/>
      <c r="R52" s="27"/>
      <c r="S52" s="27"/>
      <c r="T52" s="28"/>
      <c r="U52" s="27"/>
      <c r="V52" s="27"/>
      <c r="W52" s="28"/>
      <c r="X52" s="33"/>
      <c r="Y52" s="32"/>
      <c r="Z52" s="25"/>
      <c r="AA52" s="27"/>
      <c r="AB52" s="28"/>
      <c r="AC52" s="27"/>
      <c r="AD52" s="27"/>
      <c r="AE52" s="33"/>
      <c r="AG52" s="25"/>
      <c r="AH52" s="34"/>
      <c r="AI52" s="27">
        <v>2.5000000000000001E-2</v>
      </c>
      <c r="AJ52" s="27">
        <v>2.5000000000000001E-2</v>
      </c>
      <c r="AK52" s="27">
        <v>2.5000000000000001E-2</v>
      </c>
      <c r="AL52" s="25"/>
      <c r="AM52" s="34"/>
      <c r="AN52" s="27">
        <v>0.05</v>
      </c>
      <c r="AO52" s="27">
        <v>0.05</v>
      </c>
      <c r="AP52" s="36">
        <v>0.05</v>
      </c>
      <c r="AQ52" s="37"/>
      <c r="AR52" s="32"/>
      <c r="AS52" s="25" t="s">
        <v>82</v>
      </c>
      <c r="AT52" s="27" t="s">
        <v>52</v>
      </c>
      <c r="AW52" s="25"/>
      <c r="AX52" s="27"/>
      <c r="AY52" s="27"/>
      <c r="AZ52" s="32"/>
      <c r="BA52" s="41">
        <v>0</v>
      </c>
    </row>
    <row r="53" spans="1:53" x14ac:dyDescent="0.2">
      <c r="A53" s="25">
        <v>46</v>
      </c>
      <c r="B53" s="26">
        <v>45087</v>
      </c>
      <c r="C53" s="27" t="s">
        <v>186</v>
      </c>
      <c r="D53" s="25"/>
      <c r="E53" s="28"/>
      <c r="F53" s="27"/>
      <c r="G53" s="28"/>
      <c r="H53" s="27"/>
      <c r="I53" s="28"/>
      <c r="J53" s="27">
        <v>1.2</v>
      </c>
      <c r="K53" s="29" t="s">
        <v>35</v>
      </c>
      <c r="L53" s="39"/>
      <c r="M53" s="31"/>
      <c r="N53" s="27" t="s">
        <v>76</v>
      </c>
      <c r="P53" s="32"/>
      <c r="Q53" s="25"/>
      <c r="R53" s="27"/>
      <c r="S53" s="27"/>
      <c r="T53" s="28"/>
      <c r="U53" s="27"/>
      <c r="V53" s="27"/>
      <c r="W53" s="28"/>
      <c r="X53" s="33"/>
      <c r="Y53" s="32"/>
      <c r="Z53" s="25"/>
      <c r="AA53" s="27"/>
      <c r="AB53" s="28"/>
      <c r="AC53" s="27"/>
      <c r="AD53" s="27"/>
      <c r="AE53" s="33"/>
      <c r="AG53" s="25"/>
      <c r="AH53" s="34"/>
      <c r="AI53" s="27">
        <v>2.5000000000000001E-2</v>
      </c>
      <c r="AJ53" s="27">
        <v>2.5000000000000001E-2</v>
      </c>
      <c r="AK53" s="27">
        <v>2.5000000000000001E-2</v>
      </c>
      <c r="AL53" s="25"/>
      <c r="AM53" s="34"/>
      <c r="AN53" s="27">
        <v>0.05</v>
      </c>
      <c r="AO53" s="27">
        <v>0.05</v>
      </c>
      <c r="AP53" s="36">
        <v>0.05</v>
      </c>
      <c r="AQ53" s="37"/>
      <c r="AR53" s="32"/>
      <c r="AS53" s="25" t="s">
        <v>82</v>
      </c>
      <c r="AT53" s="27" t="s">
        <v>52</v>
      </c>
      <c r="AU53" s="27"/>
      <c r="AW53" s="25"/>
      <c r="AX53" s="27"/>
      <c r="AY53" s="27"/>
      <c r="AZ53" s="32"/>
      <c r="BA53" s="41">
        <v>0</v>
      </c>
    </row>
    <row r="54" spans="1:53" x14ac:dyDescent="0.2">
      <c r="A54" s="25">
        <v>47</v>
      </c>
      <c r="B54" s="26">
        <v>45088</v>
      </c>
      <c r="C54" s="27" t="s">
        <v>186</v>
      </c>
      <c r="D54" s="25"/>
      <c r="E54" s="28"/>
      <c r="F54" s="27"/>
      <c r="G54" s="28"/>
      <c r="H54" s="27"/>
      <c r="I54" s="28"/>
      <c r="J54" s="27">
        <v>1.2</v>
      </c>
      <c r="K54" s="29" t="s">
        <v>35</v>
      </c>
      <c r="L54" s="39"/>
      <c r="M54" s="31"/>
      <c r="N54" s="27" t="s">
        <v>76</v>
      </c>
      <c r="P54" s="32"/>
      <c r="Q54" s="25"/>
      <c r="R54" s="27"/>
      <c r="S54" s="27"/>
      <c r="T54" s="28"/>
      <c r="U54" s="27"/>
      <c r="V54" s="27"/>
      <c r="W54" s="28"/>
      <c r="X54" s="33"/>
      <c r="Y54" s="32"/>
      <c r="Z54" s="25"/>
      <c r="AA54" s="27"/>
      <c r="AB54" s="28"/>
      <c r="AC54" s="27"/>
      <c r="AD54" s="27"/>
      <c r="AE54" s="33"/>
      <c r="AG54" s="25"/>
      <c r="AH54" s="34"/>
      <c r="AI54" s="27">
        <v>2.5000000000000001E-2</v>
      </c>
      <c r="AJ54" s="27">
        <v>2.5000000000000001E-2</v>
      </c>
      <c r="AK54" s="27">
        <v>2.5000000000000001E-2</v>
      </c>
      <c r="AL54" s="25"/>
      <c r="AM54" s="34"/>
      <c r="AN54" s="27">
        <v>0.05</v>
      </c>
      <c r="AO54" s="27">
        <v>0.05</v>
      </c>
      <c r="AP54" s="36">
        <v>0.05</v>
      </c>
      <c r="AQ54" s="37"/>
      <c r="AR54" s="32"/>
      <c r="AS54" s="25" t="s">
        <v>82</v>
      </c>
      <c r="AT54" s="27" t="s">
        <v>52</v>
      </c>
      <c r="AU54" s="27"/>
      <c r="AW54" s="25"/>
      <c r="AX54" s="27"/>
      <c r="AY54" s="27"/>
      <c r="AZ54" s="32"/>
      <c r="BA54" s="41">
        <v>0</v>
      </c>
    </row>
    <row r="55" spans="1:53" x14ac:dyDescent="0.2">
      <c r="A55" s="25">
        <v>48</v>
      </c>
      <c r="B55" s="26">
        <v>45089</v>
      </c>
      <c r="C55" s="27"/>
      <c r="D55" s="25"/>
      <c r="E55" s="28"/>
      <c r="F55" s="27"/>
      <c r="G55" s="28"/>
      <c r="H55" s="27"/>
      <c r="I55" s="28"/>
      <c r="J55" s="27">
        <v>1.2</v>
      </c>
      <c r="K55" s="29" t="s">
        <v>35</v>
      </c>
      <c r="M55" s="31"/>
      <c r="N55" s="27" t="s">
        <v>76</v>
      </c>
      <c r="P55" s="32"/>
      <c r="Q55" s="25"/>
      <c r="R55" s="27"/>
      <c r="S55" s="27"/>
      <c r="T55" s="28"/>
      <c r="U55" s="27"/>
      <c r="V55" s="27"/>
      <c r="W55" s="28"/>
      <c r="X55" s="33"/>
      <c r="Y55" s="32"/>
      <c r="Z55" s="25"/>
      <c r="AA55" s="27"/>
      <c r="AB55" s="28"/>
      <c r="AC55" s="27"/>
      <c r="AD55" s="27"/>
      <c r="AE55" s="33"/>
      <c r="AG55" s="25"/>
      <c r="AH55" s="34"/>
      <c r="AI55" s="27"/>
      <c r="AJ55" s="27"/>
      <c r="AK55" s="27"/>
      <c r="AL55" s="25"/>
      <c r="AM55" s="34"/>
      <c r="AN55" s="27"/>
      <c r="AO55" s="27"/>
      <c r="AP55" s="36"/>
      <c r="AQ55" s="37"/>
      <c r="AR55" s="32"/>
      <c r="AS55" s="25" t="s">
        <v>82</v>
      </c>
      <c r="AT55" s="27" t="s">
        <v>52</v>
      </c>
      <c r="AU55" s="27"/>
      <c r="AW55" s="25"/>
      <c r="AX55" s="27"/>
      <c r="AY55" s="27"/>
      <c r="AZ55" s="32"/>
      <c r="BA55" s="41"/>
    </row>
    <row r="56" spans="1:53" ht="16" thickBot="1" x14ac:dyDescent="0.25">
      <c r="A56" s="25">
        <v>49</v>
      </c>
      <c r="B56" s="26">
        <v>45090</v>
      </c>
      <c r="C56" s="27" t="s">
        <v>186</v>
      </c>
      <c r="D56" s="25"/>
      <c r="E56" s="28"/>
      <c r="F56" s="27"/>
      <c r="G56" s="28"/>
      <c r="H56" s="27"/>
      <c r="I56" s="28"/>
      <c r="J56" s="27">
        <v>1.2</v>
      </c>
      <c r="K56" s="29" t="s">
        <v>35</v>
      </c>
      <c r="L56" s="39"/>
      <c r="M56" s="31"/>
      <c r="N56" s="27" t="s">
        <v>76</v>
      </c>
      <c r="P56" s="32"/>
      <c r="Q56" s="25"/>
      <c r="R56" s="27"/>
      <c r="S56" s="27"/>
      <c r="T56" s="28"/>
      <c r="U56" s="27"/>
      <c r="V56" s="27"/>
      <c r="W56" s="28"/>
      <c r="X56" s="33"/>
      <c r="Y56" s="32"/>
      <c r="Z56" s="25"/>
      <c r="AA56" s="27"/>
      <c r="AB56" s="28"/>
      <c r="AC56" s="27"/>
      <c r="AD56" s="27"/>
      <c r="AE56" s="33"/>
      <c r="AG56" s="25"/>
      <c r="AH56" s="34"/>
      <c r="AI56" s="27">
        <v>2.5000000000000001E-2</v>
      </c>
      <c r="AJ56" s="27">
        <v>2.5000000000000001E-2</v>
      </c>
      <c r="AK56" s="27">
        <v>2.5000000000000001E-2</v>
      </c>
      <c r="AL56" s="25"/>
      <c r="AM56" s="34"/>
      <c r="AN56" s="27">
        <v>0.05</v>
      </c>
      <c r="AO56" s="27">
        <v>0.05</v>
      </c>
      <c r="AP56" s="36">
        <v>0.05</v>
      </c>
      <c r="AQ56" s="37"/>
      <c r="AR56" s="32"/>
      <c r="AS56" s="25" t="s">
        <v>82</v>
      </c>
      <c r="AT56" s="27" t="s">
        <v>52</v>
      </c>
      <c r="AU56" s="27"/>
      <c r="AW56" s="25"/>
      <c r="AX56" s="27"/>
      <c r="AY56" s="27"/>
      <c r="AZ56" s="32"/>
      <c r="BA56" s="41">
        <v>0</v>
      </c>
    </row>
    <row r="57" spans="1:53" ht="16" thickBot="1" x14ac:dyDescent="0.25">
      <c r="A57" s="25">
        <v>50</v>
      </c>
      <c r="B57" s="26">
        <v>45091</v>
      </c>
      <c r="C57" s="27" t="s">
        <v>186</v>
      </c>
      <c r="D57" s="25"/>
      <c r="E57" s="28"/>
      <c r="F57" s="27"/>
      <c r="G57" s="28"/>
      <c r="H57" s="27"/>
      <c r="I57" s="28"/>
      <c r="J57" s="27">
        <v>1.2</v>
      </c>
      <c r="K57" s="29" t="s">
        <v>35</v>
      </c>
      <c r="L57" s="44" t="s">
        <v>83</v>
      </c>
      <c r="M57" s="153" t="s">
        <v>174</v>
      </c>
      <c r="N57" s="27" t="s">
        <v>76</v>
      </c>
      <c r="O57" s="45" t="s">
        <v>84</v>
      </c>
      <c r="P57" s="46" t="s">
        <v>85</v>
      </c>
      <c r="Q57" s="25"/>
      <c r="R57" s="27"/>
      <c r="S57" s="27"/>
      <c r="T57" s="28"/>
      <c r="U57" s="27"/>
      <c r="V57" s="27"/>
      <c r="W57" s="28"/>
      <c r="X57" s="33"/>
      <c r="Y57" s="32"/>
      <c r="Z57" s="25"/>
      <c r="AA57" s="27"/>
      <c r="AB57" s="28"/>
      <c r="AC57" s="27"/>
      <c r="AD57" s="27"/>
      <c r="AE57" s="33"/>
      <c r="AG57" s="25"/>
      <c r="AH57" s="34"/>
      <c r="AI57" s="27">
        <v>2.5000000000000001E-2</v>
      </c>
      <c r="AJ57" s="27">
        <v>2.5000000000000001E-2</v>
      </c>
      <c r="AK57" s="27">
        <v>2.5000000000000001E-2</v>
      </c>
      <c r="AL57" s="25"/>
      <c r="AM57" s="34"/>
      <c r="AN57" s="27">
        <v>0.05</v>
      </c>
      <c r="AO57" s="27">
        <v>0.05</v>
      </c>
      <c r="AP57" s="36">
        <v>0.05</v>
      </c>
      <c r="AQ57" s="37"/>
      <c r="AR57" s="32"/>
      <c r="AS57" s="25" t="s">
        <v>86</v>
      </c>
      <c r="AT57" s="27" t="s">
        <v>87</v>
      </c>
      <c r="AU57" s="58" t="s">
        <v>88</v>
      </c>
      <c r="AW57" s="25"/>
      <c r="AX57" s="27"/>
      <c r="AY57" s="27"/>
      <c r="AZ57" s="32"/>
      <c r="BA57" s="41">
        <v>2</v>
      </c>
    </row>
    <row r="58" spans="1:53" ht="16" thickBot="1" x14ac:dyDescent="0.25">
      <c r="A58" s="25">
        <v>51</v>
      </c>
      <c r="B58" s="26">
        <v>45092</v>
      </c>
      <c r="C58" s="27" t="s">
        <v>186</v>
      </c>
      <c r="D58" s="25"/>
      <c r="E58" s="28"/>
      <c r="F58" s="27"/>
      <c r="G58" s="28"/>
      <c r="H58" s="27"/>
      <c r="I58" s="28"/>
      <c r="J58" s="27">
        <v>2</v>
      </c>
      <c r="K58" s="29" t="s">
        <v>35</v>
      </c>
      <c r="L58" s="88" t="s">
        <v>89</v>
      </c>
      <c r="M58" s="31"/>
      <c r="N58" s="27"/>
      <c r="P58" s="46"/>
      <c r="Q58" s="27"/>
      <c r="R58" s="27"/>
      <c r="S58" s="27"/>
      <c r="T58" s="28"/>
      <c r="U58" s="27"/>
      <c r="V58" s="27"/>
      <c r="W58" s="28"/>
      <c r="X58" s="33"/>
      <c r="Y58" s="32"/>
      <c r="Z58" s="25"/>
      <c r="AA58" s="27"/>
      <c r="AB58" s="28"/>
      <c r="AC58" s="27"/>
      <c r="AD58" s="27"/>
      <c r="AE58" s="33"/>
      <c r="AG58" s="25"/>
      <c r="AH58" s="34"/>
      <c r="AI58" s="27">
        <v>2.5000000000000001E-2</v>
      </c>
      <c r="AJ58" s="27">
        <v>2.5000000000000001E-2</v>
      </c>
      <c r="AK58" s="27">
        <v>2.5000000000000001E-2</v>
      </c>
      <c r="AL58" s="25"/>
      <c r="AM58" s="34"/>
      <c r="AN58" s="27">
        <v>0.05</v>
      </c>
      <c r="AO58" s="27">
        <v>0.05</v>
      </c>
      <c r="AP58" s="36">
        <v>0.05</v>
      </c>
      <c r="AQ58" s="37"/>
      <c r="AR58" s="32"/>
      <c r="AS58" s="25" t="s">
        <v>86</v>
      </c>
      <c r="AT58" s="27" t="s">
        <v>87</v>
      </c>
      <c r="AU58" s="27"/>
      <c r="AW58" s="25"/>
      <c r="AX58" s="27"/>
      <c r="AY58" s="27"/>
      <c r="AZ58" s="32"/>
      <c r="BA58" s="41">
        <v>0</v>
      </c>
    </row>
    <row r="59" spans="1:53" ht="16" thickBot="1" x14ac:dyDescent="0.25">
      <c r="A59" s="25">
        <v>52</v>
      </c>
      <c r="B59" s="26">
        <v>45093</v>
      </c>
      <c r="C59" s="27" t="s">
        <v>117</v>
      </c>
      <c r="D59" s="25"/>
      <c r="E59" s="28"/>
      <c r="F59" s="27"/>
      <c r="G59" s="28"/>
      <c r="H59" s="27"/>
      <c r="I59" s="28"/>
      <c r="J59" s="27">
        <v>2</v>
      </c>
      <c r="K59" s="29" t="s">
        <v>35</v>
      </c>
      <c r="L59" s="39"/>
      <c r="M59" s="31"/>
      <c r="N59" s="27"/>
      <c r="P59" s="32"/>
      <c r="Q59" s="25"/>
      <c r="R59" s="27"/>
      <c r="S59" s="27"/>
      <c r="T59" s="28"/>
      <c r="U59" s="27"/>
      <c r="V59" s="27"/>
      <c r="W59" s="28"/>
      <c r="X59" s="33"/>
      <c r="Y59" s="32"/>
      <c r="Z59" s="25"/>
      <c r="AA59" s="27"/>
      <c r="AB59" s="28"/>
      <c r="AC59" s="27"/>
      <c r="AD59" s="27"/>
      <c r="AE59" s="33"/>
      <c r="AG59" s="25"/>
      <c r="AH59" s="34"/>
      <c r="AI59" s="27"/>
      <c r="AJ59" s="27"/>
      <c r="AK59" s="27"/>
      <c r="AL59" s="25"/>
      <c r="AM59" s="34"/>
      <c r="AN59" s="27"/>
      <c r="AO59" s="27"/>
      <c r="AP59" s="36"/>
      <c r="AQ59" s="37"/>
      <c r="AR59" s="32"/>
      <c r="AS59" s="25" t="s">
        <v>86</v>
      </c>
      <c r="AT59" s="27" t="s">
        <v>87</v>
      </c>
      <c r="AW59" s="25"/>
      <c r="AX59" s="27"/>
      <c r="AY59" s="27"/>
      <c r="AZ59" s="32"/>
      <c r="BA59" s="41"/>
    </row>
    <row r="60" spans="1:53" ht="16" thickBot="1" x14ac:dyDescent="0.25">
      <c r="A60" s="25">
        <v>53</v>
      </c>
      <c r="B60" s="26">
        <v>45094</v>
      </c>
      <c r="C60" s="27" t="s">
        <v>117</v>
      </c>
      <c r="D60" s="25"/>
      <c r="E60" s="28"/>
      <c r="F60" s="27"/>
      <c r="G60" s="28"/>
      <c r="H60" s="27"/>
      <c r="I60" s="28"/>
      <c r="J60" s="27">
        <v>2</v>
      </c>
      <c r="K60" s="29" t="s">
        <v>35</v>
      </c>
      <c r="L60" s="39"/>
      <c r="M60" s="153" t="s">
        <v>175</v>
      </c>
      <c r="N60" s="27"/>
      <c r="P60" s="32"/>
      <c r="Q60" s="25"/>
      <c r="R60" s="27"/>
      <c r="S60" s="27"/>
      <c r="T60" s="28"/>
      <c r="U60" s="27"/>
      <c r="V60" s="27"/>
      <c r="W60" s="28"/>
      <c r="X60" s="33"/>
      <c r="Y60" s="32"/>
      <c r="Z60" s="25"/>
      <c r="AA60" s="27"/>
      <c r="AB60" s="28"/>
      <c r="AC60" s="27"/>
      <c r="AD60" s="27"/>
      <c r="AE60" s="33"/>
      <c r="AG60" s="25"/>
      <c r="AH60" s="34"/>
      <c r="AI60" s="27"/>
      <c r="AJ60" s="27"/>
      <c r="AK60" s="27"/>
      <c r="AL60" s="25"/>
      <c r="AM60" s="34"/>
      <c r="AN60" s="27"/>
      <c r="AO60" s="27"/>
      <c r="AP60" s="36"/>
      <c r="AQ60" s="37"/>
      <c r="AR60" s="32"/>
      <c r="AS60" s="25" t="s">
        <v>86</v>
      </c>
      <c r="AT60" s="27" t="s">
        <v>87</v>
      </c>
      <c r="AU60" s="27"/>
      <c r="AW60" s="25" t="s">
        <v>90</v>
      </c>
      <c r="AX60" s="27" t="s">
        <v>91</v>
      </c>
      <c r="AY60" s="89" t="s">
        <v>92</v>
      </c>
      <c r="AZ60" s="32"/>
      <c r="BA60" s="41"/>
    </row>
    <row r="61" spans="1:53" ht="16" thickBot="1" x14ac:dyDescent="0.25">
      <c r="A61" s="25">
        <v>54</v>
      </c>
      <c r="B61" s="26">
        <v>45095</v>
      </c>
      <c r="C61" s="27"/>
      <c r="D61" s="25"/>
      <c r="E61" s="28"/>
      <c r="F61" s="27"/>
      <c r="G61" s="28"/>
      <c r="H61" s="27"/>
      <c r="I61" s="28"/>
      <c r="J61" s="27">
        <v>2</v>
      </c>
      <c r="K61" s="29" t="s">
        <v>35</v>
      </c>
      <c r="L61" s="39"/>
      <c r="M61" s="31"/>
      <c r="N61" s="27"/>
      <c r="P61" s="32"/>
      <c r="Q61" s="25"/>
      <c r="R61" s="27"/>
      <c r="S61" s="27"/>
      <c r="T61" s="28"/>
      <c r="U61" s="27"/>
      <c r="V61" s="27"/>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U61" s="27"/>
      <c r="AW61" s="25" t="s">
        <v>90</v>
      </c>
      <c r="AX61" s="27" t="s">
        <v>91</v>
      </c>
      <c r="AY61" s="27"/>
      <c r="AZ61" s="32"/>
      <c r="BA61" s="41"/>
    </row>
    <row r="62" spans="1:53" ht="16" thickBot="1" x14ac:dyDescent="0.25">
      <c r="A62" s="25">
        <v>55</v>
      </c>
      <c r="B62" s="26">
        <v>45096</v>
      </c>
      <c r="C62" s="27" t="s">
        <v>117</v>
      </c>
      <c r="D62" s="25"/>
      <c r="E62" s="28"/>
      <c r="F62" s="27"/>
      <c r="G62" s="28"/>
      <c r="H62" s="27"/>
      <c r="I62" s="28"/>
      <c r="J62" s="27">
        <v>2</v>
      </c>
      <c r="K62" s="29" t="s">
        <v>35</v>
      </c>
      <c r="L62" s="39"/>
      <c r="M62" s="31"/>
      <c r="N62" s="27"/>
      <c r="P62" s="32"/>
      <c r="Q62" s="25"/>
      <c r="R62" s="27"/>
      <c r="S62" s="27"/>
      <c r="T62" s="28"/>
      <c r="U62" s="27"/>
      <c r="V62" s="27"/>
      <c r="W62" s="28"/>
      <c r="X62" s="33"/>
      <c r="Y62" s="32"/>
      <c r="Z62" s="25"/>
      <c r="AA62" s="27"/>
      <c r="AB62" s="28"/>
      <c r="AC62" s="27"/>
      <c r="AD62" s="27"/>
      <c r="AE62" s="33"/>
      <c r="AG62" s="25"/>
      <c r="AH62" s="34"/>
      <c r="AI62" s="27">
        <v>2.5000000000000001E-2</v>
      </c>
      <c r="AJ62" s="27">
        <v>2.5000000000000001E-2</v>
      </c>
      <c r="AK62" s="27">
        <v>2.5000000000000001E-2</v>
      </c>
      <c r="AL62" s="25"/>
      <c r="AM62" s="34"/>
      <c r="AN62" s="27">
        <v>0.05</v>
      </c>
      <c r="AO62" s="27">
        <v>0.05</v>
      </c>
      <c r="AP62" s="36">
        <v>0.05</v>
      </c>
      <c r="AQ62" s="82" t="s">
        <v>93</v>
      </c>
      <c r="AR62" s="32"/>
      <c r="AS62" s="25" t="s">
        <v>86</v>
      </c>
      <c r="AT62" s="27" t="s">
        <v>87</v>
      </c>
      <c r="AW62" s="25" t="s">
        <v>90</v>
      </c>
      <c r="AX62" s="27" t="s">
        <v>91</v>
      </c>
      <c r="AY62" s="27"/>
      <c r="AZ62" s="32"/>
      <c r="BA62" s="41"/>
    </row>
    <row r="63" spans="1:53" x14ac:dyDescent="0.2">
      <c r="A63" s="25">
        <v>56</v>
      </c>
      <c r="B63" s="26">
        <v>45097</v>
      </c>
      <c r="C63" s="27" t="s">
        <v>117</v>
      </c>
      <c r="D63" s="25"/>
      <c r="E63" s="28"/>
      <c r="F63" s="27"/>
      <c r="G63" s="28"/>
      <c r="H63" s="27"/>
      <c r="I63" s="28"/>
      <c r="J63" s="27">
        <v>2</v>
      </c>
      <c r="K63" s="29" t="s">
        <v>35</v>
      </c>
      <c r="L63" s="39"/>
      <c r="M63" s="31"/>
      <c r="N63" s="27"/>
      <c r="P63" s="32"/>
      <c r="Q63" s="25"/>
      <c r="R63" s="27"/>
      <c r="S63" s="27"/>
      <c r="T63" s="28"/>
      <c r="U63" s="27"/>
      <c r="V63" s="27"/>
      <c r="W63" s="28"/>
      <c r="X63" s="33"/>
      <c r="Y63" s="32"/>
      <c r="Z63" s="25"/>
      <c r="AA63" s="27"/>
      <c r="AB63" s="28"/>
      <c r="AC63" s="27"/>
      <c r="AD63" s="27"/>
      <c r="AE63" s="33"/>
      <c r="AG63" s="25"/>
      <c r="AH63" s="34"/>
      <c r="AI63" s="27">
        <v>2.5000000000000001E-2</v>
      </c>
      <c r="AJ63" s="27">
        <v>2.5000000000000001E-2</v>
      </c>
      <c r="AK63" s="27">
        <v>2.5000000000000001E-2</v>
      </c>
      <c r="AL63" s="25"/>
      <c r="AM63" s="34"/>
      <c r="AN63" s="27">
        <v>0.05</v>
      </c>
      <c r="AO63" s="27">
        <v>0.05</v>
      </c>
      <c r="AP63" s="36">
        <v>0.05</v>
      </c>
      <c r="AQ63" s="37"/>
      <c r="AR63" s="32"/>
      <c r="AS63" s="25" t="s">
        <v>86</v>
      </c>
      <c r="AT63" s="27" t="s">
        <v>87</v>
      </c>
      <c r="AU63" s="27"/>
      <c r="AW63" s="25" t="s">
        <v>90</v>
      </c>
      <c r="AX63" s="27" t="s">
        <v>91</v>
      </c>
      <c r="AY63" s="27"/>
      <c r="AZ63" s="32"/>
      <c r="BA63" s="41">
        <v>0</v>
      </c>
    </row>
    <row r="64" spans="1:53" ht="16" thickBot="1" x14ac:dyDescent="0.25">
      <c r="A64" s="25">
        <v>57</v>
      </c>
      <c r="B64" s="26">
        <v>45098</v>
      </c>
      <c r="C64" s="27" t="s">
        <v>117</v>
      </c>
      <c r="D64" s="25"/>
      <c r="E64" s="28"/>
      <c r="F64" s="27"/>
      <c r="G64" s="28"/>
      <c r="H64" s="27"/>
      <c r="I64" s="28"/>
      <c r="J64" s="27">
        <v>2</v>
      </c>
      <c r="K64" s="29" t="s">
        <v>35</v>
      </c>
      <c r="L64" s="39"/>
      <c r="M64" s="31"/>
      <c r="N64" s="27"/>
      <c r="P64" s="32"/>
      <c r="Q64" s="25"/>
      <c r="R64" s="27"/>
      <c r="S64" s="27"/>
      <c r="T64" s="28"/>
      <c r="U64" s="27"/>
      <c r="V64" s="27"/>
      <c r="W64" s="28"/>
      <c r="X64" s="33"/>
      <c r="Y64" s="32"/>
      <c r="Z64" s="25"/>
      <c r="AA64" s="27"/>
      <c r="AB64" s="28"/>
      <c r="AC64" s="27"/>
      <c r="AD64" s="27"/>
      <c r="AE64" s="33"/>
      <c r="AG64" s="25"/>
      <c r="AH64" s="34"/>
      <c r="AI64" s="27"/>
      <c r="AJ64" s="27"/>
      <c r="AK64" s="27"/>
      <c r="AL64" s="25"/>
      <c r="AM64" s="34"/>
      <c r="AN64" s="27"/>
      <c r="AO64" s="27"/>
      <c r="AP64" s="36"/>
      <c r="AQ64" s="37"/>
      <c r="AR64" s="32"/>
      <c r="AS64" s="25" t="s">
        <v>86</v>
      </c>
      <c r="AT64" s="27" t="s">
        <v>87</v>
      </c>
      <c r="AU64" s="27"/>
      <c r="AW64" s="25" t="s">
        <v>90</v>
      </c>
      <c r="AX64" s="27" t="s">
        <v>91</v>
      </c>
      <c r="AY64" s="27"/>
      <c r="AZ64" s="32"/>
      <c r="BA64" s="41"/>
    </row>
    <row r="65" spans="1:53" s="125" customFormat="1" ht="16" thickBot="1" x14ac:dyDescent="0.25">
      <c r="A65" s="108">
        <v>58</v>
      </c>
      <c r="B65" s="109">
        <v>45099</v>
      </c>
      <c r="C65" s="112" t="s">
        <v>117</v>
      </c>
      <c r="D65" s="108"/>
      <c r="E65" s="111"/>
      <c r="F65" s="112"/>
      <c r="G65" s="111"/>
      <c r="H65" s="112"/>
      <c r="I65" s="111"/>
      <c r="J65" s="112">
        <v>2</v>
      </c>
      <c r="K65" s="113" t="s">
        <v>35</v>
      </c>
      <c r="L65" s="155" t="s">
        <v>192</v>
      </c>
      <c r="M65" s="115"/>
      <c r="N65" s="112"/>
      <c r="O65" s="121"/>
      <c r="P65" s="116"/>
      <c r="Q65" s="108"/>
      <c r="R65" s="112"/>
      <c r="S65" s="112"/>
      <c r="T65" s="111"/>
      <c r="U65" s="112"/>
      <c r="V65" s="112"/>
      <c r="W65" s="111"/>
      <c r="X65" s="117"/>
      <c r="Y65" s="116"/>
      <c r="Z65" s="108"/>
      <c r="AA65" s="112"/>
      <c r="AB65" s="111"/>
      <c r="AC65" s="112"/>
      <c r="AD65" s="112"/>
      <c r="AE65" s="117"/>
      <c r="AF65" s="121"/>
      <c r="AG65" s="108"/>
      <c r="AH65" s="122"/>
      <c r="AI65" s="112"/>
      <c r="AJ65" s="112"/>
      <c r="AK65" s="112"/>
      <c r="AL65" s="108"/>
      <c r="AM65" s="122"/>
      <c r="AN65" s="112"/>
      <c r="AO65" s="112"/>
      <c r="AP65" s="154"/>
      <c r="AQ65" s="123"/>
      <c r="AR65" s="116"/>
      <c r="AS65" s="108" t="s">
        <v>86</v>
      </c>
      <c r="AT65" s="112" t="s">
        <v>87</v>
      </c>
      <c r="AU65" s="112"/>
      <c r="AV65" s="121"/>
      <c r="AW65" s="108" t="s">
        <v>90</v>
      </c>
      <c r="AX65" s="112" t="s">
        <v>91</v>
      </c>
      <c r="AY65" s="156" t="s">
        <v>94</v>
      </c>
      <c r="AZ65" s="116"/>
      <c r="BA65" s="124"/>
    </row>
    <row r="66" spans="1:53" ht="16" thickBot="1" x14ac:dyDescent="0.25">
      <c r="A66" s="25">
        <v>59</v>
      </c>
      <c r="B66" s="26">
        <v>45100</v>
      </c>
      <c r="C66" s="27"/>
      <c r="D66" s="25"/>
      <c r="E66" s="28"/>
      <c r="F66" s="27"/>
      <c r="G66" s="28"/>
      <c r="H66" s="27"/>
      <c r="I66" s="28"/>
      <c r="J66" s="27">
        <v>2</v>
      </c>
      <c r="K66" s="29" t="s">
        <v>35</v>
      </c>
      <c r="L66" s="39"/>
      <c r="M66" s="31"/>
      <c r="N66" s="27"/>
      <c r="P66" s="32"/>
      <c r="Q66" s="25"/>
      <c r="R66" s="27"/>
      <c r="S66" s="27"/>
      <c r="T66" s="28"/>
      <c r="U66" s="27"/>
      <c r="V66" s="27"/>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27"/>
      <c r="AW66" s="25" t="s">
        <v>90</v>
      </c>
      <c r="AX66" s="27" t="s">
        <v>95</v>
      </c>
      <c r="AY66" s="27"/>
      <c r="AZ66" s="32"/>
      <c r="BA66" s="41"/>
    </row>
    <row r="67" spans="1:53" ht="16" thickBot="1" x14ac:dyDescent="0.25">
      <c r="A67" s="25">
        <v>60</v>
      </c>
      <c r="B67" s="26">
        <v>45101</v>
      </c>
      <c r="C67" s="27"/>
      <c r="D67" s="25"/>
      <c r="E67" s="28"/>
      <c r="F67" s="27"/>
      <c r="G67" s="28"/>
      <c r="H67" s="27"/>
      <c r="I67" s="28"/>
      <c r="J67" s="27">
        <v>2</v>
      </c>
      <c r="K67" s="29" t="s">
        <v>35</v>
      </c>
      <c r="L67" s="39"/>
      <c r="M67" s="31"/>
      <c r="N67" s="27"/>
      <c r="P67" s="32"/>
      <c r="Q67" s="25"/>
      <c r="R67" s="27"/>
      <c r="S67" s="27"/>
      <c r="T67" s="28"/>
      <c r="U67" s="27"/>
      <c r="V67" s="27"/>
      <c r="W67" s="28"/>
      <c r="X67" s="33"/>
      <c r="Y67" s="32"/>
      <c r="Z67" s="25"/>
      <c r="AA67" s="27"/>
      <c r="AB67" s="28"/>
      <c r="AC67" s="27"/>
      <c r="AD67" s="27"/>
      <c r="AE67" s="33"/>
      <c r="AG67" s="25"/>
      <c r="AH67" s="34"/>
      <c r="AI67" s="27"/>
      <c r="AJ67" s="27"/>
      <c r="AK67" s="27"/>
      <c r="AL67" s="25"/>
      <c r="AM67" s="34"/>
      <c r="AN67" s="27"/>
      <c r="AO67" s="27"/>
      <c r="AP67" s="36"/>
      <c r="AQ67" s="37"/>
      <c r="AR67" s="32"/>
      <c r="AS67" s="25" t="s">
        <v>96</v>
      </c>
      <c r="AT67" s="27" t="s">
        <v>87</v>
      </c>
      <c r="AU67" s="58" t="s">
        <v>97</v>
      </c>
      <c r="AW67" s="25" t="s">
        <v>90</v>
      </c>
      <c r="AX67" s="27" t="s">
        <v>95</v>
      </c>
      <c r="AY67" s="27"/>
      <c r="AZ67" s="32"/>
      <c r="BA67" s="41"/>
    </row>
    <row r="68" spans="1:53" x14ac:dyDescent="0.2">
      <c r="A68" s="25">
        <v>61</v>
      </c>
      <c r="B68" s="26">
        <v>45102</v>
      </c>
      <c r="C68" s="27"/>
      <c r="D68" s="25"/>
      <c r="E68" s="28"/>
      <c r="F68" s="27"/>
      <c r="G68" s="28"/>
      <c r="H68" s="27"/>
      <c r="I68" s="28"/>
      <c r="J68" s="27">
        <v>2</v>
      </c>
      <c r="K68" s="29" t="s">
        <v>35</v>
      </c>
      <c r="L68" s="39"/>
      <c r="M68" s="31"/>
      <c r="N68" s="27"/>
      <c r="P68" s="32"/>
      <c r="Q68" s="25"/>
      <c r="R68" s="27"/>
      <c r="S68" s="27"/>
      <c r="T68" s="28"/>
      <c r="U68" s="27"/>
      <c r="V68" s="27"/>
      <c r="W68" s="28"/>
      <c r="X68" s="33"/>
      <c r="Y68" s="32"/>
      <c r="Z68" s="25"/>
      <c r="AA68" s="27"/>
      <c r="AB68" s="28"/>
      <c r="AC68" s="27"/>
      <c r="AD68" s="27"/>
      <c r="AE68" s="33"/>
      <c r="AG68" s="25"/>
      <c r="AH68" s="34"/>
      <c r="AI68" s="27"/>
      <c r="AJ68" s="27"/>
      <c r="AK68" s="27"/>
      <c r="AL68" s="25"/>
      <c r="AM68" s="34"/>
      <c r="AN68" s="27"/>
      <c r="AO68" s="27"/>
      <c r="AP68" s="36"/>
      <c r="AQ68" s="37"/>
      <c r="AR68" s="32"/>
      <c r="AS68" s="25" t="s">
        <v>96</v>
      </c>
      <c r="AT68" s="27" t="s">
        <v>87</v>
      </c>
      <c r="AU68" s="27"/>
      <c r="AW68" s="25" t="s">
        <v>90</v>
      </c>
      <c r="AX68" s="27" t="s">
        <v>95</v>
      </c>
      <c r="AY68" s="27"/>
      <c r="AZ68" s="32"/>
      <c r="BA68" s="41"/>
    </row>
    <row r="69" spans="1:53" x14ac:dyDescent="0.2">
      <c r="A69" s="25">
        <v>62</v>
      </c>
      <c r="B69" s="26">
        <v>45103</v>
      </c>
      <c r="C69" s="27"/>
      <c r="D69" s="25"/>
      <c r="E69" s="28"/>
      <c r="F69" s="27"/>
      <c r="G69" s="28"/>
      <c r="H69" s="27"/>
      <c r="I69" s="28"/>
      <c r="J69" s="27">
        <v>2</v>
      </c>
      <c r="K69" s="29" t="s">
        <v>35</v>
      </c>
      <c r="L69" s="39"/>
      <c r="M69" s="31"/>
      <c r="N69" s="27"/>
      <c r="P69" s="32"/>
      <c r="Q69" s="25"/>
      <c r="R69" s="27"/>
      <c r="S69" s="27"/>
      <c r="T69" s="28"/>
      <c r="U69" s="27"/>
      <c r="V69" s="27"/>
      <c r="W69" s="28"/>
      <c r="X69" s="33"/>
      <c r="Y69" s="32"/>
      <c r="Z69" s="25"/>
      <c r="AA69" s="27"/>
      <c r="AB69" s="28"/>
      <c r="AC69" s="27"/>
      <c r="AD69" s="27"/>
      <c r="AE69" s="33"/>
      <c r="AG69" s="25"/>
      <c r="AH69" s="34"/>
      <c r="AI69" s="27"/>
      <c r="AJ69" s="27"/>
      <c r="AK69" s="27"/>
      <c r="AL69" s="25"/>
      <c r="AM69" s="34"/>
      <c r="AN69" s="27"/>
      <c r="AO69" s="27"/>
      <c r="AP69" s="36"/>
      <c r="AQ69" s="37"/>
      <c r="AR69" s="32"/>
      <c r="AS69" s="25" t="s">
        <v>96</v>
      </c>
      <c r="AT69" s="27" t="s">
        <v>87</v>
      </c>
      <c r="AU69" s="27"/>
      <c r="AW69" s="25" t="s">
        <v>90</v>
      </c>
      <c r="AX69" s="27" t="s">
        <v>95</v>
      </c>
      <c r="AY69" s="27"/>
      <c r="AZ69" s="32"/>
      <c r="BA69" s="41"/>
    </row>
    <row r="70" spans="1:53" x14ac:dyDescent="0.2">
      <c r="A70" s="25">
        <v>63</v>
      </c>
      <c r="B70" s="26">
        <v>45104</v>
      </c>
      <c r="C70" s="27"/>
      <c r="D70" s="25"/>
      <c r="E70" s="28"/>
      <c r="F70" s="27"/>
      <c r="G70" s="28"/>
      <c r="H70" s="27"/>
      <c r="I70" s="28"/>
      <c r="J70" s="27">
        <v>2</v>
      </c>
      <c r="K70" s="29" t="s">
        <v>35</v>
      </c>
      <c r="L70" s="39"/>
      <c r="M70" s="31"/>
      <c r="N70" s="27"/>
      <c r="P70" s="32"/>
      <c r="Q70" s="25"/>
      <c r="R70" s="27"/>
      <c r="S70" s="27"/>
      <c r="T70" s="28"/>
      <c r="U70" s="27"/>
      <c r="V70" s="27"/>
      <c r="W70" s="28"/>
      <c r="X70" s="33"/>
      <c r="Y70" s="32"/>
      <c r="Z70" s="25"/>
      <c r="AA70" s="27"/>
      <c r="AB70" s="28"/>
      <c r="AC70" s="27"/>
      <c r="AD70" s="27"/>
      <c r="AE70" s="33"/>
      <c r="AG70" s="25"/>
      <c r="AH70" s="34"/>
      <c r="AI70" s="27"/>
      <c r="AJ70" s="27"/>
      <c r="AK70" s="27"/>
      <c r="AL70" s="25"/>
      <c r="AM70" s="34"/>
      <c r="AN70" s="27"/>
      <c r="AO70" s="27"/>
      <c r="AP70" s="36"/>
      <c r="AQ70" s="37"/>
      <c r="AR70" s="32"/>
      <c r="AS70" s="25" t="s">
        <v>96</v>
      </c>
      <c r="AT70" s="27" t="s">
        <v>87</v>
      </c>
      <c r="AU70" s="27"/>
      <c r="AW70" s="25" t="s">
        <v>90</v>
      </c>
      <c r="AX70" s="27" t="s">
        <v>95</v>
      </c>
      <c r="AY70" s="27"/>
      <c r="AZ70" s="32"/>
      <c r="BA70" s="41"/>
    </row>
    <row r="71" spans="1:53" x14ac:dyDescent="0.2">
      <c r="A71" s="25">
        <v>64</v>
      </c>
      <c r="B71" s="26">
        <v>45105</v>
      </c>
      <c r="C71" s="27"/>
      <c r="D71" s="25"/>
      <c r="E71" s="28"/>
      <c r="F71" s="27"/>
      <c r="G71" s="28"/>
      <c r="H71" s="27"/>
      <c r="I71" s="28"/>
      <c r="J71" s="27">
        <v>2</v>
      </c>
      <c r="K71" s="29" t="s">
        <v>35</v>
      </c>
      <c r="L71" s="39"/>
      <c r="M71" s="31"/>
      <c r="N71" s="27"/>
      <c r="P71" s="32"/>
      <c r="Q71" s="25"/>
      <c r="R71" s="27"/>
      <c r="S71" s="27"/>
      <c r="T71" s="28"/>
      <c r="U71" s="27"/>
      <c r="V71" s="27"/>
      <c r="W71" s="28"/>
      <c r="X71" s="33"/>
      <c r="Y71" s="32"/>
      <c r="Z71" s="25"/>
      <c r="AA71" s="27"/>
      <c r="AB71" s="28"/>
      <c r="AC71" s="27"/>
      <c r="AD71" s="27"/>
      <c r="AE71" s="33"/>
      <c r="AG71" s="25"/>
      <c r="AH71" s="34"/>
      <c r="AI71" s="27"/>
      <c r="AJ71" s="27"/>
      <c r="AK71" s="27"/>
      <c r="AL71" s="25"/>
      <c r="AM71" s="34"/>
      <c r="AN71" s="27"/>
      <c r="AO71" s="27"/>
      <c r="AP71" s="36"/>
      <c r="AQ71" s="37"/>
      <c r="AR71" s="32"/>
      <c r="AS71" s="25" t="s">
        <v>96</v>
      </c>
      <c r="AT71" s="27" t="s">
        <v>87</v>
      </c>
      <c r="AU71" s="27"/>
      <c r="AW71" s="25" t="s">
        <v>90</v>
      </c>
      <c r="AX71" s="27" t="s">
        <v>95</v>
      </c>
      <c r="AY71" s="27"/>
      <c r="AZ71" s="32"/>
      <c r="BA71" s="41"/>
    </row>
    <row r="72" spans="1:53" x14ac:dyDescent="0.2">
      <c r="A72" s="25">
        <v>65</v>
      </c>
      <c r="B72" s="26">
        <v>45106</v>
      </c>
      <c r="C72" s="27"/>
      <c r="D72" s="25"/>
      <c r="E72" s="28"/>
      <c r="F72" s="27"/>
      <c r="G72" s="28"/>
      <c r="H72" s="27"/>
      <c r="I72" s="28"/>
      <c r="J72" s="27">
        <v>2</v>
      </c>
      <c r="K72" s="29" t="s">
        <v>35</v>
      </c>
      <c r="L72" s="39"/>
      <c r="M72" s="31"/>
      <c r="N72" s="27"/>
      <c r="P72" s="32"/>
      <c r="Q72" s="25"/>
      <c r="R72" s="27"/>
      <c r="S72" s="27"/>
      <c r="T72" s="28"/>
      <c r="U72" s="27"/>
      <c r="V72" s="27"/>
      <c r="W72" s="28"/>
      <c r="X72" s="33"/>
      <c r="Y72" s="32"/>
      <c r="Z72" s="25"/>
      <c r="AA72" s="27"/>
      <c r="AB72" s="28"/>
      <c r="AC72" s="27"/>
      <c r="AD72" s="27"/>
      <c r="AE72" s="33"/>
      <c r="AG72" s="25"/>
      <c r="AH72" s="34"/>
      <c r="AI72" s="27"/>
      <c r="AJ72" s="27"/>
      <c r="AK72" s="27"/>
      <c r="AL72" s="25"/>
      <c r="AM72" s="34"/>
      <c r="AN72" s="27"/>
      <c r="AO72" s="27"/>
      <c r="AP72" s="36"/>
      <c r="AQ72" s="37"/>
      <c r="AR72" s="32"/>
      <c r="AS72" s="25" t="s">
        <v>96</v>
      </c>
      <c r="AT72" s="27" t="s">
        <v>87</v>
      </c>
      <c r="AU72" s="27"/>
      <c r="AW72" s="25" t="s">
        <v>90</v>
      </c>
      <c r="AX72" s="27" t="s">
        <v>95</v>
      </c>
      <c r="AY72" s="27"/>
      <c r="AZ72" s="32"/>
      <c r="BA72" s="41"/>
    </row>
    <row r="73" spans="1:53" x14ac:dyDescent="0.2">
      <c r="A73" s="25">
        <v>66</v>
      </c>
      <c r="B73" s="26">
        <v>45107</v>
      </c>
      <c r="C73" s="27"/>
      <c r="D73" s="25"/>
      <c r="E73" s="28"/>
      <c r="F73" s="27"/>
      <c r="G73" s="28"/>
      <c r="H73" s="27"/>
      <c r="I73" s="28"/>
      <c r="J73" s="27">
        <v>2</v>
      </c>
      <c r="K73" s="29" t="s">
        <v>35</v>
      </c>
      <c r="L73" s="39"/>
      <c r="M73" s="31"/>
      <c r="N73" s="27"/>
      <c r="P73" s="32"/>
      <c r="Q73" s="25"/>
      <c r="R73" s="27"/>
      <c r="S73" s="27"/>
      <c r="T73" s="28"/>
      <c r="U73" s="27"/>
      <c r="V73" s="27"/>
      <c r="W73" s="28"/>
      <c r="X73" s="33"/>
      <c r="Y73" s="32"/>
      <c r="Z73" s="25"/>
      <c r="AA73" s="27"/>
      <c r="AB73" s="28"/>
      <c r="AC73" s="27"/>
      <c r="AD73" s="27"/>
      <c r="AE73" s="33"/>
      <c r="AG73" s="25"/>
      <c r="AH73" s="34"/>
      <c r="AI73" s="27"/>
      <c r="AJ73" s="27"/>
      <c r="AK73" s="27"/>
      <c r="AL73" s="25"/>
      <c r="AM73" s="34"/>
      <c r="AN73" s="27"/>
      <c r="AO73" s="27"/>
      <c r="AP73" s="36"/>
      <c r="AQ73" s="37"/>
      <c r="AR73" s="32"/>
      <c r="AS73" s="25" t="s">
        <v>96</v>
      </c>
      <c r="AT73" s="27" t="s">
        <v>87</v>
      </c>
      <c r="AU73" s="27"/>
      <c r="AW73" s="25" t="s">
        <v>90</v>
      </c>
      <c r="AX73" s="27" t="s">
        <v>95</v>
      </c>
      <c r="AY73" s="27"/>
      <c r="AZ73" s="32"/>
      <c r="BA73" s="41"/>
    </row>
    <row r="74" spans="1:53" x14ac:dyDescent="0.2">
      <c r="A74" s="25">
        <v>67</v>
      </c>
      <c r="B74" s="26">
        <v>45108</v>
      </c>
      <c r="C74" s="27"/>
      <c r="D74" s="25"/>
      <c r="E74" s="28"/>
      <c r="F74" s="27"/>
      <c r="G74" s="28"/>
      <c r="H74" s="27"/>
      <c r="I74" s="28"/>
      <c r="J74" s="27">
        <v>2</v>
      </c>
      <c r="K74" s="29" t="s">
        <v>35</v>
      </c>
      <c r="L74" s="39"/>
      <c r="M74" s="31"/>
      <c r="N74" s="27"/>
      <c r="P74" s="32"/>
      <c r="Q74" s="25"/>
      <c r="R74" s="27"/>
      <c r="S74" s="27"/>
      <c r="T74" s="28"/>
      <c r="U74" s="27"/>
      <c r="V74" s="27"/>
      <c r="W74" s="28"/>
      <c r="X74" s="33"/>
      <c r="Y74" s="32"/>
      <c r="Z74" s="25"/>
      <c r="AA74" s="27"/>
      <c r="AB74" s="28"/>
      <c r="AC74" s="27"/>
      <c r="AD74" s="27"/>
      <c r="AE74" s="33"/>
      <c r="AG74" s="25"/>
      <c r="AH74" s="34"/>
      <c r="AI74" s="27"/>
      <c r="AJ74" s="27"/>
      <c r="AK74" s="27"/>
      <c r="AL74" s="25"/>
      <c r="AM74" s="34"/>
      <c r="AN74" s="27"/>
      <c r="AO74" s="27"/>
      <c r="AP74" s="36"/>
      <c r="AQ74" s="37"/>
      <c r="AR74" s="32"/>
      <c r="AS74" s="25" t="s">
        <v>96</v>
      </c>
      <c r="AT74" s="27" t="s">
        <v>87</v>
      </c>
      <c r="AU74" s="27"/>
      <c r="AW74" s="25" t="s">
        <v>90</v>
      </c>
      <c r="AX74" s="27" t="s">
        <v>95</v>
      </c>
      <c r="AY74" s="27"/>
      <c r="AZ74" s="32"/>
      <c r="BA74" s="41"/>
    </row>
    <row r="75" spans="1:53" x14ac:dyDescent="0.2">
      <c r="A75" s="25">
        <v>68</v>
      </c>
      <c r="B75" s="26">
        <v>45109</v>
      </c>
      <c r="C75" s="27"/>
      <c r="D75" s="25"/>
      <c r="E75" s="28"/>
      <c r="F75" s="27"/>
      <c r="G75" s="28"/>
      <c r="H75" s="27"/>
      <c r="I75" s="28"/>
      <c r="J75" s="27">
        <v>2</v>
      </c>
      <c r="K75" s="29" t="s">
        <v>35</v>
      </c>
      <c r="L75" s="39"/>
      <c r="M75" s="31"/>
      <c r="N75" s="27"/>
      <c r="P75" s="32"/>
      <c r="Q75" s="25"/>
      <c r="R75" s="27"/>
      <c r="S75" s="27"/>
      <c r="T75" s="28"/>
      <c r="U75" s="27"/>
      <c r="V75" s="27"/>
      <c r="W75" s="28"/>
      <c r="X75" s="33"/>
      <c r="Y75" s="32"/>
      <c r="Z75" s="25"/>
      <c r="AA75" s="27"/>
      <c r="AB75" s="28"/>
      <c r="AC75" s="27"/>
      <c r="AD75" s="27"/>
      <c r="AE75" s="33"/>
      <c r="AG75" s="25"/>
      <c r="AH75" s="34"/>
      <c r="AI75" s="27"/>
      <c r="AJ75" s="27"/>
      <c r="AK75" s="27"/>
      <c r="AL75" s="25"/>
      <c r="AM75" s="34"/>
      <c r="AN75" s="27"/>
      <c r="AO75" s="27"/>
      <c r="AP75" s="36"/>
      <c r="AQ75" s="37"/>
      <c r="AR75" s="32"/>
      <c r="AS75" s="25" t="s">
        <v>96</v>
      </c>
      <c r="AT75" s="27" t="s">
        <v>87</v>
      </c>
      <c r="AU75" s="27"/>
      <c r="AW75" s="25" t="s">
        <v>90</v>
      </c>
      <c r="AX75" s="27" t="s">
        <v>95</v>
      </c>
      <c r="AY75" s="27"/>
      <c r="AZ75" s="32"/>
      <c r="BA75" s="41"/>
    </row>
    <row r="76" spans="1:53" x14ac:dyDescent="0.2">
      <c r="A76" s="25">
        <v>69</v>
      </c>
      <c r="B76" s="26">
        <v>45110</v>
      </c>
      <c r="C76" s="27"/>
      <c r="D76" s="25"/>
      <c r="E76" s="28"/>
      <c r="F76" s="27"/>
      <c r="G76" s="28"/>
      <c r="H76" s="27"/>
      <c r="I76" s="28"/>
      <c r="J76" s="27">
        <v>2</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27"/>
      <c r="AW76" s="25" t="s">
        <v>90</v>
      </c>
      <c r="AX76" s="27" t="s">
        <v>95</v>
      </c>
      <c r="AY76" s="27"/>
      <c r="AZ76" s="32"/>
      <c r="BA76" s="41"/>
    </row>
    <row r="77" spans="1:53" x14ac:dyDescent="0.2">
      <c r="A77" s="25">
        <v>70</v>
      </c>
      <c r="B77" s="26">
        <v>45111</v>
      </c>
      <c r="C77" s="27"/>
      <c r="D77" s="25"/>
      <c r="E77" s="28"/>
      <c r="F77" s="27"/>
      <c r="G77" s="28"/>
      <c r="H77" s="27"/>
      <c r="I77" s="28"/>
      <c r="J77" s="27">
        <v>2</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71</v>
      </c>
      <c r="B78" s="26">
        <v>45112</v>
      </c>
      <c r="C78" s="27"/>
      <c r="D78" s="25"/>
      <c r="E78" s="28"/>
      <c r="F78" s="27"/>
      <c r="G78" s="28"/>
      <c r="H78" s="27"/>
      <c r="I78" s="28"/>
      <c r="J78" s="27">
        <v>2</v>
      </c>
      <c r="K78" s="29" t="s">
        <v>35</v>
      </c>
      <c r="L78" s="39"/>
      <c r="M78" s="31"/>
      <c r="N78" s="27"/>
      <c r="P78" s="32"/>
      <c r="Q78" s="25"/>
      <c r="R78" s="27"/>
      <c r="S78" s="27"/>
      <c r="T78" s="28"/>
      <c r="U78" s="27"/>
      <c r="V78" s="27"/>
      <c r="W78" s="28"/>
      <c r="X78" s="33"/>
      <c r="Y78" s="32"/>
      <c r="Z78" s="25"/>
      <c r="AA78" s="27"/>
      <c r="AB78" s="28"/>
      <c r="AC78" s="27"/>
      <c r="AD78" s="27"/>
      <c r="AE78" s="33"/>
      <c r="AF78" s="32"/>
      <c r="AG78" s="90"/>
      <c r="AH78" s="91"/>
      <c r="AI78" s="27"/>
      <c r="AJ78" s="27"/>
      <c r="AK78" s="28"/>
      <c r="AL78" s="27"/>
      <c r="AM78" s="27"/>
      <c r="AN78" s="27"/>
      <c r="AO78" s="27"/>
      <c r="AP78" s="36"/>
      <c r="AQ78" s="37"/>
      <c r="AS78" s="25"/>
      <c r="AT78" s="27"/>
      <c r="AU78" s="27"/>
      <c r="AW78" s="25" t="s">
        <v>90</v>
      </c>
      <c r="AX78" s="27" t="s">
        <v>95</v>
      </c>
      <c r="AY78" s="27"/>
      <c r="AZ78" s="32"/>
      <c r="BA78" s="41"/>
    </row>
    <row r="79" spans="1:53" x14ac:dyDescent="0.2">
      <c r="A79" s="25">
        <v>72</v>
      </c>
      <c r="B79" s="26">
        <v>45113</v>
      </c>
      <c r="C79" s="27"/>
      <c r="D79" s="25"/>
      <c r="E79" s="28"/>
      <c r="F79" s="27"/>
      <c r="G79" s="28"/>
      <c r="H79" s="27"/>
      <c r="I79" s="28"/>
      <c r="J79" s="27">
        <v>2</v>
      </c>
      <c r="K79" s="29" t="s">
        <v>35</v>
      </c>
      <c r="L79" s="39"/>
      <c r="M79" s="31"/>
      <c r="N79" s="27"/>
      <c r="P79" s="32"/>
      <c r="Q79" s="25"/>
      <c r="R79" s="27"/>
      <c r="S79" s="27"/>
      <c r="T79" s="28"/>
      <c r="U79" s="27"/>
      <c r="V79" s="27"/>
      <c r="W79" s="28"/>
      <c r="X79" s="33"/>
      <c r="Y79" s="32"/>
      <c r="Z79" s="25"/>
      <c r="AA79" s="27"/>
      <c r="AB79" s="28"/>
      <c r="AC79" s="27"/>
      <c r="AD79" s="27"/>
      <c r="AE79" s="33"/>
      <c r="AF79" s="32"/>
      <c r="AG79" s="90"/>
      <c r="AH79" s="91"/>
      <c r="AI79" s="27"/>
      <c r="AJ79" s="27"/>
      <c r="AK79" s="28"/>
      <c r="AL79" s="27"/>
      <c r="AM79" s="27"/>
      <c r="AN79" s="27"/>
      <c r="AO79" s="27"/>
      <c r="AP79" s="36"/>
      <c r="AQ79" s="37"/>
      <c r="AS79" s="25"/>
      <c r="AT79" s="27"/>
      <c r="AU79" s="27"/>
      <c r="AW79" s="25"/>
      <c r="AX79" s="27"/>
      <c r="AY79" s="27"/>
      <c r="AZ79" s="32"/>
      <c r="BA79" s="41"/>
    </row>
    <row r="80" spans="1:53" x14ac:dyDescent="0.2">
      <c r="A80" s="25">
        <v>73</v>
      </c>
      <c r="B80" s="26">
        <v>45114</v>
      </c>
      <c r="C80" s="27"/>
      <c r="D80" s="25"/>
      <c r="E80" s="28"/>
      <c r="F80" s="27"/>
      <c r="G80" s="28"/>
      <c r="H80" s="27"/>
      <c r="I80" s="28"/>
      <c r="J80" s="27">
        <v>2</v>
      </c>
      <c r="K80" s="29" t="s">
        <v>35</v>
      </c>
      <c r="L80" s="39"/>
      <c r="M80" s="31"/>
      <c r="N80" s="27"/>
      <c r="P80" s="32"/>
      <c r="Q80" s="25"/>
      <c r="R80" s="27"/>
      <c r="S80" s="27"/>
      <c r="T80" s="28"/>
      <c r="U80" s="27"/>
      <c r="V80" s="27"/>
      <c r="W80" s="28"/>
      <c r="X80" s="33"/>
      <c r="Y80" s="32"/>
      <c r="Z80" s="25"/>
      <c r="AA80" s="27"/>
      <c r="AB80" s="28"/>
      <c r="AC80" s="27"/>
      <c r="AD80" s="27"/>
      <c r="AE80" s="33"/>
      <c r="AF80" s="32"/>
      <c r="AG80" s="90"/>
      <c r="AH80" s="91"/>
      <c r="AI80" s="27"/>
      <c r="AJ80" s="27"/>
      <c r="AK80" s="28"/>
      <c r="AL80" s="27"/>
      <c r="AM80" s="27"/>
      <c r="AN80" s="27"/>
      <c r="AO80" s="27"/>
      <c r="AP80" s="36"/>
      <c r="AQ80" s="37"/>
      <c r="AS80" s="25"/>
      <c r="AT80" s="27"/>
      <c r="AU80" s="27"/>
      <c r="AW80" s="25"/>
      <c r="AX80" s="27"/>
      <c r="AY80" s="27"/>
      <c r="AZ80" s="32"/>
      <c r="BA80" s="41"/>
    </row>
    <row r="81" spans="1:53" x14ac:dyDescent="0.2">
      <c r="A81" s="25">
        <v>74</v>
      </c>
      <c r="B81" s="26">
        <v>45115</v>
      </c>
      <c r="C81" s="27"/>
      <c r="D81" s="25"/>
      <c r="E81" s="28"/>
      <c r="F81" s="27"/>
      <c r="G81" s="28"/>
      <c r="H81" s="27"/>
      <c r="I81" s="28"/>
      <c r="J81" s="27">
        <v>2</v>
      </c>
      <c r="K81" s="29" t="s">
        <v>35</v>
      </c>
      <c r="L81" s="39"/>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c r="AO81" s="27"/>
      <c r="AP81" s="36"/>
      <c r="AQ81" s="37"/>
      <c r="AS81" s="25"/>
      <c r="AT81" s="27"/>
      <c r="AU81" s="27"/>
      <c r="AW81" s="25"/>
      <c r="AX81" s="27"/>
      <c r="AY81" s="27"/>
      <c r="AZ81" s="32"/>
      <c r="BA81" s="41"/>
    </row>
    <row r="82" spans="1:53" x14ac:dyDescent="0.2">
      <c r="A82" s="25">
        <v>75</v>
      </c>
      <c r="B82" s="26">
        <v>45116</v>
      </c>
      <c r="C82" s="27"/>
      <c r="D82" s="25"/>
      <c r="E82" s="28"/>
      <c r="F82" s="27"/>
      <c r="G82" s="28"/>
      <c r="H82" s="27"/>
      <c r="I82" s="28"/>
      <c r="J82" s="27">
        <v>2</v>
      </c>
      <c r="K82" s="29" t="s">
        <v>35</v>
      </c>
      <c r="L82" s="39"/>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c r="AO82" s="27"/>
      <c r="AP82" s="36"/>
      <c r="AQ82" s="37"/>
      <c r="AR82" s="32"/>
      <c r="AS82" s="25"/>
      <c r="AT82" s="27"/>
      <c r="AU82" s="27"/>
      <c r="AW82" s="25"/>
      <c r="AX82" s="27"/>
      <c r="AY82" s="27"/>
      <c r="AZ82" s="32"/>
      <c r="BA82" s="41"/>
    </row>
    <row r="83" spans="1:53" x14ac:dyDescent="0.2">
      <c r="A83" s="25">
        <v>76</v>
      </c>
      <c r="B83" s="26">
        <v>45117</v>
      </c>
      <c r="C83" s="27"/>
      <c r="D83" s="25"/>
      <c r="E83" s="28"/>
      <c r="F83" s="27"/>
      <c r="G83" s="28"/>
      <c r="H83" s="27"/>
      <c r="I83" s="28"/>
      <c r="J83" s="27">
        <v>2</v>
      </c>
      <c r="K83" s="29" t="s">
        <v>35</v>
      </c>
      <c r="L83" s="39"/>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c r="AO83" s="27"/>
      <c r="AP83" s="36"/>
      <c r="AQ83" s="37"/>
      <c r="AR83" s="32"/>
      <c r="AS83" s="25"/>
      <c r="AT83" s="27"/>
      <c r="AU83" s="27"/>
      <c r="AW83" s="25"/>
      <c r="AX83" s="27"/>
      <c r="AY83" s="27"/>
      <c r="AZ83" s="32"/>
      <c r="BA83" s="41"/>
    </row>
    <row r="84" spans="1:53" x14ac:dyDescent="0.2">
      <c r="A84" s="25">
        <v>77</v>
      </c>
      <c r="B84" s="26">
        <v>45118</v>
      </c>
      <c r="C84" s="27"/>
      <c r="D84" s="25"/>
      <c r="E84" s="28"/>
      <c r="F84" s="27"/>
      <c r="G84" s="28"/>
      <c r="H84" s="27"/>
      <c r="I84" s="28"/>
      <c r="J84" s="27">
        <v>2</v>
      </c>
      <c r="K84" s="29" t="s">
        <v>35</v>
      </c>
      <c r="L84" s="39"/>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c r="AO84" s="27"/>
      <c r="AP84" s="36"/>
      <c r="AQ84" s="37"/>
      <c r="AR84" s="32"/>
      <c r="AS84" s="25"/>
      <c r="AT84" s="27"/>
      <c r="AU84" s="27"/>
      <c r="AW84" s="25"/>
      <c r="AX84" s="27"/>
      <c r="AY84" s="27"/>
      <c r="AZ84" s="32"/>
      <c r="BA84" s="41"/>
    </row>
    <row r="85" spans="1:53" x14ac:dyDescent="0.2">
      <c r="A85" s="25">
        <v>78</v>
      </c>
      <c r="B85" s="26">
        <v>45119</v>
      </c>
      <c r="C85" s="27"/>
      <c r="D85" s="25"/>
      <c r="E85" s="28"/>
      <c r="F85" s="27"/>
      <c r="G85" s="28"/>
      <c r="H85" s="27"/>
      <c r="I85" s="28"/>
      <c r="J85" s="27">
        <v>2</v>
      </c>
      <c r="K85" s="29" t="s">
        <v>35</v>
      </c>
      <c r="L85" s="39"/>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c r="AO85" s="27"/>
      <c r="AP85" s="36"/>
      <c r="AQ85" s="37"/>
      <c r="AR85" s="32"/>
      <c r="AS85" s="25"/>
      <c r="AT85" s="27"/>
      <c r="AU85" s="27"/>
      <c r="AW85" s="25"/>
      <c r="AX85" s="27"/>
      <c r="AY85" s="27"/>
      <c r="AZ85" s="32"/>
      <c r="BA85" s="41"/>
    </row>
    <row r="86" spans="1:53" x14ac:dyDescent="0.2">
      <c r="A86" s="25">
        <v>79</v>
      </c>
      <c r="B86" s="26">
        <v>45120</v>
      </c>
      <c r="C86" s="27"/>
      <c r="D86" s="25"/>
      <c r="E86" s="28"/>
      <c r="F86" s="27"/>
      <c r="G86" s="28"/>
      <c r="H86" s="27"/>
      <c r="I86" s="28"/>
      <c r="J86" s="27">
        <v>2</v>
      </c>
      <c r="K86" s="29" t="s">
        <v>35</v>
      </c>
      <c r="L86" s="39"/>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c r="AO86" s="27"/>
      <c r="AP86" s="36"/>
      <c r="AQ86" s="37"/>
      <c r="AR86" s="32"/>
      <c r="AS86" s="25"/>
      <c r="AT86" s="27"/>
      <c r="AU86" s="27"/>
      <c r="AW86" s="25"/>
      <c r="AX86" s="27"/>
      <c r="AY86" s="27"/>
      <c r="AZ86" s="32"/>
      <c r="BA86" s="41"/>
    </row>
    <row r="87" spans="1:53" x14ac:dyDescent="0.2">
      <c r="A87" s="25">
        <v>80</v>
      </c>
      <c r="B87" s="26">
        <v>45121</v>
      </c>
      <c r="C87" s="27"/>
      <c r="D87" s="25"/>
      <c r="E87" s="28"/>
      <c r="F87" s="27"/>
      <c r="G87" s="28"/>
      <c r="H87" s="27"/>
      <c r="I87" s="28"/>
      <c r="J87" s="27">
        <v>2</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R87" s="32"/>
      <c r="AS87" s="25"/>
      <c r="AT87" s="27"/>
      <c r="AU87" s="27"/>
      <c r="AW87" s="25"/>
      <c r="AX87" s="27"/>
      <c r="AY87" s="27"/>
      <c r="AZ87" s="32"/>
      <c r="BA87" s="41"/>
    </row>
    <row r="88" spans="1:53" x14ac:dyDescent="0.2">
      <c r="A88" s="25">
        <v>81</v>
      </c>
      <c r="B88" s="26">
        <v>45122</v>
      </c>
      <c r="C88" s="27"/>
      <c r="D88" s="25"/>
      <c r="E88" s="28"/>
      <c r="F88" s="27"/>
      <c r="G88" s="28"/>
      <c r="H88" s="27"/>
      <c r="I88" s="28"/>
      <c r="J88" s="27">
        <v>2</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R88" s="32"/>
      <c r="AS88" s="25"/>
      <c r="AT88" s="27"/>
      <c r="AU88" s="27"/>
      <c r="AW88" s="25"/>
      <c r="AX88" s="27"/>
      <c r="AY88" s="27"/>
      <c r="AZ88" s="32"/>
      <c r="BA88" s="41"/>
    </row>
    <row r="89" spans="1:53" x14ac:dyDescent="0.2">
      <c r="A89" s="25">
        <v>82</v>
      </c>
      <c r="B89" s="26">
        <v>45123</v>
      </c>
      <c r="C89" s="27"/>
      <c r="D89" s="25"/>
      <c r="E89" s="28"/>
      <c r="F89" s="27"/>
      <c r="G89" s="28"/>
      <c r="H89" s="27"/>
      <c r="I89" s="28"/>
      <c r="J89" s="27">
        <v>2</v>
      </c>
      <c r="K89" s="29" t="s">
        <v>35</v>
      </c>
      <c r="L89" s="39"/>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R89" s="32"/>
      <c r="AS89" s="25"/>
      <c r="AT89" s="27"/>
      <c r="AU89" s="27"/>
      <c r="AW89" s="25"/>
      <c r="AX89" s="27"/>
      <c r="AY89" s="27"/>
      <c r="AZ89" s="32"/>
      <c r="BA89" s="41"/>
    </row>
    <row r="90" spans="1:53" x14ac:dyDescent="0.2">
      <c r="A90" s="25">
        <v>83</v>
      </c>
      <c r="B90" s="26">
        <v>45124</v>
      </c>
      <c r="C90" s="27"/>
      <c r="D90" s="25"/>
      <c r="E90" s="28"/>
      <c r="F90" s="27"/>
      <c r="G90" s="28"/>
      <c r="H90" s="27"/>
      <c r="I90" s="28"/>
      <c r="J90" s="27">
        <v>2</v>
      </c>
      <c r="K90" s="29" t="s">
        <v>35</v>
      </c>
      <c r="L90" s="39"/>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R90" s="32"/>
      <c r="AS90" s="25"/>
      <c r="AT90" s="27"/>
      <c r="AU90" s="27"/>
      <c r="AW90" s="25"/>
      <c r="AX90" s="27"/>
      <c r="AY90" s="27"/>
      <c r="AZ90" s="32"/>
      <c r="BA90" s="41"/>
    </row>
    <row r="91" spans="1:53" x14ac:dyDescent="0.2">
      <c r="A91" s="25">
        <v>84</v>
      </c>
      <c r="B91" s="26">
        <v>45125</v>
      </c>
      <c r="C91" s="27"/>
      <c r="D91" s="25"/>
      <c r="E91" s="28"/>
      <c r="F91" s="27"/>
      <c r="G91" s="28"/>
      <c r="H91" s="27"/>
      <c r="I91" s="28"/>
      <c r="J91" s="27">
        <v>2</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c r="AT91" s="27"/>
      <c r="AU91" s="27"/>
      <c r="AW91" s="25"/>
      <c r="AX91" s="27"/>
      <c r="AY91" s="27"/>
      <c r="AZ91" s="32"/>
      <c r="BA91" s="41"/>
    </row>
    <row r="92" spans="1:53" x14ac:dyDescent="0.2">
      <c r="A92" s="25">
        <v>85</v>
      </c>
      <c r="B92" s="26">
        <v>45126</v>
      </c>
      <c r="C92" s="27"/>
      <c r="D92" s="25"/>
      <c r="E92" s="28"/>
      <c r="F92" s="27"/>
      <c r="G92" s="28"/>
      <c r="H92" s="27"/>
      <c r="I92" s="28"/>
      <c r="J92" s="27">
        <v>2</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c r="AT92" s="27"/>
      <c r="AU92" s="27"/>
      <c r="AW92" s="25"/>
      <c r="AX92" s="27"/>
      <c r="AY92" s="27"/>
      <c r="AZ92" s="32"/>
      <c r="BA92" s="41"/>
    </row>
    <row r="93" spans="1:53" x14ac:dyDescent="0.2">
      <c r="A93" s="25">
        <v>86</v>
      </c>
      <c r="B93" s="26">
        <v>45127</v>
      </c>
      <c r="C93" s="27"/>
      <c r="D93" s="25"/>
      <c r="E93" s="28"/>
      <c r="F93" s="27"/>
      <c r="G93" s="28"/>
      <c r="H93" s="27"/>
      <c r="I93" s="28"/>
      <c r="J93" s="27">
        <v>2</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c r="AT93" s="27"/>
      <c r="AU93" s="27"/>
      <c r="AW93" s="25"/>
      <c r="AX93" s="27"/>
      <c r="AY93" s="27"/>
      <c r="AZ93" s="32"/>
      <c r="BA93" s="41"/>
    </row>
    <row r="94" spans="1:53" x14ac:dyDescent="0.2">
      <c r="A94" s="25">
        <v>87</v>
      </c>
      <c r="B94" s="26">
        <v>45128</v>
      </c>
      <c r="C94" s="27"/>
      <c r="D94" s="25"/>
      <c r="E94" s="28"/>
      <c r="F94" s="27"/>
      <c r="G94" s="28"/>
      <c r="H94" s="27"/>
      <c r="I94" s="28"/>
      <c r="J94" s="27">
        <v>2</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c r="AT94" s="27"/>
      <c r="AU94" s="27"/>
      <c r="AW94" s="25"/>
      <c r="AX94" s="27"/>
      <c r="AY94" s="27"/>
      <c r="AZ94" s="32"/>
      <c r="BA94" s="41"/>
    </row>
    <row r="95" spans="1:53" x14ac:dyDescent="0.2">
      <c r="A95" s="25">
        <v>88</v>
      </c>
      <c r="B95" s="26">
        <v>45129</v>
      </c>
      <c r="C95" s="27"/>
      <c r="D95" s="25"/>
      <c r="E95" s="28"/>
      <c r="F95" s="27"/>
      <c r="G95" s="28"/>
      <c r="H95" s="27"/>
      <c r="I95" s="28"/>
      <c r="J95" s="27">
        <v>2</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c r="AT95" s="27"/>
      <c r="AU95" s="27"/>
      <c r="AW95" s="25"/>
      <c r="AX95" s="27"/>
      <c r="AY95" s="27"/>
      <c r="AZ95" s="32"/>
      <c r="BA95" s="41"/>
    </row>
    <row r="96" spans="1:53" x14ac:dyDescent="0.2">
      <c r="A96" s="25">
        <v>89</v>
      </c>
      <c r="B96" s="26">
        <v>45130</v>
      </c>
      <c r="C96" s="27"/>
      <c r="D96" s="25"/>
      <c r="E96" s="28"/>
      <c r="F96" s="27"/>
      <c r="G96" s="28"/>
      <c r="H96" s="27"/>
      <c r="I96" s="28"/>
      <c r="J96" s="27">
        <v>2</v>
      </c>
      <c r="K96" s="29" t="s">
        <v>35</v>
      </c>
      <c r="L96" s="39"/>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c r="AT96" s="27"/>
      <c r="AU96" s="27"/>
      <c r="AW96" s="25"/>
      <c r="AX96" s="27"/>
      <c r="AY96" s="27"/>
      <c r="AZ96" s="32"/>
      <c r="BA96" s="41"/>
    </row>
    <row r="97" spans="1:53" x14ac:dyDescent="0.2">
      <c r="A97" s="25">
        <v>90</v>
      </c>
      <c r="B97" s="26">
        <v>45131</v>
      </c>
      <c r="C97" s="27"/>
      <c r="D97" s="25"/>
      <c r="E97" s="28"/>
      <c r="F97" s="27"/>
      <c r="G97" s="28"/>
      <c r="H97" s="27"/>
      <c r="I97" s="28"/>
      <c r="J97" s="27">
        <v>2</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c r="AT97" s="27"/>
      <c r="AU97" s="27"/>
      <c r="AW97" s="25"/>
      <c r="AX97" s="27"/>
      <c r="AY97" s="27"/>
      <c r="AZ97" s="32"/>
      <c r="BA97" s="41"/>
    </row>
    <row r="98" spans="1:53" x14ac:dyDescent="0.2">
      <c r="B98" s="26"/>
    </row>
    <row r="99" spans="1:53" x14ac:dyDescent="0.2">
      <c r="B99" s="26"/>
    </row>
  </sheetData>
  <mergeCells count="52">
    <mergeCell ref="X11:X18"/>
    <mergeCell ref="AV4:AV6"/>
    <mergeCell ref="AW4:AW6"/>
    <mergeCell ref="AG4:AG5"/>
    <mergeCell ref="X4:X6"/>
    <mergeCell ref="O27:O47"/>
    <mergeCell ref="AR4:AR6"/>
    <mergeCell ref="AS4:AS6"/>
    <mergeCell ref="AT4:AT6"/>
    <mergeCell ref="AU4:AU6"/>
    <mergeCell ref="AH4:AH6"/>
    <mergeCell ref="AI4:AK5"/>
    <mergeCell ref="AL4:AL6"/>
    <mergeCell ref="AM4:AM5"/>
    <mergeCell ref="AN4:AP5"/>
    <mergeCell ref="AQ4:AQ6"/>
    <mergeCell ref="Y4:Y6"/>
    <mergeCell ref="Z4:AB5"/>
    <mergeCell ref="AC4:AD5"/>
    <mergeCell ref="AE4:AE6"/>
    <mergeCell ref="AF4:AF6"/>
    <mergeCell ref="H4:I5"/>
    <mergeCell ref="J4:J6"/>
    <mergeCell ref="K4:K6"/>
    <mergeCell ref="L4:L6"/>
    <mergeCell ref="M4:M6"/>
    <mergeCell ref="N4:N6"/>
    <mergeCell ref="AS1:AV3"/>
    <mergeCell ref="AW1:AZ3"/>
    <mergeCell ref="BA1:BA3"/>
    <mergeCell ref="AG3:AK3"/>
    <mergeCell ref="AM3:AP3"/>
    <mergeCell ref="AG1:AP2"/>
    <mergeCell ref="O4:O6"/>
    <mergeCell ref="P4:P6"/>
    <mergeCell ref="Q4:Q6"/>
    <mergeCell ref="R4:T5"/>
    <mergeCell ref="U4:W5"/>
    <mergeCell ref="AX4:AX6"/>
    <mergeCell ref="AY4:AY6"/>
    <mergeCell ref="AZ4:AZ6"/>
    <mergeCell ref="BA4:BA6"/>
    <mergeCell ref="A4:A6"/>
    <mergeCell ref="B4:B6"/>
    <mergeCell ref="C4:C6"/>
    <mergeCell ref="D4:E5"/>
    <mergeCell ref="F4:G5"/>
    <mergeCell ref="A1:C3"/>
    <mergeCell ref="D1:M3"/>
    <mergeCell ref="N1:P3"/>
    <mergeCell ref="Q1:Y3"/>
    <mergeCell ref="Z1:AF3"/>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99"/>
  <sheetViews>
    <sheetView workbookViewId="0">
      <pane xSplit="1" topLeftCell="B1" activePane="topRight" state="frozen"/>
      <selection pane="topRight" activeCell="BM29" sqref="BM29"/>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3.1640625" bestFit="1" customWidth="1"/>
    <col min="32" max="32" width="41.1640625" bestFit="1" customWidth="1"/>
    <col min="33" max="33" width="11.83203125" bestFit="1" customWidth="1"/>
    <col min="34" max="34" width="14" bestFit="1" customWidth="1"/>
    <col min="35" max="35" width="5.6640625" customWidth="1"/>
    <col min="36" max="36" width="6.5" bestFit="1" customWidth="1"/>
    <col min="37" max="37" width="5.5" customWidth="1"/>
    <col min="38" max="38" width="16.33203125" bestFit="1" customWidth="1"/>
    <col min="39" max="39" width="11.83203125" bestFit="1" customWidth="1"/>
    <col min="40" max="40" width="6" bestFit="1" customWidth="1"/>
    <col min="41" max="41" width="6.5" customWidth="1"/>
    <col min="42" max="42" width="9.1640625"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ht="16" thickBot="1" x14ac:dyDescent="0.25">
      <c r="A1" t="s">
        <v>182</v>
      </c>
      <c r="B1">
        <f>(2.6+2.6+2)*1000</f>
        <v>7200</v>
      </c>
      <c r="C1" t="s">
        <v>183</v>
      </c>
    </row>
    <row r="2" spans="1:53" ht="23" x14ac:dyDescent="0.2">
      <c r="A2" s="209" t="s">
        <v>0</v>
      </c>
      <c r="B2" s="210"/>
      <c r="C2" s="210"/>
      <c r="D2" s="215" t="s">
        <v>1</v>
      </c>
      <c r="E2" s="215"/>
      <c r="F2" s="215"/>
      <c r="G2" s="215"/>
      <c r="H2" s="215"/>
      <c r="I2" s="215"/>
      <c r="J2" s="215"/>
      <c r="K2" s="215"/>
      <c r="L2" s="215"/>
      <c r="M2" s="215"/>
      <c r="N2" s="218" t="s">
        <v>2</v>
      </c>
      <c r="O2" s="218"/>
      <c r="P2" s="219"/>
      <c r="Q2" s="224" t="s">
        <v>3</v>
      </c>
      <c r="R2" s="225"/>
      <c r="S2" s="225"/>
      <c r="T2" s="225"/>
      <c r="U2" s="225"/>
      <c r="V2" s="225"/>
      <c r="W2" s="225"/>
      <c r="X2" s="225"/>
      <c r="Y2" s="226"/>
      <c r="Z2" s="230" t="s">
        <v>4</v>
      </c>
      <c r="AA2" s="231"/>
      <c r="AB2" s="231"/>
      <c r="AC2" s="231"/>
      <c r="AD2" s="231"/>
      <c r="AE2" s="231"/>
      <c r="AF2" s="232"/>
      <c r="AG2" s="271" t="s">
        <v>5</v>
      </c>
      <c r="AH2" s="271"/>
      <c r="AI2" s="271"/>
      <c r="AJ2" s="271"/>
      <c r="AK2" s="271"/>
      <c r="AL2" s="271"/>
      <c r="AM2" s="271"/>
      <c r="AN2" s="271"/>
      <c r="AO2" s="271"/>
      <c r="AP2" s="271"/>
      <c r="AQ2" s="1"/>
      <c r="AR2" s="2"/>
      <c r="AS2" s="251" t="s">
        <v>6</v>
      </c>
      <c r="AT2" s="252"/>
      <c r="AU2" s="252"/>
      <c r="AV2" s="252"/>
      <c r="AW2" s="257" t="s">
        <v>7</v>
      </c>
      <c r="AX2" s="258"/>
      <c r="AY2" s="258"/>
      <c r="AZ2" s="259"/>
      <c r="BA2" s="266" t="s">
        <v>8</v>
      </c>
    </row>
    <row r="3" spans="1:53" ht="23" x14ac:dyDescent="0.2">
      <c r="A3" s="211"/>
      <c r="B3" s="212"/>
      <c r="C3" s="212"/>
      <c r="D3" s="216"/>
      <c r="E3" s="216"/>
      <c r="F3" s="216"/>
      <c r="G3" s="216"/>
      <c r="H3" s="216"/>
      <c r="I3" s="216"/>
      <c r="J3" s="216"/>
      <c r="K3" s="216"/>
      <c r="L3" s="216"/>
      <c r="M3" s="216"/>
      <c r="N3" s="220"/>
      <c r="O3" s="220"/>
      <c r="P3" s="221"/>
      <c r="Q3" s="227"/>
      <c r="R3" s="228"/>
      <c r="S3" s="228"/>
      <c r="T3" s="228"/>
      <c r="U3" s="228"/>
      <c r="V3" s="228"/>
      <c r="W3" s="228"/>
      <c r="X3" s="228"/>
      <c r="Y3" s="229"/>
      <c r="Z3" s="233"/>
      <c r="AA3" s="234"/>
      <c r="AB3" s="234"/>
      <c r="AC3" s="234"/>
      <c r="AD3" s="234"/>
      <c r="AE3" s="234"/>
      <c r="AF3" s="235"/>
      <c r="AG3" s="272"/>
      <c r="AH3" s="272"/>
      <c r="AI3" s="272"/>
      <c r="AJ3" s="272"/>
      <c r="AK3" s="272"/>
      <c r="AL3" s="272"/>
      <c r="AM3" s="272"/>
      <c r="AN3" s="272"/>
      <c r="AO3" s="272"/>
      <c r="AP3" s="272"/>
      <c r="AQ3" s="3"/>
      <c r="AR3" s="4"/>
      <c r="AS3" s="253"/>
      <c r="AT3" s="254"/>
      <c r="AU3" s="254"/>
      <c r="AV3" s="254"/>
      <c r="AW3" s="260"/>
      <c r="AX3" s="261"/>
      <c r="AY3" s="261"/>
      <c r="AZ3" s="262"/>
      <c r="BA3" s="267"/>
    </row>
    <row r="4" spans="1:53" ht="21" thickBot="1" x14ac:dyDescent="0.25">
      <c r="A4" s="213"/>
      <c r="B4" s="214"/>
      <c r="C4" s="214"/>
      <c r="D4" s="217"/>
      <c r="E4" s="217"/>
      <c r="F4" s="217"/>
      <c r="G4" s="217"/>
      <c r="H4" s="217"/>
      <c r="I4" s="217"/>
      <c r="J4" s="217"/>
      <c r="K4" s="217"/>
      <c r="L4" s="217"/>
      <c r="M4" s="217"/>
      <c r="N4" s="222"/>
      <c r="O4" s="222"/>
      <c r="P4" s="223"/>
      <c r="Q4" s="227"/>
      <c r="R4" s="228"/>
      <c r="S4" s="228"/>
      <c r="T4" s="228"/>
      <c r="U4" s="228"/>
      <c r="V4" s="228"/>
      <c r="W4" s="228"/>
      <c r="X4" s="228"/>
      <c r="Y4" s="229"/>
      <c r="Z4" s="233"/>
      <c r="AA4" s="234"/>
      <c r="AB4" s="234"/>
      <c r="AC4" s="234"/>
      <c r="AD4" s="234"/>
      <c r="AE4" s="234"/>
      <c r="AF4" s="235"/>
      <c r="AG4" s="269" t="s">
        <v>9</v>
      </c>
      <c r="AH4" s="269"/>
      <c r="AI4" s="269"/>
      <c r="AJ4" s="269"/>
      <c r="AK4" s="270"/>
      <c r="AL4" s="5"/>
      <c r="AM4" s="269" t="s">
        <v>10</v>
      </c>
      <c r="AN4" s="269"/>
      <c r="AO4" s="269"/>
      <c r="AP4" s="270"/>
      <c r="AQ4" s="6"/>
      <c r="AR4" s="7"/>
      <c r="AS4" s="255"/>
      <c r="AT4" s="256"/>
      <c r="AU4" s="256"/>
      <c r="AV4" s="256"/>
      <c r="AW4" s="263"/>
      <c r="AX4" s="264"/>
      <c r="AY4" s="264"/>
      <c r="AZ4" s="265"/>
      <c r="BA4" s="268"/>
    </row>
    <row r="5" spans="1:53" x14ac:dyDescent="0.2">
      <c r="A5" s="236" t="s">
        <v>11</v>
      </c>
      <c r="B5" s="239" t="s">
        <v>12</v>
      </c>
      <c r="C5" s="239" t="s">
        <v>13</v>
      </c>
      <c r="D5" s="242" t="s">
        <v>14</v>
      </c>
      <c r="E5" s="243"/>
      <c r="F5" s="246" t="s">
        <v>15</v>
      </c>
      <c r="G5" s="243"/>
      <c r="H5" s="292" t="s">
        <v>16</v>
      </c>
      <c r="I5" s="293"/>
      <c r="J5" s="296" t="s">
        <v>17</v>
      </c>
      <c r="K5" s="299" t="s">
        <v>18</v>
      </c>
      <c r="L5" s="292" t="s">
        <v>19</v>
      </c>
      <c r="M5" s="303" t="s">
        <v>20</v>
      </c>
      <c r="N5" s="248" t="s">
        <v>21</v>
      </c>
      <c r="O5" s="248" t="s">
        <v>19</v>
      </c>
      <c r="P5" s="248" t="s">
        <v>20</v>
      </c>
      <c r="Q5" s="273" t="s">
        <v>22</v>
      </c>
      <c r="R5" s="276" t="s">
        <v>23</v>
      </c>
      <c r="S5" s="276"/>
      <c r="T5" s="277"/>
      <c r="U5" s="280" t="s">
        <v>24</v>
      </c>
      <c r="V5" s="280"/>
      <c r="W5" s="281"/>
      <c r="X5" s="353" t="s">
        <v>19</v>
      </c>
      <c r="Y5" s="330" t="s">
        <v>20</v>
      </c>
      <c r="Z5" s="333" t="s">
        <v>23</v>
      </c>
      <c r="AA5" s="334"/>
      <c r="AB5" s="335"/>
      <c r="AC5" s="339" t="s">
        <v>24</v>
      </c>
      <c r="AD5" s="339"/>
      <c r="AE5" s="339" t="s">
        <v>19</v>
      </c>
      <c r="AF5" s="342" t="s">
        <v>20</v>
      </c>
      <c r="AG5" s="351" t="s">
        <v>25</v>
      </c>
      <c r="AH5" s="318" t="s">
        <v>26</v>
      </c>
      <c r="AI5" s="321" t="s">
        <v>24</v>
      </c>
      <c r="AJ5" s="321"/>
      <c r="AK5" s="321"/>
      <c r="AL5" s="323" t="s">
        <v>27</v>
      </c>
      <c r="AM5" s="325" t="s">
        <v>25</v>
      </c>
      <c r="AN5" s="321" t="s">
        <v>24</v>
      </c>
      <c r="AO5" s="321"/>
      <c r="AP5" s="309"/>
      <c r="AQ5" s="327" t="s">
        <v>19</v>
      </c>
      <c r="AR5" s="309" t="s">
        <v>20</v>
      </c>
      <c r="AS5" s="312" t="s">
        <v>28</v>
      </c>
      <c r="AT5" s="315" t="s">
        <v>29</v>
      </c>
      <c r="AU5" s="315" t="s">
        <v>19</v>
      </c>
      <c r="AV5" s="315" t="s">
        <v>20</v>
      </c>
      <c r="AW5" s="348" t="s">
        <v>30</v>
      </c>
      <c r="AX5" s="284" t="s">
        <v>29</v>
      </c>
      <c r="AY5" s="284" t="s">
        <v>19</v>
      </c>
      <c r="AZ5" s="287" t="s">
        <v>20</v>
      </c>
      <c r="BA5" s="290" t="s">
        <v>31</v>
      </c>
    </row>
    <row r="6" spans="1:53" x14ac:dyDescent="0.2">
      <c r="A6" s="237"/>
      <c r="B6" s="240"/>
      <c r="C6" s="240"/>
      <c r="D6" s="244"/>
      <c r="E6" s="245"/>
      <c r="F6" s="247"/>
      <c r="G6" s="245"/>
      <c r="H6" s="294"/>
      <c r="I6" s="295"/>
      <c r="J6" s="297"/>
      <c r="K6" s="300"/>
      <c r="L6" s="294"/>
      <c r="M6" s="304"/>
      <c r="N6" s="249"/>
      <c r="O6" s="249"/>
      <c r="P6" s="249"/>
      <c r="Q6" s="274"/>
      <c r="R6" s="278"/>
      <c r="S6" s="278"/>
      <c r="T6" s="279"/>
      <c r="U6" s="282"/>
      <c r="V6" s="282"/>
      <c r="W6" s="283"/>
      <c r="X6" s="354"/>
      <c r="Y6" s="331"/>
      <c r="Z6" s="336"/>
      <c r="AA6" s="337"/>
      <c r="AB6" s="338"/>
      <c r="AC6" s="340"/>
      <c r="AD6" s="340"/>
      <c r="AE6" s="340"/>
      <c r="AF6" s="343"/>
      <c r="AG6" s="352"/>
      <c r="AH6" s="319"/>
      <c r="AI6" s="322"/>
      <c r="AJ6" s="322"/>
      <c r="AK6" s="322"/>
      <c r="AL6" s="324"/>
      <c r="AM6" s="326"/>
      <c r="AN6" s="322"/>
      <c r="AO6" s="322"/>
      <c r="AP6" s="310"/>
      <c r="AQ6" s="328"/>
      <c r="AR6" s="310"/>
      <c r="AS6" s="313"/>
      <c r="AT6" s="316"/>
      <c r="AU6" s="316"/>
      <c r="AV6" s="316"/>
      <c r="AW6" s="349"/>
      <c r="AX6" s="285"/>
      <c r="AY6" s="285"/>
      <c r="AZ6" s="288"/>
      <c r="BA6" s="290"/>
    </row>
    <row r="7" spans="1:53" ht="16" thickBot="1" x14ac:dyDescent="0.25">
      <c r="A7" s="238"/>
      <c r="B7" s="241"/>
      <c r="C7" s="241"/>
      <c r="D7" s="8" t="s">
        <v>32</v>
      </c>
      <c r="E7" s="9" t="s">
        <v>33</v>
      </c>
      <c r="F7" s="10" t="s">
        <v>32</v>
      </c>
      <c r="G7" s="9" t="s">
        <v>33</v>
      </c>
      <c r="H7" s="11" t="s">
        <v>32</v>
      </c>
      <c r="I7" s="12" t="s">
        <v>33</v>
      </c>
      <c r="J7" s="298"/>
      <c r="K7" s="301"/>
      <c r="L7" s="302"/>
      <c r="M7" s="305"/>
      <c r="N7" s="250"/>
      <c r="O7" s="250"/>
      <c r="P7" s="250"/>
      <c r="Q7" s="275"/>
      <c r="R7" s="13" t="s">
        <v>32</v>
      </c>
      <c r="S7" s="13" t="s">
        <v>34</v>
      </c>
      <c r="T7" s="14" t="s">
        <v>33</v>
      </c>
      <c r="U7" s="15" t="s">
        <v>32</v>
      </c>
      <c r="V7" s="15" t="s">
        <v>34</v>
      </c>
      <c r="W7" s="16" t="s">
        <v>33</v>
      </c>
      <c r="X7" s="355"/>
      <c r="Y7" s="332"/>
      <c r="Z7" s="17" t="s">
        <v>32</v>
      </c>
      <c r="AA7" s="18" t="s">
        <v>34</v>
      </c>
      <c r="AB7" s="19" t="s">
        <v>33</v>
      </c>
      <c r="AC7" s="20" t="s">
        <v>32</v>
      </c>
      <c r="AD7" s="20" t="s">
        <v>34</v>
      </c>
      <c r="AE7" s="341"/>
      <c r="AF7" s="344"/>
      <c r="AG7" s="21" t="s">
        <v>34</v>
      </c>
      <c r="AH7" s="320"/>
      <c r="AI7" s="22" t="s">
        <v>32</v>
      </c>
      <c r="AJ7" s="22" t="s">
        <v>34</v>
      </c>
      <c r="AK7" s="22" t="s">
        <v>33</v>
      </c>
      <c r="AL7" s="324"/>
      <c r="AM7" s="23" t="s">
        <v>33</v>
      </c>
      <c r="AN7" s="22" t="s">
        <v>32</v>
      </c>
      <c r="AO7" s="22" t="s">
        <v>34</v>
      </c>
      <c r="AP7" s="24" t="s">
        <v>33</v>
      </c>
      <c r="AQ7" s="329"/>
      <c r="AR7" s="311"/>
      <c r="AS7" s="314"/>
      <c r="AT7" s="317"/>
      <c r="AU7" s="317"/>
      <c r="AV7" s="317"/>
      <c r="AW7" s="350"/>
      <c r="AX7" s="286"/>
      <c r="AY7" s="286"/>
      <c r="AZ7" s="289"/>
      <c r="BA7" s="291"/>
    </row>
    <row r="8" spans="1:53" ht="16" thickBot="1" x14ac:dyDescent="0.25">
      <c r="A8" s="25">
        <v>0</v>
      </c>
      <c r="B8" s="26">
        <v>45063</v>
      </c>
      <c r="C8" s="27" t="s">
        <v>117</v>
      </c>
      <c r="D8" s="25"/>
      <c r="E8" s="28"/>
      <c r="F8" s="27"/>
      <c r="G8" s="28"/>
      <c r="H8" s="27"/>
      <c r="I8" s="28"/>
      <c r="J8" s="27">
        <v>0.8</v>
      </c>
      <c r="K8" s="29" t="s">
        <v>35</v>
      </c>
      <c r="L8" s="30" t="s">
        <v>177</v>
      </c>
      <c r="M8" s="31"/>
      <c r="N8" s="27"/>
      <c r="P8" s="32"/>
      <c r="Q8" s="25"/>
      <c r="R8" s="27"/>
      <c r="S8" s="27"/>
      <c r="T8" s="28"/>
      <c r="U8" s="27"/>
      <c r="V8" s="27"/>
      <c r="W8" s="28"/>
      <c r="X8" s="33"/>
      <c r="Y8" s="32"/>
      <c r="Z8" s="25"/>
      <c r="AA8" s="27"/>
      <c r="AB8" s="28"/>
      <c r="AC8" s="27"/>
      <c r="AD8" s="27"/>
      <c r="AE8" s="33"/>
      <c r="AG8" s="25"/>
      <c r="AH8" s="34"/>
      <c r="AI8" s="27"/>
      <c r="AJ8" s="27"/>
      <c r="AK8" s="27"/>
      <c r="AL8" s="25"/>
      <c r="AM8" s="35"/>
      <c r="AN8" s="27"/>
      <c r="AO8" s="27"/>
      <c r="AP8" s="36"/>
      <c r="AQ8" s="37"/>
      <c r="AR8" s="32"/>
      <c r="AS8" s="25"/>
      <c r="AT8" s="27"/>
      <c r="AU8" s="27"/>
      <c r="AW8" s="25"/>
      <c r="AX8" s="27"/>
      <c r="AY8" s="27"/>
      <c r="AZ8" s="32"/>
      <c r="BA8" s="38"/>
    </row>
    <row r="9" spans="1:53" ht="16" thickBot="1" x14ac:dyDescent="0.25">
      <c r="A9" s="25">
        <v>1</v>
      </c>
      <c r="B9" s="26">
        <v>45064</v>
      </c>
      <c r="C9" s="27" t="s">
        <v>117</v>
      </c>
      <c r="D9" s="25"/>
      <c r="E9" s="28"/>
      <c r="F9" s="27"/>
      <c r="G9" s="28"/>
      <c r="H9" s="27"/>
      <c r="I9" s="28"/>
      <c r="J9" s="27">
        <v>0.8</v>
      </c>
      <c r="K9" s="29" t="s">
        <v>35</v>
      </c>
      <c r="L9" s="39"/>
      <c r="M9" s="31"/>
      <c r="N9" s="27"/>
      <c r="P9" s="32"/>
      <c r="Q9" s="40"/>
      <c r="R9" s="27"/>
      <c r="S9" s="27"/>
      <c r="T9" s="28"/>
      <c r="U9" s="27"/>
      <c r="V9" s="27"/>
      <c r="W9" s="28"/>
      <c r="X9" s="33"/>
      <c r="Y9" s="32"/>
      <c r="Z9" s="25"/>
      <c r="AA9" s="27"/>
      <c r="AB9" s="28"/>
      <c r="AC9" s="27"/>
      <c r="AD9" s="27"/>
      <c r="AE9" s="33"/>
      <c r="AG9" s="25"/>
      <c r="AH9" s="34"/>
      <c r="AI9" s="27"/>
      <c r="AJ9" s="27"/>
      <c r="AK9" s="27"/>
      <c r="AL9" s="25"/>
      <c r="AM9" s="34"/>
      <c r="AN9" s="27"/>
      <c r="AO9" s="27"/>
      <c r="AP9" s="36"/>
      <c r="AQ9" s="37"/>
      <c r="AR9" s="32"/>
      <c r="AS9" s="25"/>
      <c r="AT9" s="27"/>
      <c r="AU9" s="27"/>
      <c r="AW9" s="25"/>
      <c r="AX9" s="27"/>
      <c r="AY9" s="27"/>
      <c r="AZ9" s="32"/>
      <c r="BA9" s="41"/>
    </row>
    <row r="10" spans="1:53" ht="16" thickBot="1" x14ac:dyDescent="0.25">
      <c r="A10" s="25">
        <v>2</v>
      </c>
      <c r="B10" s="26">
        <v>45065</v>
      </c>
      <c r="C10" s="27" t="s">
        <v>117</v>
      </c>
      <c r="D10" s="25"/>
      <c r="E10" s="28"/>
      <c r="F10" s="27"/>
      <c r="G10" s="28"/>
      <c r="H10" s="27"/>
      <c r="I10" s="28"/>
      <c r="J10" s="27">
        <v>0.8</v>
      </c>
      <c r="K10" s="29" t="s">
        <v>35</v>
      </c>
      <c r="L10" s="39"/>
      <c r="M10" s="31"/>
      <c r="N10" s="27"/>
      <c r="O10" s="42"/>
      <c r="Q10" s="43" t="s">
        <v>37</v>
      </c>
      <c r="R10" s="27"/>
      <c r="S10" s="27"/>
      <c r="T10" s="28"/>
      <c r="U10" s="27"/>
      <c r="V10" s="27"/>
      <c r="W10" s="28"/>
      <c r="X10" s="33"/>
      <c r="Y10" s="32"/>
      <c r="Z10" s="25"/>
      <c r="AA10" s="27"/>
      <c r="AB10" s="28"/>
      <c r="AC10" s="27"/>
      <c r="AD10" s="27"/>
      <c r="AE10" s="33"/>
      <c r="AG10" s="25"/>
      <c r="AH10" s="34"/>
      <c r="AI10" s="27"/>
      <c r="AJ10" s="27"/>
      <c r="AK10" s="27"/>
      <c r="AL10" s="25"/>
      <c r="AM10" s="34"/>
      <c r="AN10" s="27"/>
      <c r="AO10" s="27"/>
      <c r="AP10" s="36"/>
      <c r="AQ10" s="37"/>
      <c r="AR10" s="32"/>
      <c r="AS10" s="25"/>
      <c r="AT10" s="27"/>
      <c r="AU10" s="27"/>
      <c r="AW10" s="25"/>
      <c r="AX10" s="27"/>
      <c r="AY10" s="27"/>
      <c r="AZ10" s="32"/>
      <c r="BA10" s="41"/>
    </row>
    <row r="11" spans="1:53" ht="16" thickBot="1" x14ac:dyDescent="0.25">
      <c r="A11" s="25">
        <v>3</v>
      </c>
      <c r="B11" s="26">
        <v>45066</v>
      </c>
      <c r="C11" s="27" t="s">
        <v>117</v>
      </c>
      <c r="D11" s="25"/>
      <c r="E11" s="28"/>
      <c r="F11" s="27"/>
      <c r="G11" s="28"/>
      <c r="H11" s="27"/>
      <c r="I11" s="28"/>
      <c r="J11" s="27">
        <v>1.2</v>
      </c>
      <c r="K11" s="29" t="s">
        <v>35</v>
      </c>
      <c r="L11" s="44" t="s">
        <v>178</v>
      </c>
      <c r="M11" s="31" t="s">
        <v>39</v>
      </c>
      <c r="N11" s="27" t="s">
        <v>40</v>
      </c>
      <c r="O11" s="45" t="s">
        <v>41</v>
      </c>
      <c r="P11" s="46"/>
      <c r="Q11" s="25"/>
      <c r="R11" s="27"/>
      <c r="S11" s="27"/>
      <c r="T11" s="28"/>
      <c r="U11" s="27">
        <v>5</v>
      </c>
      <c r="V11" s="27"/>
      <c r="W11" s="28">
        <v>5</v>
      </c>
      <c r="X11" s="47" t="s">
        <v>43</v>
      </c>
      <c r="Y11" s="32" t="s">
        <v>44</v>
      </c>
      <c r="Z11" s="25"/>
      <c r="AA11" s="27"/>
      <c r="AB11" s="28"/>
      <c r="AC11" s="27">
        <v>5</v>
      </c>
      <c r="AD11" s="27"/>
      <c r="AE11" s="48" t="s">
        <v>45</v>
      </c>
      <c r="AG11" s="25"/>
      <c r="AH11" s="34"/>
      <c r="AI11" s="27"/>
      <c r="AJ11" s="27"/>
      <c r="AK11" s="27"/>
      <c r="AL11" s="25"/>
      <c r="AM11" s="34"/>
      <c r="AN11" s="27"/>
      <c r="AO11" s="27"/>
      <c r="AP11" s="36"/>
      <c r="AQ11" s="37"/>
      <c r="AR11" s="32"/>
      <c r="AS11" s="25"/>
      <c r="AT11" s="27"/>
      <c r="AU11" s="27"/>
      <c r="AW11" s="25"/>
      <c r="AX11" s="27"/>
      <c r="AY11" s="27"/>
      <c r="AZ11" s="32"/>
      <c r="BA11" s="41"/>
    </row>
    <row r="12" spans="1:53" x14ac:dyDescent="0.2">
      <c r="A12" s="25">
        <v>4</v>
      </c>
      <c r="B12" s="26">
        <v>45067</v>
      </c>
      <c r="C12" s="27" t="s">
        <v>117</v>
      </c>
      <c r="D12" s="25"/>
      <c r="E12" s="28"/>
      <c r="F12" s="27"/>
      <c r="G12" s="28"/>
      <c r="H12" s="27"/>
      <c r="I12" s="28"/>
      <c r="J12" s="27">
        <v>1.2</v>
      </c>
      <c r="K12" s="29" t="s">
        <v>35</v>
      </c>
      <c r="L12" s="39"/>
      <c r="M12" s="31"/>
      <c r="N12" s="27" t="s">
        <v>40</v>
      </c>
      <c r="O12" t="s">
        <v>46</v>
      </c>
      <c r="P12" s="32"/>
      <c r="Q12" s="25"/>
      <c r="R12" s="27"/>
      <c r="S12" s="27"/>
      <c r="T12" s="28"/>
      <c r="U12" s="27">
        <v>5</v>
      </c>
      <c r="V12" s="27"/>
      <c r="W12" s="28">
        <v>5</v>
      </c>
      <c r="X12" s="345" t="s">
        <v>47</v>
      </c>
      <c r="Y12" s="32"/>
      <c r="Z12" s="25"/>
      <c r="AA12" s="27"/>
      <c r="AB12" s="28"/>
      <c r="AC12" s="27">
        <v>5</v>
      </c>
      <c r="AD12" s="27"/>
      <c r="AE12" s="33"/>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5</v>
      </c>
      <c r="B13" s="26">
        <v>45068</v>
      </c>
      <c r="C13" s="27" t="s">
        <v>117</v>
      </c>
      <c r="D13" s="25"/>
      <c r="E13" s="28"/>
      <c r="F13" s="27"/>
      <c r="G13" s="28"/>
      <c r="H13" s="27"/>
      <c r="I13" s="28"/>
      <c r="J13" s="27">
        <v>1.2</v>
      </c>
      <c r="K13" s="29" t="s">
        <v>35</v>
      </c>
      <c r="L13" s="39"/>
      <c r="M13" s="31"/>
      <c r="N13" s="27" t="s">
        <v>40</v>
      </c>
      <c r="P13" s="32"/>
      <c r="Q13" s="25"/>
      <c r="R13" s="27"/>
      <c r="S13" s="27"/>
      <c r="T13" s="28"/>
      <c r="U13" s="27">
        <v>5</v>
      </c>
      <c r="V13" s="27"/>
      <c r="W13" s="28">
        <v>5</v>
      </c>
      <c r="X13" s="346"/>
      <c r="Y13" s="32"/>
      <c r="Z13" s="25"/>
      <c r="AA13" s="27"/>
      <c r="AB13" s="28"/>
      <c r="AC13" s="27">
        <v>5</v>
      </c>
      <c r="AD13" s="27"/>
      <c r="AE13" s="33"/>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6</v>
      </c>
      <c r="B14" s="26">
        <v>45069</v>
      </c>
      <c r="C14" s="27" t="s">
        <v>117</v>
      </c>
      <c r="D14" s="25"/>
      <c r="E14" s="28"/>
      <c r="F14" s="27"/>
      <c r="G14" s="28"/>
      <c r="H14" s="27"/>
      <c r="I14" s="28"/>
      <c r="J14" s="27">
        <v>1.2</v>
      </c>
      <c r="K14" s="29" t="s">
        <v>35</v>
      </c>
      <c r="L14" s="39"/>
      <c r="M14" s="31"/>
      <c r="N14" s="27" t="s">
        <v>40</v>
      </c>
      <c r="P14" s="32"/>
      <c r="Q14" s="25"/>
      <c r="R14" s="27"/>
      <c r="S14" s="27"/>
      <c r="T14" s="28"/>
      <c r="U14" s="27">
        <v>3</v>
      </c>
      <c r="V14" s="27"/>
      <c r="W14" s="28">
        <v>1</v>
      </c>
      <c r="X14" s="346"/>
      <c r="Y14" s="32"/>
      <c r="Z14" s="25"/>
      <c r="AA14" s="27"/>
      <c r="AB14" s="28"/>
      <c r="AC14" s="27">
        <v>5</v>
      </c>
      <c r="AD14" s="27"/>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7</v>
      </c>
      <c r="B15" s="26">
        <v>45070</v>
      </c>
      <c r="C15" s="27" t="s">
        <v>140</v>
      </c>
      <c r="D15" s="25"/>
      <c r="E15" s="28"/>
      <c r="F15" s="27"/>
      <c r="G15" s="28"/>
      <c r="H15" s="27"/>
      <c r="I15" s="28"/>
      <c r="J15" s="27">
        <v>1.2</v>
      </c>
      <c r="K15" s="29" t="s">
        <v>35</v>
      </c>
      <c r="L15" s="39"/>
      <c r="M15" s="31"/>
      <c r="N15" s="27" t="s">
        <v>40</v>
      </c>
      <c r="P15" s="32"/>
      <c r="Q15" s="25"/>
      <c r="R15" s="27"/>
      <c r="S15" s="27"/>
      <c r="T15" s="28"/>
      <c r="U15" s="27">
        <v>5</v>
      </c>
      <c r="V15" s="27"/>
      <c r="W15" s="28">
        <v>5</v>
      </c>
      <c r="X15" s="346"/>
      <c r="Y15" s="32"/>
      <c r="Z15" s="25"/>
      <c r="AA15" s="27"/>
      <c r="AB15" s="28"/>
      <c r="AC15" s="27">
        <v>5</v>
      </c>
      <c r="AD15" s="27"/>
      <c r="AE15" s="33"/>
      <c r="AG15" s="25"/>
      <c r="AH15" s="34"/>
      <c r="AI15" s="27"/>
      <c r="AJ15" s="27"/>
      <c r="AK15" s="27"/>
      <c r="AL15" s="25"/>
      <c r="AM15" s="34"/>
      <c r="AN15" s="27"/>
      <c r="AO15" s="27"/>
      <c r="AP15" s="36"/>
      <c r="AQ15" s="37"/>
      <c r="AR15" s="32"/>
      <c r="AS15" s="25"/>
      <c r="AT15" s="27"/>
      <c r="AU15" s="27"/>
      <c r="AW15" s="25"/>
      <c r="AX15" s="27"/>
      <c r="AY15" s="27"/>
      <c r="AZ15" s="32"/>
      <c r="BA15" s="41"/>
    </row>
    <row r="16" spans="1:53" x14ac:dyDescent="0.2">
      <c r="A16" s="25">
        <v>8</v>
      </c>
      <c r="B16" s="26">
        <v>45071</v>
      </c>
      <c r="C16" s="27" t="s">
        <v>140</v>
      </c>
      <c r="D16" s="25"/>
      <c r="E16" s="28"/>
      <c r="F16" s="27"/>
      <c r="G16" s="28"/>
      <c r="H16" s="27"/>
      <c r="I16" s="28"/>
      <c r="J16" s="27">
        <v>1.2</v>
      </c>
      <c r="K16" s="29" t="s">
        <v>35</v>
      </c>
      <c r="L16" s="39"/>
      <c r="M16" s="31"/>
      <c r="N16" s="27" t="s">
        <v>40</v>
      </c>
      <c r="P16" s="32"/>
      <c r="Q16" s="25"/>
      <c r="R16" s="27"/>
      <c r="S16" s="27"/>
      <c r="T16" s="28"/>
      <c r="U16" s="27">
        <v>5</v>
      </c>
      <c r="V16" s="27"/>
      <c r="W16" s="28">
        <v>5</v>
      </c>
      <c r="X16" s="346"/>
      <c r="Y16" s="32"/>
      <c r="Z16" s="25"/>
      <c r="AA16" s="27"/>
      <c r="AB16" s="28"/>
      <c r="AC16" s="27">
        <v>5</v>
      </c>
      <c r="AD16" s="27"/>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9</v>
      </c>
      <c r="B17" s="26">
        <v>45072</v>
      </c>
      <c r="C17" s="27" t="s">
        <v>140</v>
      </c>
      <c r="D17" s="25"/>
      <c r="E17" s="28"/>
      <c r="F17" s="27"/>
      <c r="G17" s="28"/>
      <c r="H17" s="27"/>
      <c r="I17" s="28"/>
      <c r="J17" s="27">
        <v>1.2</v>
      </c>
      <c r="K17" s="29" t="s">
        <v>35</v>
      </c>
      <c r="L17" s="39"/>
      <c r="M17" s="31"/>
      <c r="N17" s="27" t="s">
        <v>40</v>
      </c>
      <c r="P17" s="32"/>
      <c r="Q17" s="25"/>
      <c r="R17" s="27"/>
      <c r="S17" s="27"/>
      <c r="T17" s="28"/>
      <c r="U17" s="27">
        <v>5</v>
      </c>
      <c r="V17" s="27"/>
      <c r="W17" s="28">
        <v>5</v>
      </c>
      <c r="X17" s="346"/>
      <c r="Y17" s="32"/>
      <c r="Z17" s="25"/>
      <c r="AA17" s="27"/>
      <c r="AB17" s="28"/>
      <c r="AC17" s="27">
        <v>5</v>
      </c>
      <c r="AD17" s="27"/>
      <c r="AE17" s="33"/>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10</v>
      </c>
      <c r="B18" s="26">
        <v>45073</v>
      </c>
      <c r="C18" s="27"/>
      <c r="D18" s="25"/>
      <c r="E18" s="28"/>
      <c r="F18" s="27"/>
      <c r="G18" s="28"/>
      <c r="H18" s="27"/>
      <c r="I18" s="28"/>
      <c r="J18" s="27">
        <v>1.2</v>
      </c>
      <c r="K18" s="29" t="s">
        <v>35</v>
      </c>
      <c r="L18" s="39"/>
      <c r="M18" s="31"/>
      <c r="N18" s="27" t="s">
        <v>40</v>
      </c>
      <c r="O18" s="49"/>
      <c r="P18" s="32"/>
      <c r="Q18" s="25"/>
      <c r="R18" s="27"/>
      <c r="S18" s="27"/>
      <c r="T18" s="28"/>
      <c r="U18" s="27">
        <v>5</v>
      </c>
      <c r="V18" s="27"/>
      <c r="W18" s="28">
        <v>5</v>
      </c>
      <c r="X18" s="346"/>
      <c r="Y18" s="32"/>
      <c r="Z18" s="25"/>
      <c r="AA18" s="27"/>
      <c r="AB18" s="28"/>
      <c r="AC18" s="27">
        <v>10</v>
      </c>
      <c r="AD18" s="27"/>
      <c r="AE18" s="50"/>
      <c r="AF18" s="51"/>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11</v>
      </c>
      <c r="B19" s="26">
        <v>45074</v>
      </c>
      <c r="C19" s="27"/>
      <c r="D19" s="25"/>
      <c r="E19" s="28"/>
      <c r="F19" s="27"/>
      <c r="G19" s="28"/>
      <c r="H19" s="27"/>
      <c r="I19" s="28"/>
      <c r="J19" s="27">
        <v>1.2</v>
      </c>
      <c r="K19" s="29" t="s">
        <v>35</v>
      </c>
      <c r="L19" s="52"/>
      <c r="M19" s="31"/>
      <c r="N19" s="27" t="s">
        <v>40</v>
      </c>
      <c r="P19" s="32"/>
      <c r="Q19" s="25"/>
      <c r="R19" s="27"/>
      <c r="S19" s="27"/>
      <c r="T19" s="28"/>
      <c r="U19" s="27">
        <v>5</v>
      </c>
      <c r="V19" s="27"/>
      <c r="W19" s="28">
        <v>5</v>
      </c>
      <c r="X19" s="347"/>
      <c r="Y19" s="32"/>
      <c r="Z19" s="25"/>
      <c r="AA19" s="27"/>
      <c r="AB19" s="28"/>
      <c r="AC19" s="27">
        <v>10</v>
      </c>
      <c r="AD19" s="27"/>
      <c r="AE19" s="33"/>
      <c r="AF19" s="46"/>
      <c r="AG19" s="25"/>
      <c r="AH19" s="34"/>
      <c r="AI19" s="27"/>
      <c r="AJ19" s="27"/>
      <c r="AK19" s="27"/>
      <c r="AL19" s="25"/>
      <c r="AM19" s="34"/>
      <c r="AN19" s="27"/>
      <c r="AO19" s="27"/>
      <c r="AP19" s="36"/>
      <c r="AQ19" s="37"/>
      <c r="AR19" s="32"/>
      <c r="AS19" s="25"/>
      <c r="AT19" s="27"/>
      <c r="AU19" s="27"/>
      <c r="AW19" s="25"/>
      <c r="AX19" s="27"/>
      <c r="AY19" s="27"/>
      <c r="AZ19" s="32"/>
      <c r="BA19" s="41"/>
    </row>
    <row r="20" spans="1:53" ht="16" thickBot="1" x14ac:dyDescent="0.25">
      <c r="A20" s="25">
        <v>12</v>
      </c>
      <c r="B20" s="26">
        <v>45075</v>
      </c>
      <c r="C20" s="27" t="s">
        <v>117</v>
      </c>
      <c r="D20" s="25"/>
      <c r="E20" s="28"/>
      <c r="F20" s="27"/>
      <c r="G20" s="28"/>
      <c r="H20" s="27"/>
      <c r="I20" s="28"/>
      <c r="J20" s="27">
        <v>1.2</v>
      </c>
      <c r="K20" s="29" t="s">
        <v>35</v>
      </c>
      <c r="L20" s="53"/>
      <c r="M20" s="31"/>
      <c r="N20" s="27" t="s">
        <v>40</v>
      </c>
      <c r="P20" s="32"/>
      <c r="Q20" s="25"/>
      <c r="R20" s="27"/>
      <c r="S20" s="27"/>
      <c r="T20" s="28"/>
      <c r="U20" s="27">
        <v>5</v>
      </c>
      <c r="V20" s="27"/>
      <c r="W20" s="28">
        <v>5</v>
      </c>
      <c r="X20" s="54" t="s">
        <v>49</v>
      </c>
      <c r="Y20" s="32"/>
      <c r="Z20" s="25"/>
      <c r="AA20" s="27"/>
      <c r="AB20" s="28"/>
      <c r="AC20" s="27">
        <v>15</v>
      </c>
      <c r="AD20" s="27"/>
      <c r="AE20" s="33"/>
      <c r="AG20" s="25"/>
      <c r="AH20" s="34"/>
      <c r="AI20" s="27"/>
      <c r="AJ20" s="27"/>
      <c r="AK20" s="27"/>
      <c r="AL20" s="25"/>
      <c r="AM20" s="34"/>
      <c r="AN20" s="27"/>
      <c r="AO20" s="27"/>
      <c r="AP20" s="36"/>
      <c r="AQ20" s="37"/>
      <c r="AR20" s="32"/>
      <c r="AS20" s="25"/>
      <c r="AT20" s="27"/>
      <c r="AU20" s="27"/>
      <c r="AW20" s="25"/>
      <c r="AX20" s="27"/>
      <c r="AY20" s="27"/>
      <c r="AZ20" s="32"/>
      <c r="BA20" s="41"/>
    </row>
    <row r="21" spans="1:53" ht="16" thickBot="1" x14ac:dyDescent="0.25">
      <c r="A21" s="25">
        <v>13</v>
      </c>
      <c r="B21" s="26">
        <v>45076</v>
      </c>
      <c r="C21" s="27" t="s">
        <v>117</v>
      </c>
      <c r="D21" s="25"/>
      <c r="E21" s="28"/>
      <c r="F21" s="27"/>
      <c r="G21" s="28"/>
      <c r="H21" s="27"/>
      <c r="I21" s="28"/>
      <c r="J21" s="27">
        <v>1.2</v>
      </c>
      <c r="K21" s="29" t="s">
        <v>35</v>
      </c>
      <c r="L21" s="39"/>
      <c r="M21" s="31"/>
      <c r="N21" s="27" t="s">
        <v>40</v>
      </c>
      <c r="P21" s="32"/>
      <c r="Q21" s="25"/>
      <c r="R21" s="27"/>
      <c r="S21" s="27"/>
      <c r="T21" s="28"/>
      <c r="U21" s="27">
        <v>1</v>
      </c>
      <c r="V21" s="27"/>
      <c r="W21" s="28">
        <v>1</v>
      </c>
      <c r="X21" s="33">
        <v>1</v>
      </c>
      <c r="Y21" s="32"/>
      <c r="Z21" s="55"/>
      <c r="AA21" s="56"/>
      <c r="AB21" s="57"/>
      <c r="AC21" s="27">
        <v>15</v>
      </c>
      <c r="AD21" s="27"/>
      <c r="AE21" s="33"/>
      <c r="AG21" s="25"/>
      <c r="AH21" s="34"/>
      <c r="AI21" s="27"/>
      <c r="AJ21" s="27"/>
      <c r="AK21" s="27"/>
      <c r="AL21" s="25"/>
      <c r="AM21" s="34"/>
      <c r="AN21" s="27"/>
      <c r="AO21" s="27"/>
      <c r="AP21" s="36"/>
      <c r="AQ21" s="37"/>
      <c r="AR21" s="32"/>
      <c r="AS21" s="131" t="s">
        <v>51</v>
      </c>
      <c r="AT21" s="132" t="s">
        <v>52</v>
      </c>
      <c r="AU21" s="133" t="s">
        <v>53</v>
      </c>
      <c r="AW21" s="25"/>
      <c r="AX21" s="27"/>
      <c r="AY21" s="27"/>
      <c r="AZ21" s="32"/>
      <c r="BA21" s="41"/>
    </row>
    <row r="22" spans="1:53" ht="16" thickBot="1" x14ac:dyDescent="0.25">
      <c r="A22" s="25">
        <v>14</v>
      </c>
      <c r="B22" s="26">
        <v>45077</v>
      </c>
      <c r="C22" s="27" t="s">
        <v>117</v>
      </c>
      <c r="D22" s="25"/>
      <c r="E22" s="28"/>
      <c r="F22" s="27"/>
      <c r="G22" s="28"/>
      <c r="H22" s="27"/>
      <c r="I22" s="28"/>
      <c r="J22" s="27">
        <v>1.2</v>
      </c>
      <c r="K22" s="29" t="s">
        <v>35</v>
      </c>
      <c r="L22" s="39"/>
      <c r="M22" s="31"/>
      <c r="N22" s="27" t="s">
        <v>40</v>
      </c>
      <c r="P22" s="32"/>
      <c r="Q22" s="25"/>
      <c r="R22" s="27"/>
      <c r="S22" s="27"/>
      <c r="T22" s="28"/>
      <c r="U22" s="27">
        <v>1</v>
      </c>
      <c r="V22" s="27"/>
      <c r="W22" s="27">
        <v>1</v>
      </c>
      <c r="X22" s="33"/>
      <c r="Y22" s="32"/>
      <c r="Z22" s="59"/>
      <c r="AA22" s="60"/>
      <c r="AB22" s="61"/>
      <c r="AC22" s="27">
        <v>15</v>
      </c>
      <c r="AD22" s="27"/>
      <c r="AE22" s="33"/>
      <c r="AG22" s="25"/>
      <c r="AH22" s="34"/>
      <c r="AI22" s="27"/>
      <c r="AJ22" s="27"/>
      <c r="AK22" s="27"/>
      <c r="AL22" s="25"/>
      <c r="AM22" s="34"/>
      <c r="AN22" s="27"/>
      <c r="AO22" s="27"/>
      <c r="AP22" s="36"/>
      <c r="AQ22" s="37"/>
      <c r="AR22" s="32"/>
      <c r="AS22" s="131" t="s">
        <v>51</v>
      </c>
      <c r="AT22" s="132" t="s">
        <v>52</v>
      </c>
      <c r="AU22" s="134"/>
      <c r="AW22" s="25"/>
      <c r="AX22" s="27"/>
      <c r="AY22" s="27"/>
      <c r="AZ22" s="32"/>
      <c r="BA22" s="62"/>
    </row>
    <row r="23" spans="1:53" ht="16" thickBot="1" x14ac:dyDescent="0.25">
      <c r="A23" s="25">
        <v>15</v>
      </c>
      <c r="B23" s="26">
        <v>45078</v>
      </c>
      <c r="C23" s="27"/>
      <c r="D23" s="25"/>
      <c r="E23" s="28"/>
      <c r="F23" s="27"/>
      <c r="G23" s="28"/>
      <c r="H23" s="27"/>
      <c r="I23" s="28"/>
      <c r="J23" s="27">
        <v>1.2</v>
      </c>
      <c r="K23" s="29" t="s">
        <v>35</v>
      </c>
      <c r="L23" s="39"/>
      <c r="M23" s="31"/>
      <c r="N23" s="27" t="s">
        <v>40</v>
      </c>
      <c r="P23" s="32"/>
      <c r="Q23" s="25"/>
      <c r="R23" s="27"/>
      <c r="S23" s="27"/>
      <c r="T23" s="28"/>
      <c r="U23" s="27">
        <v>1</v>
      </c>
      <c r="V23" s="27"/>
      <c r="W23" s="28">
        <v>1</v>
      </c>
      <c r="X23" s="33"/>
      <c r="Y23" s="32"/>
      <c r="Z23" s="25"/>
      <c r="AA23" s="27"/>
      <c r="AB23" s="28"/>
      <c r="AC23" s="27">
        <v>15</v>
      </c>
      <c r="AD23" s="27"/>
      <c r="AE23" s="33"/>
      <c r="AG23" s="25"/>
      <c r="AH23" s="34"/>
      <c r="AI23" s="27"/>
      <c r="AJ23" s="27"/>
      <c r="AK23" s="27"/>
      <c r="AL23" s="25"/>
      <c r="AM23" s="34"/>
      <c r="AN23" s="27"/>
      <c r="AO23" s="27"/>
      <c r="AP23" s="36"/>
      <c r="AQ23" s="37"/>
      <c r="AR23" s="46"/>
      <c r="AS23" s="131" t="s">
        <v>57</v>
      </c>
      <c r="AT23" s="132" t="s">
        <v>52</v>
      </c>
      <c r="AU23" s="133" t="s">
        <v>58</v>
      </c>
      <c r="AW23" s="25"/>
      <c r="AX23" s="27"/>
      <c r="AY23" s="27"/>
      <c r="AZ23" s="32"/>
      <c r="BA23" s="41"/>
    </row>
    <row r="24" spans="1:53" ht="16" thickBot="1" x14ac:dyDescent="0.25">
      <c r="A24" s="25">
        <v>16</v>
      </c>
      <c r="B24" s="26">
        <v>45079</v>
      </c>
      <c r="C24" s="27"/>
      <c r="D24" s="25"/>
      <c r="E24" s="28"/>
      <c r="F24" s="27"/>
      <c r="G24" s="28"/>
      <c r="H24" s="27"/>
      <c r="I24" s="28"/>
      <c r="J24" s="27">
        <v>1.2</v>
      </c>
      <c r="K24" s="29" t="s">
        <v>35</v>
      </c>
      <c r="L24" s="44" t="s">
        <v>59</v>
      </c>
      <c r="M24" s="31"/>
      <c r="N24" s="27" t="s">
        <v>40</v>
      </c>
      <c r="P24" s="32"/>
      <c r="Q24" s="25"/>
      <c r="R24" s="27"/>
      <c r="S24" s="27"/>
      <c r="T24" s="28"/>
      <c r="U24" s="27">
        <v>1</v>
      </c>
      <c r="V24" s="27"/>
      <c r="W24" s="28">
        <v>1</v>
      </c>
      <c r="X24" s="63" t="s">
        <v>60</v>
      </c>
      <c r="Y24" s="46" t="s">
        <v>61</v>
      </c>
      <c r="AB24" s="28"/>
      <c r="AC24" s="27">
        <v>15</v>
      </c>
      <c r="AD24" s="27"/>
      <c r="AE24" s="33"/>
      <c r="AG24" s="25"/>
      <c r="AH24" s="34"/>
      <c r="AI24" s="27"/>
      <c r="AJ24" s="27"/>
      <c r="AK24" s="27"/>
      <c r="AL24" s="25"/>
      <c r="AM24" s="34"/>
      <c r="AN24" s="27"/>
      <c r="AO24" s="27"/>
      <c r="AP24" s="36"/>
      <c r="AQ24" s="64"/>
      <c r="AR24" s="65"/>
      <c r="AS24" s="131" t="s">
        <v>57</v>
      </c>
      <c r="AT24" s="132" t="s">
        <v>52</v>
      </c>
      <c r="AU24" s="132"/>
      <c r="AW24" s="25"/>
      <c r="AX24" s="27"/>
      <c r="AY24" s="27"/>
      <c r="AZ24" s="32"/>
      <c r="BA24" s="41"/>
    </row>
    <row r="25" spans="1:53" x14ac:dyDescent="0.2">
      <c r="A25" s="25">
        <v>17</v>
      </c>
      <c r="B25" s="26">
        <v>45080</v>
      </c>
      <c r="C25" s="27"/>
      <c r="D25" s="25"/>
      <c r="E25" s="28"/>
      <c r="F25" s="27"/>
      <c r="G25" s="28"/>
      <c r="H25" s="27"/>
      <c r="I25" s="28"/>
      <c r="J25" s="27">
        <v>1.2</v>
      </c>
      <c r="K25" s="29" t="s">
        <v>35</v>
      </c>
      <c r="L25" s="39"/>
      <c r="M25" s="31"/>
      <c r="N25" s="27" t="s">
        <v>40</v>
      </c>
      <c r="P25" s="32"/>
      <c r="Q25" s="25"/>
      <c r="R25" s="27"/>
      <c r="S25" s="27"/>
      <c r="T25" s="28"/>
      <c r="U25" s="27" t="s">
        <v>55</v>
      </c>
      <c r="V25" s="27" t="s">
        <v>154</v>
      </c>
      <c r="W25" s="28" t="s">
        <v>55</v>
      </c>
      <c r="X25" s="33" t="s">
        <v>155</v>
      </c>
      <c r="Y25" s="32"/>
      <c r="Z25" s="25"/>
      <c r="AA25" s="27"/>
      <c r="AB25" s="28"/>
      <c r="AC25" s="27">
        <v>15</v>
      </c>
      <c r="AD25" s="27"/>
      <c r="AE25" s="33"/>
      <c r="AG25" s="25"/>
      <c r="AH25" s="34"/>
      <c r="AI25" s="27"/>
      <c r="AJ25" s="27"/>
      <c r="AK25" s="27"/>
      <c r="AL25" s="25"/>
      <c r="AM25" s="34"/>
      <c r="AN25" s="27"/>
      <c r="AO25" s="27"/>
      <c r="AP25" s="36"/>
      <c r="AQ25" s="37"/>
      <c r="AR25" s="32"/>
      <c r="AS25" s="131" t="s">
        <v>57</v>
      </c>
      <c r="AT25" s="132" t="s">
        <v>52</v>
      </c>
      <c r="AU25" s="132"/>
      <c r="AW25" s="25"/>
      <c r="AX25" s="27"/>
      <c r="AY25" s="27"/>
      <c r="AZ25" s="32"/>
      <c r="BA25" s="41"/>
    </row>
    <row r="26" spans="1:53" s="125" customFormat="1" ht="16" thickBot="1" x14ac:dyDescent="0.25">
      <c r="A26" s="108">
        <v>18</v>
      </c>
      <c r="B26" s="109">
        <v>45081</v>
      </c>
      <c r="C26" s="112"/>
      <c r="D26" s="108"/>
      <c r="E26" s="111"/>
      <c r="F26" s="112"/>
      <c r="G26" s="111"/>
      <c r="H26" s="112"/>
      <c r="I26" s="111"/>
      <c r="J26" s="112">
        <v>1.2</v>
      </c>
      <c r="K26" s="113" t="s">
        <v>35</v>
      </c>
      <c r="L26" s="155" t="s">
        <v>185</v>
      </c>
      <c r="M26" s="115"/>
      <c r="N26" s="112" t="s">
        <v>40</v>
      </c>
      <c r="O26" s="121"/>
      <c r="P26" s="116"/>
      <c r="Q26" s="108"/>
      <c r="R26" s="112"/>
      <c r="S26" s="112"/>
      <c r="T26" s="111"/>
      <c r="U26" s="112">
        <v>0</v>
      </c>
      <c r="V26" s="112" t="s">
        <v>154</v>
      </c>
      <c r="W26" s="111">
        <v>0</v>
      </c>
      <c r="X26" s="117" t="s">
        <v>62</v>
      </c>
      <c r="Y26" s="116"/>
      <c r="Z26" s="108"/>
      <c r="AA26" s="112"/>
      <c r="AB26" s="111"/>
      <c r="AC26" s="112">
        <v>15</v>
      </c>
      <c r="AD26" s="112"/>
      <c r="AE26" s="117"/>
      <c r="AF26" s="121"/>
      <c r="AG26" s="108">
        <v>2.5000000000000001E-2</v>
      </c>
      <c r="AH26" s="122">
        <v>2.5000000000000001E-2</v>
      </c>
      <c r="AI26" s="112"/>
      <c r="AJ26" s="112"/>
      <c r="AK26" s="112"/>
      <c r="AL26" s="108"/>
      <c r="AM26" s="122"/>
      <c r="AN26" s="112"/>
      <c r="AO26" s="112"/>
      <c r="AP26" s="154"/>
      <c r="AQ26" s="155" t="s">
        <v>63</v>
      </c>
      <c r="AR26" s="116" t="s">
        <v>64</v>
      </c>
      <c r="AS26" s="108" t="s">
        <v>57</v>
      </c>
      <c r="AT26" s="112" t="s">
        <v>52</v>
      </c>
      <c r="AV26" s="121"/>
      <c r="AW26" s="108"/>
      <c r="AX26" s="112"/>
      <c r="AY26" s="112"/>
      <c r="AZ26" s="116"/>
      <c r="BA26" s="124"/>
    </row>
    <row r="27" spans="1:53" ht="16" thickBot="1" x14ac:dyDescent="0.25">
      <c r="A27" s="25">
        <v>19</v>
      </c>
      <c r="B27" s="26">
        <v>45082</v>
      </c>
      <c r="C27" s="27"/>
      <c r="D27" s="25"/>
      <c r="E27" s="28"/>
      <c r="F27" s="27"/>
      <c r="G27" s="28"/>
      <c r="H27" s="27"/>
      <c r="I27" s="28"/>
      <c r="J27" s="27">
        <v>1.2</v>
      </c>
      <c r="K27" s="29" t="s">
        <v>35</v>
      </c>
      <c r="L27" s="39"/>
      <c r="M27" s="31"/>
      <c r="N27" s="27" t="s">
        <v>40</v>
      </c>
      <c r="P27" s="32"/>
      <c r="Q27" s="25"/>
      <c r="R27" s="27"/>
      <c r="S27" s="27"/>
      <c r="T27" s="28"/>
      <c r="U27" s="27"/>
      <c r="V27" s="27" t="s">
        <v>154</v>
      </c>
      <c r="W27" s="28"/>
      <c r="X27" s="33"/>
      <c r="Y27" s="32"/>
      <c r="Z27" s="25"/>
      <c r="AA27" s="27"/>
      <c r="AB27" s="28"/>
      <c r="AC27" s="27">
        <v>15</v>
      </c>
      <c r="AD27" s="27"/>
      <c r="AE27" s="33"/>
      <c r="AG27" s="25">
        <v>2.5000000000000001E-2</v>
      </c>
      <c r="AH27" s="34">
        <v>2.5000000000000001E-2</v>
      </c>
      <c r="AI27" s="27"/>
      <c r="AJ27" s="27"/>
      <c r="AK27" s="27"/>
      <c r="AL27" s="25"/>
      <c r="AM27" s="34"/>
      <c r="AN27" s="27"/>
      <c r="AO27" s="27"/>
      <c r="AP27" s="36"/>
      <c r="AQ27" s="68" t="s">
        <v>65</v>
      </c>
      <c r="AR27" s="32" t="s">
        <v>64</v>
      </c>
      <c r="AS27" s="131" t="s">
        <v>57</v>
      </c>
      <c r="AT27" s="132" t="s">
        <v>52</v>
      </c>
      <c r="AU27" s="132"/>
      <c r="AW27" s="25"/>
      <c r="AX27" s="27"/>
      <c r="AY27" s="27"/>
      <c r="AZ27" s="32"/>
      <c r="BA27" s="62"/>
    </row>
    <row r="28" spans="1:53" x14ac:dyDescent="0.2">
      <c r="A28" s="25">
        <v>20</v>
      </c>
      <c r="B28" s="26">
        <v>45083</v>
      </c>
      <c r="C28" s="27"/>
      <c r="D28" s="25"/>
      <c r="E28" s="28"/>
      <c r="F28" s="27"/>
      <c r="G28" s="28"/>
      <c r="H28" s="27"/>
      <c r="I28" s="28"/>
      <c r="J28" s="27">
        <v>1.2</v>
      </c>
      <c r="K28" s="29" t="s">
        <v>35</v>
      </c>
      <c r="L28" s="39"/>
      <c r="M28" s="69"/>
      <c r="N28" s="27" t="s">
        <v>40</v>
      </c>
      <c r="O28" s="306" t="s">
        <v>66</v>
      </c>
      <c r="P28" s="32"/>
      <c r="Q28" s="25"/>
      <c r="R28" s="27"/>
      <c r="S28" s="27"/>
      <c r="T28" s="28"/>
      <c r="U28" s="27"/>
      <c r="V28" s="27" t="s">
        <v>154</v>
      </c>
      <c r="W28" s="28"/>
      <c r="X28" s="33"/>
      <c r="Y28" s="32"/>
      <c r="Z28" s="25"/>
      <c r="AA28" s="27"/>
      <c r="AB28" s="28"/>
      <c r="AC28" s="27">
        <v>15</v>
      </c>
      <c r="AD28" s="27"/>
      <c r="AE28" s="33"/>
      <c r="AG28" s="25"/>
      <c r="AH28" s="34"/>
      <c r="AI28" s="27"/>
      <c r="AJ28" s="27"/>
      <c r="AK28" s="27"/>
      <c r="AL28" s="25"/>
      <c r="AM28" s="34"/>
      <c r="AN28" s="27"/>
      <c r="AO28" s="27"/>
      <c r="AP28" s="36"/>
      <c r="AQ28" s="37"/>
      <c r="AR28" s="32"/>
      <c r="AS28" s="131" t="s">
        <v>57</v>
      </c>
      <c r="AT28" s="132" t="s">
        <v>52</v>
      </c>
      <c r="AU28" s="132"/>
      <c r="AW28" s="25"/>
      <c r="AX28" s="27"/>
      <c r="AY28" s="27"/>
      <c r="AZ28" s="32"/>
      <c r="BA28" s="41"/>
    </row>
    <row r="29" spans="1:53" ht="16" thickBot="1" x14ac:dyDescent="0.25">
      <c r="A29" s="70">
        <v>21</v>
      </c>
      <c r="B29" s="26">
        <v>45084</v>
      </c>
      <c r="C29" s="71"/>
      <c r="D29" s="70"/>
      <c r="E29" s="72"/>
      <c r="F29" s="71"/>
      <c r="G29" s="72"/>
      <c r="H29" s="71"/>
      <c r="I29" s="72"/>
      <c r="J29" s="27">
        <v>1.2</v>
      </c>
      <c r="K29" s="29" t="s">
        <v>35</v>
      </c>
      <c r="L29" s="39"/>
      <c r="M29" s="73"/>
      <c r="N29" s="27" t="s">
        <v>40</v>
      </c>
      <c r="O29" s="307"/>
      <c r="P29" s="74"/>
      <c r="Q29" s="70"/>
      <c r="R29" s="71"/>
      <c r="S29" s="71"/>
      <c r="T29" s="72"/>
      <c r="U29" s="71"/>
      <c r="V29" s="71" t="s">
        <v>154</v>
      </c>
      <c r="W29" s="72"/>
      <c r="X29" s="33"/>
      <c r="Y29" s="75"/>
      <c r="Z29" s="70"/>
      <c r="AA29" s="71"/>
      <c r="AB29" s="72"/>
      <c r="AC29" s="27">
        <v>15</v>
      </c>
      <c r="AD29" s="71"/>
      <c r="AE29" s="33"/>
      <c r="AF29" s="76"/>
      <c r="AG29" s="70"/>
      <c r="AH29" s="77"/>
      <c r="AI29" s="71"/>
      <c r="AJ29" s="71"/>
      <c r="AK29" s="71"/>
      <c r="AL29" s="70"/>
      <c r="AM29" s="77"/>
      <c r="AN29" s="27"/>
      <c r="AO29" s="71"/>
      <c r="AP29" s="78"/>
      <c r="AQ29" s="37"/>
      <c r="AR29" s="75"/>
      <c r="AS29" s="135" t="s">
        <v>57</v>
      </c>
      <c r="AT29" s="132" t="s">
        <v>52</v>
      </c>
      <c r="AU29" s="136"/>
      <c r="AV29" s="76"/>
      <c r="AW29" s="70"/>
      <c r="AX29" s="71"/>
      <c r="AY29" s="71"/>
      <c r="AZ29" s="75"/>
      <c r="BA29" s="79"/>
    </row>
    <row r="30" spans="1:53" ht="16" thickBot="1" x14ac:dyDescent="0.25">
      <c r="A30" s="25">
        <v>22</v>
      </c>
      <c r="B30" s="26">
        <v>45085</v>
      </c>
      <c r="C30" s="27"/>
      <c r="D30" s="25"/>
      <c r="E30" s="28"/>
      <c r="F30" s="27"/>
      <c r="G30" s="28"/>
      <c r="H30" s="27"/>
      <c r="I30" s="28"/>
      <c r="J30" s="27">
        <v>1.2</v>
      </c>
      <c r="K30" s="29" t="s">
        <v>35</v>
      </c>
      <c r="L30" s="39"/>
      <c r="M30" s="69"/>
      <c r="N30" s="27" t="s">
        <v>40</v>
      </c>
      <c r="O30" s="307"/>
      <c r="P30" s="46" t="s">
        <v>67</v>
      </c>
      <c r="Q30" s="43"/>
      <c r="R30" s="27"/>
      <c r="S30" s="27"/>
      <c r="T30" s="28"/>
      <c r="U30" s="27"/>
      <c r="V30" s="27" t="s">
        <v>154</v>
      </c>
      <c r="W30" s="28"/>
      <c r="X30" s="33"/>
      <c r="Y30" s="32"/>
      <c r="Z30" s="60"/>
      <c r="AA30" s="60"/>
      <c r="AB30" s="61"/>
      <c r="AC30" s="27">
        <v>15</v>
      </c>
      <c r="AD30" s="27"/>
      <c r="AE30" s="33"/>
      <c r="AG30" s="25"/>
      <c r="AH30" s="34"/>
      <c r="AI30" s="27"/>
      <c r="AJ30" s="27"/>
      <c r="AK30" s="27"/>
      <c r="AL30" s="25"/>
      <c r="AM30" s="34"/>
      <c r="AN30" s="27"/>
      <c r="AO30" s="27"/>
      <c r="AP30" s="36"/>
      <c r="AQ30" s="37"/>
      <c r="AR30" s="32"/>
      <c r="AS30" s="131" t="s">
        <v>57</v>
      </c>
      <c r="AT30" s="132" t="s">
        <v>52</v>
      </c>
      <c r="AU30" s="132"/>
      <c r="AW30" s="25"/>
      <c r="AX30" s="27"/>
      <c r="AY30" s="27"/>
      <c r="AZ30" s="32"/>
      <c r="BA30" s="80" t="s">
        <v>68</v>
      </c>
    </row>
    <row r="31" spans="1:53" ht="16" thickBot="1" x14ac:dyDescent="0.25">
      <c r="A31" s="25">
        <v>23</v>
      </c>
      <c r="B31" s="26">
        <v>45086</v>
      </c>
      <c r="C31" s="27"/>
      <c r="D31" s="25"/>
      <c r="E31" s="28"/>
      <c r="F31" s="27"/>
      <c r="G31" s="28"/>
      <c r="H31" s="27"/>
      <c r="I31" s="28"/>
      <c r="J31" s="27">
        <v>1.2</v>
      </c>
      <c r="K31" s="29" t="s">
        <v>35</v>
      </c>
      <c r="L31" s="39"/>
      <c r="M31" s="31"/>
      <c r="N31" s="27" t="s">
        <v>40</v>
      </c>
      <c r="O31" s="307"/>
      <c r="P31" s="32" t="s">
        <v>69</v>
      </c>
      <c r="Q31" s="25"/>
      <c r="R31" s="27"/>
      <c r="S31" s="27"/>
      <c r="T31" s="28"/>
      <c r="U31" s="27"/>
      <c r="V31" s="27" t="s">
        <v>154</v>
      </c>
      <c r="W31" s="28"/>
      <c r="X31" s="33"/>
      <c r="Y31" s="32"/>
      <c r="Z31" s="25"/>
      <c r="AA31" s="27"/>
      <c r="AB31" s="28"/>
      <c r="AC31" s="27">
        <v>15</v>
      </c>
      <c r="AD31" s="27"/>
      <c r="AE31" s="33"/>
      <c r="AG31" s="25">
        <v>2.5000000000000001E-2</v>
      </c>
      <c r="AH31" s="34">
        <v>2.5000000000000001E-2</v>
      </c>
      <c r="AI31" s="27"/>
      <c r="AJ31" s="27"/>
      <c r="AK31" s="27"/>
      <c r="AL31" s="25"/>
      <c r="AM31" s="34"/>
      <c r="AN31" s="27"/>
      <c r="AO31" s="27"/>
      <c r="AP31" s="36"/>
      <c r="AQ31" s="37"/>
      <c r="AR31" s="32"/>
      <c r="AS31" s="131" t="s">
        <v>57</v>
      </c>
      <c r="AT31" s="132" t="s">
        <v>52</v>
      </c>
      <c r="AU31" s="133" t="s">
        <v>70</v>
      </c>
      <c r="AW31" s="25"/>
      <c r="AX31" s="27"/>
      <c r="AY31" s="27"/>
      <c r="AZ31" s="32"/>
      <c r="BA31" s="41"/>
    </row>
    <row r="32" spans="1:53" ht="16" thickBot="1" x14ac:dyDescent="0.25">
      <c r="A32" s="25">
        <v>24</v>
      </c>
      <c r="B32" s="26">
        <v>45087</v>
      </c>
      <c r="C32" s="27"/>
      <c r="D32" s="25"/>
      <c r="E32" s="28"/>
      <c r="F32" s="27"/>
      <c r="G32" s="28"/>
      <c r="H32" s="27"/>
      <c r="I32" s="28"/>
      <c r="J32" s="27">
        <v>1.2</v>
      </c>
      <c r="K32" s="29" t="s">
        <v>35</v>
      </c>
      <c r="L32" s="44" t="s">
        <v>71</v>
      </c>
      <c r="M32" s="31"/>
      <c r="N32" s="27" t="s">
        <v>40</v>
      </c>
      <c r="O32" s="307"/>
      <c r="P32" s="32"/>
      <c r="Q32" s="25"/>
      <c r="R32" s="27"/>
      <c r="S32" s="27"/>
      <c r="T32" s="28"/>
      <c r="U32" s="27"/>
      <c r="V32" s="27" t="s">
        <v>154</v>
      </c>
      <c r="W32" s="28"/>
      <c r="X32" s="33"/>
      <c r="Y32" s="32"/>
      <c r="Z32" s="25"/>
      <c r="AA32" s="27"/>
      <c r="AB32" s="28"/>
      <c r="AC32" s="27">
        <v>15</v>
      </c>
      <c r="AD32" s="27"/>
      <c r="AE32" s="50"/>
      <c r="AF32" s="46"/>
      <c r="AG32" s="25"/>
      <c r="AH32" s="34"/>
      <c r="AI32" s="27"/>
      <c r="AJ32" s="27"/>
      <c r="AK32" s="27"/>
      <c r="AL32" s="25"/>
      <c r="AM32" s="34"/>
      <c r="AN32" s="27"/>
      <c r="AO32" s="27"/>
      <c r="AP32" s="36"/>
      <c r="AQ32" s="37"/>
      <c r="AR32" s="46"/>
      <c r="AS32" s="25" t="s">
        <v>72</v>
      </c>
      <c r="AT32" s="27" t="s">
        <v>52</v>
      </c>
      <c r="AU32" s="58" t="s">
        <v>73</v>
      </c>
      <c r="AW32" s="25"/>
      <c r="AX32" s="27"/>
      <c r="AY32" s="27"/>
      <c r="AZ32" s="32"/>
      <c r="BA32" s="41"/>
    </row>
    <row r="33" spans="1:53" ht="16" thickBot="1" x14ac:dyDescent="0.25">
      <c r="A33" s="25">
        <v>25</v>
      </c>
      <c r="B33" s="26">
        <v>45088</v>
      </c>
      <c r="C33" s="27"/>
      <c r="D33" s="25"/>
      <c r="E33" s="28"/>
      <c r="F33" s="27"/>
      <c r="G33" s="28"/>
      <c r="H33" s="27"/>
      <c r="I33" s="28"/>
      <c r="J33" s="27">
        <v>1.2</v>
      </c>
      <c r="K33" s="29" t="s">
        <v>35</v>
      </c>
      <c r="L33" s="39"/>
      <c r="M33" s="31"/>
      <c r="N33" s="27" t="s">
        <v>40</v>
      </c>
      <c r="O33" s="307"/>
      <c r="P33" s="81" t="s">
        <v>74</v>
      </c>
      <c r="Q33" s="43"/>
      <c r="R33" s="27"/>
      <c r="S33" s="27"/>
      <c r="T33" s="28"/>
      <c r="U33" s="27"/>
      <c r="V33" s="27" t="s">
        <v>154</v>
      </c>
      <c r="W33" s="28"/>
      <c r="X33" s="33"/>
      <c r="Y33" s="32"/>
      <c r="Z33" s="27"/>
      <c r="AA33" s="27"/>
      <c r="AB33" s="28"/>
      <c r="AC33" s="27"/>
      <c r="AD33" s="27"/>
      <c r="AE33" s="33"/>
      <c r="AG33" s="25"/>
      <c r="AH33" s="34"/>
      <c r="AI33" s="27"/>
      <c r="AJ33" s="27"/>
      <c r="AK33" s="27"/>
      <c r="AL33" s="25"/>
      <c r="AM33" s="34"/>
      <c r="AN33" s="27"/>
      <c r="AO33" s="27"/>
      <c r="AP33" s="36"/>
      <c r="AQ33" s="37"/>
      <c r="AR33" s="32" t="s">
        <v>64</v>
      </c>
      <c r="AS33" s="25" t="s">
        <v>72</v>
      </c>
      <c r="AT33" s="27" t="s">
        <v>52</v>
      </c>
      <c r="AW33" s="25"/>
      <c r="AX33" s="27"/>
      <c r="AY33" s="27"/>
      <c r="AZ33" s="32"/>
      <c r="BA33" s="41">
        <v>0</v>
      </c>
    </row>
    <row r="34" spans="1:53" ht="16" thickBot="1" x14ac:dyDescent="0.25">
      <c r="A34" s="25">
        <v>26</v>
      </c>
      <c r="B34" s="26">
        <v>45089</v>
      </c>
      <c r="C34" s="27"/>
      <c r="D34" s="25"/>
      <c r="E34" s="28"/>
      <c r="F34" s="27"/>
      <c r="G34" s="28"/>
      <c r="H34" s="27"/>
      <c r="I34" s="28"/>
      <c r="J34" s="27">
        <v>1.2</v>
      </c>
      <c r="K34" s="29" t="s">
        <v>35</v>
      </c>
      <c r="L34" s="39"/>
      <c r="M34" s="31"/>
      <c r="N34" s="27" t="s">
        <v>40</v>
      </c>
      <c r="O34" s="307"/>
      <c r="P34" s="32"/>
      <c r="Q34" s="25"/>
      <c r="R34" s="27"/>
      <c r="S34" s="27"/>
      <c r="T34" s="28"/>
      <c r="U34" s="27"/>
      <c r="V34" s="27" t="s">
        <v>154</v>
      </c>
      <c r="W34" s="28"/>
      <c r="X34" s="33"/>
      <c r="Y34" s="32"/>
      <c r="Z34" s="25"/>
      <c r="AA34" s="27"/>
      <c r="AB34" s="28"/>
      <c r="AC34" s="27"/>
      <c r="AD34" s="27"/>
      <c r="AE34" s="33"/>
      <c r="AG34" s="25"/>
      <c r="AH34" s="34"/>
      <c r="AI34" s="27"/>
      <c r="AJ34" s="27"/>
      <c r="AK34" s="27"/>
      <c r="AL34" s="25"/>
      <c r="AM34" s="34"/>
      <c r="AN34" s="27"/>
      <c r="AO34" s="27"/>
      <c r="AP34" s="36"/>
      <c r="AQ34" s="37"/>
      <c r="AR34" s="32" t="s">
        <v>64</v>
      </c>
      <c r="AS34" s="25" t="s">
        <v>72</v>
      </c>
      <c r="AT34" s="27" t="s">
        <v>52</v>
      </c>
      <c r="AW34" s="25"/>
      <c r="AX34" s="27"/>
      <c r="AY34" s="27"/>
      <c r="AZ34" s="32"/>
      <c r="BA34" s="41">
        <v>0</v>
      </c>
    </row>
    <row r="35" spans="1:53" ht="16" thickBot="1" x14ac:dyDescent="0.25">
      <c r="A35" s="25">
        <v>27</v>
      </c>
      <c r="B35" s="26">
        <v>45090</v>
      </c>
      <c r="C35" s="27"/>
      <c r="D35" s="25"/>
      <c r="E35" s="28"/>
      <c r="F35" s="27"/>
      <c r="G35" s="28"/>
      <c r="H35" s="27"/>
      <c r="I35" s="28"/>
      <c r="J35" s="27">
        <v>1.2</v>
      </c>
      <c r="K35" s="29" t="s">
        <v>35</v>
      </c>
      <c r="L35" s="39"/>
      <c r="M35" s="31"/>
      <c r="N35" s="27" t="s">
        <v>40</v>
      </c>
      <c r="O35" s="307"/>
      <c r="P35" s="32"/>
      <c r="Q35" s="25"/>
      <c r="R35" s="27"/>
      <c r="S35" s="27"/>
      <c r="T35" s="28"/>
      <c r="U35" s="27"/>
      <c r="V35" s="27" t="s">
        <v>154</v>
      </c>
      <c r="W35" s="28"/>
      <c r="X35" s="33"/>
      <c r="Y35" s="32"/>
      <c r="Z35" s="25"/>
      <c r="AA35" s="27"/>
      <c r="AB35" s="28"/>
      <c r="AC35" s="27"/>
      <c r="AD35" s="27"/>
      <c r="AE35" s="33"/>
      <c r="AG35" s="25"/>
      <c r="AH35" s="34"/>
      <c r="AI35" s="27"/>
      <c r="AJ35" s="27"/>
      <c r="AK35" s="27"/>
      <c r="AL35" s="25"/>
      <c r="AM35" s="34"/>
      <c r="AN35" s="27"/>
      <c r="AO35" s="27"/>
      <c r="AP35" s="36"/>
      <c r="AQ35" s="82"/>
      <c r="AR35" s="32" t="s">
        <v>75</v>
      </c>
      <c r="AS35" s="25" t="s">
        <v>72</v>
      </c>
      <c r="AT35" s="27" t="s">
        <v>52</v>
      </c>
      <c r="AU35" s="27"/>
      <c r="AW35" s="25"/>
      <c r="AX35" s="27"/>
      <c r="AY35" s="27"/>
      <c r="AZ35" s="32"/>
      <c r="BA35" s="41">
        <v>0</v>
      </c>
    </row>
    <row r="36" spans="1:53" x14ac:dyDescent="0.2">
      <c r="A36" s="25">
        <v>28</v>
      </c>
      <c r="B36" s="26">
        <v>45091</v>
      </c>
      <c r="C36" s="27"/>
      <c r="D36" s="25"/>
      <c r="E36" s="28"/>
      <c r="F36" s="27"/>
      <c r="G36" s="28"/>
      <c r="H36" s="27"/>
      <c r="I36" s="28"/>
      <c r="J36" s="27">
        <v>1.2</v>
      </c>
      <c r="K36" s="29" t="s">
        <v>35</v>
      </c>
      <c r="L36" s="39"/>
      <c r="M36" s="31"/>
      <c r="N36" s="27" t="s">
        <v>40</v>
      </c>
      <c r="O36" s="307"/>
      <c r="P36" s="32"/>
      <c r="Q36" s="25"/>
      <c r="R36" s="27"/>
      <c r="S36" s="27"/>
      <c r="T36" s="28"/>
      <c r="U36" s="27"/>
      <c r="V36" s="27" t="s">
        <v>154</v>
      </c>
      <c r="W36" s="28"/>
      <c r="Y36" s="32"/>
      <c r="Z36" s="25"/>
      <c r="AA36" s="27"/>
      <c r="AB36" s="28"/>
      <c r="AC36" s="27"/>
      <c r="AD36" s="27"/>
      <c r="AE36" s="33"/>
      <c r="AG36" s="25"/>
      <c r="AH36" s="34"/>
      <c r="AI36" s="27"/>
      <c r="AJ36" s="27"/>
      <c r="AK36" s="27"/>
      <c r="AL36" s="25"/>
      <c r="AM36" s="34"/>
      <c r="AN36" s="27">
        <v>2.5000000000000001E-2</v>
      </c>
      <c r="AO36" s="27"/>
      <c r="AP36" s="36"/>
      <c r="AR36" s="32" t="s">
        <v>75</v>
      </c>
      <c r="AS36" s="25" t="s">
        <v>72</v>
      </c>
      <c r="AT36" s="27" t="s">
        <v>52</v>
      </c>
      <c r="AU36" s="27"/>
      <c r="AW36" s="25"/>
      <c r="AX36" s="27"/>
      <c r="AY36" s="27"/>
      <c r="AZ36" s="32"/>
      <c r="BA36" s="41">
        <v>0</v>
      </c>
    </row>
    <row r="37" spans="1:53" ht="17.25" customHeight="1" thickBot="1" x14ac:dyDescent="0.25">
      <c r="A37" s="25">
        <v>29</v>
      </c>
      <c r="B37" s="26">
        <v>45092</v>
      </c>
      <c r="C37" s="27"/>
      <c r="D37" s="25"/>
      <c r="E37" s="28"/>
      <c r="F37" s="27"/>
      <c r="G37" s="28"/>
      <c r="H37" s="27"/>
      <c r="I37" s="28"/>
      <c r="J37" s="27">
        <v>1.2</v>
      </c>
      <c r="K37" s="29" t="s">
        <v>35</v>
      </c>
      <c r="L37" s="39"/>
      <c r="M37" s="31"/>
      <c r="N37" s="27" t="s">
        <v>40</v>
      </c>
      <c r="O37" s="307"/>
      <c r="P37" s="32"/>
      <c r="Q37" s="25"/>
      <c r="R37" s="27"/>
      <c r="S37" s="27"/>
      <c r="T37" s="28"/>
      <c r="U37" s="27"/>
      <c r="V37" s="27" t="s">
        <v>154</v>
      </c>
      <c r="W37" s="28"/>
      <c r="X37" s="33"/>
      <c r="Y37" s="32"/>
      <c r="Z37" s="25"/>
      <c r="AA37" s="27"/>
      <c r="AB37" s="28"/>
      <c r="AC37" s="27"/>
      <c r="AD37" s="27"/>
      <c r="AE37" s="33"/>
      <c r="AG37" s="25"/>
      <c r="AH37" s="34"/>
      <c r="AI37" s="27"/>
      <c r="AJ37" s="27"/>
      <c r="AK37" s="27"/>
      <c r="AL37" s="25"/>
      <c r="AM37" s="34"/>
      <c r="AN37" s="27"/>
      <c r="AO37" s="27"/>
      <c r="AP37" s="36"/>
      <c r="AQ37" s="37"/>
      <c r="AR37" s="32"/>
      <c r="AS37" s="25" t="s">
        <v>72</v>
      </c>
      <c r="AT37" s="27" t="s">
        <v>52</v>
      </c>
      <c r="AU37" s="27"/>
      <c r="AW37" s="25"/>
      <c r="AX37" s="27"/>
      <c r="AY37" s="27"/>
      <c r="AZ37" s="32"/>
      <c r="BA37" s="41"/>
    </row>
    <row r="38" spans="1:53" s="87" customFormat="1" ht="16" thickBot="1" x14ac:dyDescent="0.25">
      <c r="A38" s="83">
        <v>30</v>
      </c>
      <c r="B38" s="26">
        <v>45093</v>
      </c>
      <c r="C38" s="83"/>
      <c r="D38" s="83"/>
      <c r="E38" s="83"/>
      <c r="F38" s="83"/>
      <c r="G38" s="83"/>
      <c r="H38" s="83"/>
      <c r="I38" s="83"/>
      <c r="J38" s="83">
        <v>1.2</v>
      </c>
      <c r="K38" s="85" t="s">
        <v>35</v>
      </c>
      <c r="L38" s="86"/>
      <c r="M38" s="86"/>
      <c r="N38" s="83" t="s">
        <v>40</v>
      </c>
      <c r="O38" s="307"/>
      <c r="Q38" s="83"/>
      <c r="R38" s="83"/>
      <c r="S38" s="83"/>
      <c r="T38" s="83"/>
      <c r="U38" s="83"/>
      <c r="V38" s="83" t="s">
        <v>154</v>
      </c>
      <c r="W38" s="83"/>
      <c r="X38" s="83"/>
      <c r="Z38" s="83"/>
      <c r="AA38" s="83"/>
      <c r="AB38" s="83"/>
      <c r="AC38" s="83"/>
      <c r="AD38" s="83"/>
      <c r="AE38" s="83"/>
      <c r="AG38" s="83"/>
      <c r="AH38" s="83"/>
      <c r="AI38" s="83"/>
      <c r="AJ38" s="83"/>
      <c r="AK38" s="83"/>
      <c r="AL38" s="83"/>
      <c r="AM38" s="83"/>
      <c r="AN38" s="83"/>
      <c r="AO38" s="83"/>
      <c r="AP38" s="83"/>
      <c r="AS38" s="83" t="s">
        <v>72</v>
      </c>
      <c r="AT38" s="83" t="s">
        <v>52</v>
      </c>
      <c r="AU38" s="83"/>
      <c r="AW38" s="83"/>
      <c r="AX38" s="83"/>
      <c r="AY38" s="83"/>
      <c r="BA38" s="83"/>
    </row>
    <row r="39" spans="1:53" x14ac:dyDescent="0.2">
      <c r="A39" s="25">
        <v>31</v>
      </c>
      <c r="B39" s="26">
        <v>45094</v>
      </c>
      <c r="C39" s="27"/>
      <c r="D39" s="25"/>
      <c r="E39" s="28"/>
      <c r="F39" s="27"/>
      <c r="G39" s="28"/>
      <c r="H39" s="27"/>
      <c r="I39" s="28"/>
      <c r="J39" s="27">
        <v>1.2</v>
      </c>
      <c r="K39" s="29" t="s">
        <v>35</v>
      </c>
      <c r="L39" s="39"/>
      <c r="M39" s="31"/>
      <c r="N39" s="27" t="s">
        <v>76</v>
      </c>
      <c r="O39" s="307"/>
      <c r="P39" s="32"/>
      <c r="Q39" s="25"/>
      <c r="R39" s="27"/>
      <c r="S39" s="27"/>
      <c r="T39" s="28"/>
      <c r="U39" s="27"/>
      <c r="V39" s="27" t="s">
        <v>154</v>
      </c>
      <c r="W39" s="28"/>
      <c r="X39" s="33"/>
      <c r="Y39" s="32"/>
      <c r="Z39" s="25"/>
      <c r="AA39" s="27"/>
      <c r="AB39" s="28"/>
      <c r="AC39" s="27"/>
      <c r="AD39" s="27"/>
      <c r="AE39" s="33"/>
      <c r="AG39" s="25"/>
      <c r="AH39" s="34"/>
      <c r="AI39" s="27"/>
      <c r="AJ39" s="27"/>
      <c r="AK39" s="27"/>
      <c r="AL39" s="25"/>
      <c r="AM39" s="34"/>
      <c r="AN39" s="27"/>
      <c r="AO39" s="27"/>
      <c r="AP39" s="36"/>
      <c r="AQ39" s="37"/>
      <c r="AR39" s="46"/>
      <c r="AS39" s="25" t="s">
        <v>72</v>
      </c>
      <c r="AT39" s="27" t="s">
        <v>52</v>
      </c>
      <c r="AU39" s="27"/>
      <c r="AW39" s="25"/>
      <c r="AX39" s="27"/>
      <c r="AY39" s="27"/>
      <c r="AZ39" s="32"/>
      <c r="BA39" s="41"/>
    </row>
    <row r="40" spans="1:53" x14ac:dyDescent="0.2">
      <c r="A40" s="25">
        <v>32</v>
      </c>
      <c r="B40" s="26">
        <v>45095</v>
      </c>
      <c r="C40" s="27"/>
      <c r="D40" s="25"/>
      <c r="E40" s="28"/>
      <c r="F40" s="27"/>
      <c r="G40" s="28"/>
      <c r="H40" s="27"/>
      <c r="I40" s="28"/>
      <c r="J40" s="27">
        <v>1.2</v>
      </c>
      <c r="K40" s="29" t="s">
        <v>35</v>
      </c>
      <c r="L40" s="39"/>
      <c r="M40" s="31"/>
      <c r="N40" s="27" t="s">
        <v>76</v>
      </c>
      <c r="O40" s="307"/>
      <c r="P40" s="32"/>
      <c r="Q40" s="25"/>
      <c r="R40" s="27"/>
      <c r="S40" s="27"/>
      <c r="T40" s="28"/>
      <c r="U40" s="27"/>
      <c r="V40" s="27" t="s">
        <v>154</v>
      </c>
      <c r="W40" s="28"/>
      <c r="X40" s="33"/>
      <c r="Y40" s="32"/>
      <c r="Z40" s="25"/>
      <c r="AA40" s="27"/>
      <c r="AB40" s="28"/>
      <c r="AC40" s="27"/>
      <c r="AD40" s="27"/>
      <c r="AE40" s="33"/>
      <c r="AG40" s="25">
        <v>2.5000000000000001E-2</v>
      </c>
      <c r="AH40" s="34">
        <v>2.5000000000000001E-2</v>
      </c>
      <c r="AI40" s="27"/>
      <c r="AJ40" s="27"/>
      <c r="AK40" s="27"/>
      <c r="AL40" s="25"/>
      <c r="AM40" s="34"/>
      <c r="AN40" s="27">
        <v>2.5000000000000001E-2</v>
      </c>
      <c r="AO40" s="27">
        <v>2.5000000000000001E-2</v>
      </c>
      <c r="AP40" s="36">
        <v>2.5000000000000001E-2</v>
      </c>
      <c r="AQ40" s="37"/>
      <c r="AR40" s="32"/>
      <c r="AS40" s="25" t="s">
        <v>72</v>
      </c>
      <c r="AT40" s="27" t="s">
        <v>52</v>
      </c>
      <c r="AU40" s="27"/>
      <c r="AW40" s="25"/>
      <c r="AX40" s="27"/>
      <c r="AY40" s="27"/>
      <c r="AZ40" s="32"/>
      <c r="BA40" s="41"/>
    </row>
    <row r="41" spans="1:53" x14ac:dyDescent="0.2">
      <c r="A41" s="25">
        <v>33</v>
      </c>
      <c r="B41" s="26">
        <v>45096</v>
      </c>
      <c r="C41" s="27"/>
      <c r="D41" s="25"/>
      <c r="E41" s="28"/>
      <c r="F41" s="27"/>
      <c r="G41" s="28"/>
      <c r="H41" s="27"/>
      <c r="I41" s="28"/>
      <c r="J41" s="27">
        <v>1.2</v>
      </c>
      <c r="K41" s="29" t="s">
        <v>35</v>
      </c>
      <c r="L41" s="39"/>
      <c r="M41" s="31"/>
      <c r="N41" s="27" t="s">
        <v>76</v>
      </c>
      <c r="O41" s="307"/>
      <c r="P41" s="32"/>
      <c r="Q41" s="25"/>
      <c r="R41" s="27"/>
      <c r="S41" s="27"/>
      <c r="T41" s="28"/>
      <c r="U41" s="27"/>
      <c r="V41" s="27" t="s">
        <v>154</v>
      </c>
      <c r="W41" s="28"/>
      <c r="X41" s="33"/>
      <c r="Y41" s="32"/>
      <c r="Z41" s="25"/>
      <c r="AA41" s="27"/>
      <c r="AB41" s="28"/>
      <c r="AC41" s="27"/>
      <c r="AD41" s="27"/>
      <c r="AE41" s="33"/>
      <c r="AG41" s="25">
        <v>2.5000000000000001E-2</v>
      </c>
      <c r="AH41" s="34">
        <v>2.5000000000000001E-2</v>
      </c>
      <c r="AI41" s="27"/>
      <c r="AJ41" s="27"/>
      <c r="AK41" s="27"/>
      <c r="AL41" s="25"/>
      <c r="AM41" s="34"/>
      <c r="AN41" s="27">
        <v>2.5000000000000001E-2</v>
      </c>
      <c r="AO41" s="27">
        <v>2.5000000000000001E-2</v>
      </c>
      <c r="AP41" s="36"/>
      <c r="AQ41" s="37"/>
      <c r="AR41" s="32"/>
      <c r="AS41" s="25" t="s">
        <v>72</v>
      </c>
      <c r="AT41" s="27" t="s">
        <v>52</v>
      </c>
      <c r="AW41" s="25"/>
      <c r="AX41" s="27"/>
      <c r="AY41" s="27"/>
      <c r="AZ41" s="32"/>
      <c r="BA41" s="41"/>
    </row>
    <row r="42" spans="1:53" ht="16" thickBot="1" x14ac:dyDescent="0.25">
      <c r="A42" s="25">
        <v>34</v>
      </c>
      <c r="B42" s="26">
        <v>45097</v>
      </c>
      <c r="C42" s="27"/>
      <c r="D42" s="25"/>
      <c r="E42" s="28"/>
      <c r="F42" s="27"/>
      <c r="G42" s="28"/>
      <c r="H42" s="27"/>
      <c r="I42" s="28"/>
      <c r="J42" s="27">
        <v>1.2</v>
      </c>
      <c r="K42" s="29" t="s">
        <v>35</v>
      </c>
      <c r="L42" s="39"/>
      <c r="M42" s="31"/>
      <c r="N42" s="27" t="s">
        <v>76</v>
      </c>
      <c r="O42" s="307"/>
      <c r="P42" s="32"/>
      <c r="Q42" s="25"/>
      <c r="R42" s="27"/>
      <c r="S42" s="27"/>
      <c r="T42" s="28"/>
      <c r="U42" s="27"/>
      <c r="V42" s="27" t="s">
        <v>154</v>
      </c>
      <c r="W42" s="28"/>
      <c r="X42" s="33"/>
      <c r="Y42" s="32"/>
      <c r="Z42" s="25"/>
      <c r="AA42" s="27"/>
      <c r="AB42" s="28"/>
      <c r="AC42" s="27"/>
      <c r="AD42" s="27"/>
      <c r="AE42" s="33"/>
      <c r="AG42" s="25"/>
      <c r="AH42" s="34"/>
      <c r="AI42" s="27"/>
      <c r="AJ42" s="27"/>
      <c r="AK42" s="27"/>
      <c r="AL42" s="25"/>
      <c r="AM42" s="34"/>
      <c r="AN42" s="27"/>
      <c r="AO42" s="27"/>
      <c r="AP42" s="36"/>
      <c r="AQ42" s="37"/>
      <c r="AR42" s="32"/>
      <c r="AS42" s="25" t="s">
        <v>72</v>
      </c>
      <c r="AT42" s="27" t="s">
        <v>52</v>
      </c>
      <c r="AU42" s="27"/>
      <c r="AW42" s="25"/>
      <c r="AX42" s="27"/>
      <c r="AY42" s="27"/>
      <c r="AZ42" s="32"/>
      <c r="BA42" s="41"/>
    </row>
    <row r="43" spans="1:53" ht="16" thickBot="1" x14ac:dyDescent="0.25">
      <c r="A43" s="25">
        <v>35</v>
      </c>
      <c r="B43" s="26">
        <v>45098</v>
      </c>
      <c r="C43" s="27"/>
      <c r="D43" s="25"/>
      <c r="E43" s="28"/>
      <c r="F43" s="27"/>
      <c r="G43" s="28"/>
      <c r="H43" s="27"/>
      <c r="I43" s="28"/>
      <c r="J43" s="27">
        <v>1.2</v>
      </c>
      <c r="K43" s="29" t="s">
        <v>35</v>
      </c>
      <c r="L43" s="39"/>
      <c r="M43" s="31"/>
      <c r="N43" s="27" t="s">
        <v>76</v>
      </c>
      <c r="O43" s="307"/>
      <c r="P43" s="32"/>
      <c r="Q43" s="25"/>
      <c r="R43" s="27"/>
      <c r="S43" s="27"/>
      <c r="T43" s="28"/>
      <c r="U43" s="27"/>
      <c r="V43" s="27" t="s">
        <v>154</v>
      </c>
      <c r="W43" s="28"/>
      <c r="X43" s="33"/>
      <c r="Y43" s="32"/>
      <c r="Z43" s="25"/>
      <c r="AA43" s="27"/>
      <c r="AB43" s="28"/>
      <c r="AC43" s="27"/>
      <c r="AD43" s="27"/>
      <c r="AE43" s="33"/>
      <c r="AG43" s="25"/>
      <c r="AH43" s="34"/>
      <c r="AI43" s="27"/>
      <c r="AJ43" s="27"/>
      <c r="AK43" s="27"/>
      <c r="AL43" s="25"/>
      <c r="AM43" s="34"/>
      <c r="AN43" s="27"/>
      <c r="AO43" s="27"/>
      <c r="AP43" s="36"/>
      <c r="AQ43" s="37"/>
      <c r="AR43" s="32"/>
      <c r="AS43" s="25" t="s">
        <v>72</v>
      </c>
      <c r="AT43" s="27" t="s">
        <v>52</v>
      </c>
      <c r="AU43" s="58" t="s">
        <v>77</v>
      </c>
      <c r="AW43" s="25"/>
      <c r="AX43" s="27"/>
      <c r="AY43" s="27"/>
      <c r="AZ43" s="32"/>
      <c r="BA43" s="41"/>
    </row>
    <row r="44" spans="1:53" ht="16" thickBot="1" x14ac:dyDescent="0.25">
      <c r="A44" s="25">
        <v>36</v>
      </c>
      <c r="B44" s="26">
        <v>45099</v>
      </c>
      <c r="C44" s="27"/>
      <c r="D44" s="25"/>
      <c r="E44" s="28"/>
      <c r="F44" s="27"/>
      <c r="G44" s="28"/>
      <c r="H44" s="27"/>
      <c r="I44" s="28"/>
      <c r="J44" s="27">
        <v>1.2</v>
      </c>
      <c r="K44" s="29" t="s">
        <v>35</v>
      </c>
      <c r="L44" s="53"/>
      <c r="M44" s="31"/>
      <c r="N44" s="27" t="s">
        <v>76</v>
      </c>
      <c r="O44" s="307"/>
      <c r="P44" s="32"/>
      <c r="Q44" s="25"/>
      <c r="R44" s="27"/>
      <c r="S44" s="27"/>
      <c r="T44" s="28"/>
      <c r="U44" s="27"/>
      <c r="V44" s="27" t="s">
        <v>154</v>
      </c>
      <c r="W44" s="28"/>
      <c r="X44" s="33"/>
      <c r="Y44" s="32"/>
      <c r="Z44" s="25"/>
      <c r="AA44" s="27"/>
      <c r="AB44" s="28"/>
      <c r="AC44" s="27"/>
      <c r="AD44" s="27"/>
      <c r="AE44" s="33"/>
      <c r="AG44" s="25">
        <v>2.5000000000000001E-2</v>
      </c>
      <c r="AH44" s="34">
        <v>2.5000000000000001E-2</v>
      </c>
      <c r="AI44" s="27"/>
      <c r="AJ44" s="27"/>
      <c r="AK44" s="27"/>
      <c r="AL44" s="25"/>
      <c r="AM44" s="34"/>
      <c r="AN44" s="27">
        <v>0.25</v>
      </c>
      <c r="AO44" s="27">
        <v>2.5000000000000001E-2</v>
      </c>
      <c r="AP44" s="36"/>
      <c r="AQ44" s="37"/>
      <c r="AR44" s="32"/>
      <c r="AS44" s="25" t="s">
        <v>78</v>
      </c>
      <c r="AT44" s="27" t="s">
        <v>52</v>
      </c>
      <c r="AW44" s="25"/>
      <c r="AX44" s="27"/>
      <c r="AY44" s="27"/>
      <c r="AZ44" s="32"/>
      <c r="BA44" s="41"/>
    </row>
    <row r="45" spans="1:53" ht="16" thickBot="1" x14ac:dyDescent="0.25">
      <c r="A45" s="25">
        <v>37</v>
      </c>
      <c r="B45" s="26">
        <v>45100</v>
      </c>
      <c r="C45" s="27"/>
      <c r="D45" s="25"/>
      <c r="E45" s="28"/>
      <c r="F45" s="27"/>
      <c r="G45" s="28"/>
      <c r="H45" s="27"/>
      <c r="I45" s="28"/>
      <c r="J45" s="27">
        <v>1.2</v>
      </c>
      <c r="K45" s="29" t="s">
        <v>35</v>
      </c>
      <c r="L45" s="53"/>
      <c r="M45" s="31"/>
      <c r="N45" s="27" t="s">
        <v>76</v>
      </c>
      <c r="O45" s="307"/>
      <c r="P45" s="32"/>
      <c r="Q45" s="25"/>
      <c r="R45" s="27"/>
      <c r="S45" s="27"/>
      <c r="T45" s="28"/>
      <c r="U45" s="27"/>
      <c r="V45" s="27" t="s">
        <v>154</v>
      </c>
      <c r="W45" s="28"/>
      <c r="X45" s="33"/>
      <c r="Y45" s="32"/>
      <c r="Z45" s="59"/>
      <c r="AA45" s="60"/>
      <c r="AB45" s="61"/>
      <c r="AC45" s="27"/>
      <c r="AD45" s="27"/>
      <c r="AE45" s="33"/>
      <c r="AG45" s="25"/>
      <c r="AH45" s="34"/>
      <c r="AI45" s="27"/>
      <c r="AJ45" s="27"/>
      <c r="AK45" s="27"/>
      <c r="AL45" s="25"/>
      <c r="AM45" s="34"/>
      <c r="AN45" s="27"/>
      <c r="AO45" s="27"/>
      <c r="AP45" s="36"/>
      <c r="AQ45" s="37"/>
      <c r="AR45" s="32"/>
      <c r="AS45" s="25" t="s">
        <v>78</v>
      </c>
      <c r="AT45" s="27" t="s">
        <v>52</v>
      </c>
      <c r="AU45" s="27"/>
      <c r="AW45" s="25"/>
      <c r="AX45" s="27"/>
      <c r="AY45" s="27"/>
      <c r="AZ45" s="32"/>
      <c r="BA45" s="41"/>
    </row>
    <row r="46" spans="1:53" x14ac:dyDescent="0.2">
      <c r="A46" s="25">
        <v>38</v>
      </c>
      <c r="B46" s="26">
        <v>45101</v>
      </c>
      <c r="C46" s="27"/>
      <c r="D46" s="25"/>
      <c r="E46" s="28"/>
      <c r="F46" s="27"/>
      <c r="G46" s="28"/>
      <c r="H46" s="27"/>
      <c r="I46" s="28"/>
      <c r="J46" s="27">
        <v>1.2</v>
      </c>
      <c r="K46" s="29" t="s">
        <v>35</v>
      </c>
      <c r="L46" s="39"/>
      <c r="M46" s="31"/>
      <c r="N46" s="27" t="s">
        <v>76</v>
      </c>
      <c r="O46" s="307"/>
      <c r="P46" s="32"/>
      <c r="Q46" s="25"/>
      <c r="R46" s="27"/>
      <c r="S46" s="27"/>
      <c r="T46" s="28"/>
      <c r="U46" s="27"/>
      <c r="V46" s="27" t="s">
        <v>154</v>
      </c>
      <c r="W46" s="28"/>
      <c r="X46" s="33"/>
      <c r="Y46" s="32"/>
      <c r="Z46" s="25"/>
      <c r="AA46" s="27"/>
      <c r="AB46" s="28"/>
      <c r="AC46" s="27"/>
      <c r="AD46" s="27"/>
      <c r="AE46" s="33"/>
      <c r="AG46" s="25">
        <v>0.05</v>
      </c>
      <c r="AH46" s="34">
        <v>0.05</v>
      </c>
      <c r="AI46" s="27"/>
      <c r="AJ46" s="27"/>
      <c r="AK46" s="27"/>
      <c r="AL46" s="25"/>
      <c r="AM46" s="34"/>
      <c r="AN46" s="27">
        <v>0.05</v>
      </c>
      <c r="AO46" s="27">
        <v>0.05</v>
      </c>
      <c r="AP46" s="36">
        <v>0.05</v>
      </c>
      <c r="AQ46" s="37"/>
      <c r="AR46" s="32"/>
      <c r="AS46" s="25" t="s">
        <v>78</v>
      </c>
      <c r="AT46" s="27" t="s">
        <v>52</v>
      </c>
      <c r="AU46" s="27"/>
      <c r="AW46" s="25"/>
      <c r="AX46" s="27"/>
      <c r="AY46" s="27"/>
      <c r="AZ46" s="32"/>
      <c r="BA46" s="41"/>
    </row>
    <row r="47" spans="1:53" ht="16" thickBot="1" x14ac:dyDescent="0.25">
      <c r="A47" s="25">
        <v>39</v>
      </c>
      <c r="B47" s="26">
        <v>45102</v>
      </c>
      <c r="C47" s="27"/>
      <c r="D47" s="25"/>
      <c r="E47" s="28"/>
      <c r="F47" s="27"/>
      <c r="G47" s="28"/>
      <c r="H47" s="27"/>
      <c r="I47" s="28"/>
      <c r="J47" s="27">
        <v>1.2</v>
      </c>
      <c r="K47" s="29" t="s">
        <v>35</v>
      </c>
      <c r="M47" s="31"/>
      <c r="N47" s="27" t="s">
        <v>76</v>
      </c>
      <c r="O47" s="307"/>
      <c r="P47" s="32"/>
      <c r="Q47" s="25"/>
      <c r="R47" s="27"/>
      <c r="S47" s="27"/>
      <c r="T47" s="28"/>
      <c r="U47" s="27"/>
      <c r="V47" s="27" t="s">
        <v>154</v>
      </c>
      <c r="W47" s="28"/>
      <c r="X47" s="33"/>
      <c r="Y47" s="32"/>
      <c r="Z47" s="25"/>
      <c r="AA47" s="27"/>
      <c r="AB47" s="28"/>
      <c r="AC47" s="27"/>
      <c r="AD47" s="27"/>
      <c r="AE47" s="33"/>
      <c r="AG47" s="25">
        <v>0.05</v>
      </c>
      <c r="AH47" s="34">
        <v>0.05</v>
      </c>
      <c r="AI47" s="27"/>
      <c r="AJ47" s="27"/>
      <c r="AK47" s="27"/>
      <c r="AL47" s="25"/>
      <c r="AM47" s="34"/>
      <c r="AN47" s="27">
        <v>0.05</v>
      </c>
      <c r="AO47" s="27">
        <v>0.05</v>
      </c>
      <c r="AP47" s="36">
        <v>0.05</v>
      </c>
      <c r="AQ47" s="37"/>
      <c r="AR47" s="32"/>
      <c r="AS47" s="25" t="s">
        <v>78</v>
      </c>
      <c r="AT47" s="27" t="s">
        <v>52</v>
      </c>
      <c r="AU47" s="27"/>
      <c r="AW47" s="25"/>
      <c r="AX47" s="27"/>
      <c r="AY47" s="27"/>
      <c r="AZ47" s="32"/>
      <c r="BA47" s="41"/>
    </row>
    <row r="48" spans="1:53" ht="16" thickBot="1" x14ac:dyDescent="0.25">
      <c r="A48" s="25">
        <v>40</v>
      </c>
      <c r="B48" s="26">
        <v>45103</v>
      </c>
      <c r="C48" s="27"/>
      <c r="D48" s="25"/>
      <c r="E48" s="28"/>
      <c r="F48" s="27"/>
      <c r="G48" s="28"/>
      <c r="H48" s="27"/>
      <c r="I48" s="28"/>
      <c r="J48" s="27">
        <v>1.2</v>
      </c>
      <c r="K48" s="29" t="s">
        <v>35</v>
      </c>
      <c r="L48" s="53"/>
      <c r="M48" s="31"/>
      <c r="N48" s="27" t="s">
        <v>76</v>
      </c>
      <c r="O48" s="308"/>
      <c r="Q48" s="25"/>
      <c r="R48" s="27"/>
      <c r="S48" s="27"/>
      <c r="T48" s="28"/>
      <c r="U48" s="27"/>
      <c r="V48" s="27" t="s">
        <v>154</v>
      </c>
      <c r="W48" s="28"/>
      <c r="X48" s="33"/>
      <c r="Y48" s="32"/>
      <c r="Z48" s="59"/>
      <c r="AA48" s="60"/>
      <c r="AB48" s="61"/>
      <c r="AC48" s="27"/>
      <c r="AD48" s="27"/>
      <c r="AE48" s="33"/>
      <c r="AG48" s="25">
        <v>0.05</v>
      </c>
      <c r="AH48" s="34">
        <v>0.05</v>
      </c>
      <c r="AI48" s="27"/>
      <c r="AJ48" s="27"/>
      <c r="AK48" s="27"/>
      <c r="AL48" s="25"/>
      <c r="AM48" s="34"/>
      <c r="AN48" s="27">
        <v>0.05</v>
      </c>
      <c r="AO48" s="27">
        <v>0.05</v>
      </c>
      <c r="AP48" s="36">
        <v>0.05</v>
      </c>
      <c r="AQ48" s="37"/>
      <c r="AR48" s="32"/>
      <c r="AS48" s="25" t="s">
        <v>79</v>
      </c>
      <c r="AT48" s="27" t="s">
        <v>52</v>
      </c>
      <c r="AU48" s="58" t="s">
        <v>80</v>
      </c>
      <c r="AW48" s="25"/>
      <c r="AX48" s="27"/>
      <c r="AY48" s="27"/>
      <c r="AZ48" s="32"/>
      <c r="BA48" s="41"/>
    </row>
    <row r="49" spans="1:53" x14ac:dyDescent="0.2">
      <c r="A49" s="25">
        <v>41</v>
      </c>
      <c r="B49" s="26">
        <v>45104</v>
      </c>
      <c r="C49" s="27"/>
      <c r="D49" s="25"/>
      <c r="E49" s="28"/>
      <c r="F49" s="27"/>
      <c r="G49" s="28"/>
      <c r="H49" s="27"/>
      <c r="I49" s="28"/>
      <c r="J49" s="27">
        <v>1.2</v>
      </c>
      <c r="K49" s="29" t="s">
        <v>35</v>
      </c>
      <c r="M49" s="31"/>
      <c r="N49" s="27" t="s">
        <v>76</v>
      </c>
      <c r="P49" s="32"/>
      <c r="Q49" s="25"/>
      <c r="R49" s="27"/>
      <c r="S49" s="27"/>
      <c r="T49" s="28"/>
      <c r="U49" s="27"/>
      <c r="V49" s="27" t="s">
        <v>154</v>
      </c>
      <c r="W49" s="28"/>
      <c r="X49" s="33"/>
      <c r="Y49" s="32"/>
      <c r="Z49" s="25"/>
      <c r="AA49" s="27"/>
      <c r="AB49" s="28"/>
      <c r="AC49" s="27"/>
      <c r="AD49" s="27"/>
      <c r="AE49" s="33"/>
      <c r="AG49" s="25">
        <v>0.05</v>
      </c>
      <c r="AH49" s="34">
        <v>0.05</v>
      </c>
      <c r="AI49" s="27"/>
      <c r="AJ49" s="27"/>
      <c r="AK49" s="27"/>
      <c r="AL49" s="25"/>
      <c r="AM49" s="34"/>
      <c r="AN49" s="27">
        <v>0.05</v>
      </c>
      <c r="AO49" s="27">
        <v>0.05</v>
      </c>
      <c r="AP49" s="36">
        <v>0.05</v>
      </c>
      <c r="AQ49" s="37"/>
      <c r="AR49" s="32"/>
      <c r="AS49" s="25" t="s">
        <v>79</v>
      </c>
      <c r="AT49" s="27" t="s">
        <v>52</v>
      </c>
      <c r="AU49" s="27"/>
      <c r="AW49" s="25"/>
      <c r="AX49" s="27"/>
      <c r="AY49" s="27"/>
      <c r="AZ49" s="32"/>
      <c r="BA49" s="41"/>
    </row>
    <row r="50" spans="1:53" x14ac:dyDescent="0.2">
      <c r="A50" s="25">
        <v>42</v>
      </c>
      <c r="B50" s="26">
        <v>45105</v>
      </c>
      <c r="C50" s="27"/>
      <c r="D50" s="25"/>
      <c r="E50" s="28"/>
      <c r="F50" s="27"/>
      <c r="G50" s="28"/>
      <c r="H50" s="27"/>
      <c r="I50" s="28"/>
      <c r="J50" s="27">
        <v>1.2</v>
      </c>
      <c r="K50" s="29" t="s">
        <v>35</v>
      </c>
      <c r="L50" s="39"/>
      <c r="M50" s="31"/>
      <c r="N50" s="27" t="s">
        <v>76</v>
      </c>
      <c r="P50" s="32"/>
      <c r="Q50" s="25"/>
      <c r="R50" s="27"/>
      <c r="S50" s="27"/>
      <c r="T50" s="28"/>
      <c r="U50" s="27"/>
      <c r="V50" s="27" t="s">
        <v>154</v>
      </c>
      <c r="W50" s="28"/>
      <c r="X50" s="33"/>
      <c r="Y50" s="32"/>
      <c r="Z50" s="25"/>
      <c r="AA50" s="27"/>
      <c r="AB50" s="28"/>
      <c r="AC50" s="27"/>
      <c r="AD50" s="27"/>
      <c r="AE50" s="33"/>
      <c r="AG50" s="25">
        <v>0.05</v>
      </c>
      <c r="AH50" s="34">
        <v>0.05</v>
      </c>
      <c r="AI50" s="27"/>
      <c r="AJ50" s="27"/>
      <c r="AK50" s="27"/>
      <c r="AL50" s="25"/>
      <c r="AM50" s="34"/>
      <c r="AN50" s="27">
        <v>0.05</v>
      </c>
      <c r="AO50" s="27">
        <v>0.05</v>
      </c>
      <c r="AP50" s="36">
        <v>0.05</v>
      </c>
      <c r="AQ50" s="37"/>
      <c r="AR50" s="32"/>
      <c r="AS50" s="25" t="s">
        <v>79</v>
      </c>
      <c r="AT50" s="27" t="s">
        <v>52</v>
      </c>
      <c r="AU50" s="27"/>
      <c r="AW50" s="25"/>
      <c r="AX50" s="27"/>
      <c r="AY50" s="27"/>
      <c r="AZ50" s="32"/>
      <c r="BA50" s="41"/>
    </row>
    <row r="51" spans="1:53" ht="16" thickBot="1" x14ac:dyDescent="0.25">
      <c r="A51" s="25">
        <v>43</v>
      </c>
      <c r="B51" s="26">
        <v>45106</v>
      </c>
      <c r="C51" s="27"/>
      <c r="D51" s="25"/>
      <c r="E51" s="28"/>
      <c r="F51" s="27"/>
      <c r="G51" s="28"/>
      <c r="H51" s="27"/>
      <c r="I51" s="28"/>
      <c r="J51" s="27">
        <v>1.2</v>
      </c>
      <c r="K51" s="29" t="s">
        <v>35</v>
      </c>
      <c r="L51" s="39"/>
      <c r="M51" s="31"/>
      <c r="N51" s="27" t="s">
        <v>76</v>
      </c>
      <c r="P51" s="32"/>
      <c r="Q51" s="25"/>
      <c r="R51" s="27"/>
      <c r="S51" s="27"/>
      <c r="T51" s="28"/>
      <c r="U51" s="27"/>
      <c r="V51" s="27" t="s">
        <v>154</v>
      </c>
      <c r="W51" s="28"/>
      <c r="X51" s="33"/>
      <c r="Y51" s="32"/>
      <c r="Z51" s="25"/>
      <c r="AA51" s="27"/>
      <c r="AB51" s="28"/>
      <c r="AC51" s="27"/>
      <c r="AD51" s="27"/>
      <c r="AE51" s="33"/>
      <c r="AG51" s="25">
        <v>0.05</v>
      </c>
      <c r="AH51" s="34">
        <v>0.05</v>
      </c>
      <c r="AI51" s="27"/>
      <c r="AJ51" s="27"/>
      <c r="AK51" s="27"/>
      <c r="AL51" s="25"/>
      <c r="AM51" s="34"/>
      <c r="AN51" s="27">
        <v>0.05</v>
      </c>
      <c r="AO51" s="27">
        <v>0.05</v>
      </c>
      <c r="AP51" s="36">
        <v>0.05</v>
      </c>
      <c r="AQ51" s="37"/>
      <c r="AR51" s="32"/>
      <c r="AS51" s="25" t="s">
        <v>79</v>
      </c>
      <c r="AT51" s="27" t="s">
        <v>52</v>
      </c>
      <c r="AU51" s="27"/>
      <c r="AW51" s="25"/>
      <c r="AX51" s="27"/>
      <c r="AY51" s="27"/>
      <c r="AZ51" s="32"/>
      <c r="BA51" s="41"/>
    </row>
    <row r="52" spans="1:53" ht="16" thickBot="1" x14ac:dyDescent="0.25">
      <c r="A52" s="25">
        <v>44</v>
      </c>
      <c r="B52" s="26">
        <v>45107</v>
      </c>
      <c r="C52" s="27"/>
      <c r="D52" s="25"/>
      <c r="E52" s="28"/>
      <c r="F52" s="27"/>
      <c r="G52" s="28"/>
      <c r="H52" s="27"/>
      <c r="I52" s="28"/>
      <c r="J52" s="27">
        <v>1.2</v>
      </c>
      <c r="K52" s="29" t="s">
        <v>35</v>
      </c>
      <c r="L52" s="39"/>
      <c r="M52" s="31"/>
      <c r="N52" s="27" t="s">
        <v>76</v>
      </c>
      <c r="P52" s="32"/>
      <c r="Q52" s="27"/>
      <c r="R52" s="27"/>
      <c r="S52" s="27"/>
      <c r="T52" s="28"/>
      <c r="U52" s="27"/>
      <c r="V52" s="27" t="s">
        <v>154</v>
      </c>
      <c r="W52" s="28"/>
      <c r="X52" s="33"/>
      <c r="Y52" s="32"/>
      <c r="Z52" s="59"/>
      <c r="AA52" s="60"/>
      <c r="AB52" s="61"/>
      <c r="AC52" s="27"/>
      <c r="AD52" s="27"/>
      <c r="AE52" s="33"/>
      <c r="AG52" s="25">
        <v>0.05</v>
      </c>
      <c r="AH52" s="34">
        <v>0.05</v>
      </c>
      <c r="AI52" s="27"/>
      <c r="AJ52" s="27"/>
      <c r="AK52" s="27"/>
      <c r="AL52" s="25"/>
      <c r="AM52" s="34"/>
      <c r="AN52" s="27">
        <v>0.05</v>
      </c>
      <c r="AO52" s="27">
        <v>0.05</v>
      </c>
      <c r="AP52" s="36">
        <v>0.05</v>
      </c>
      <c r="AQ52" s="37"/>
      <c r="AR52" s="32"/>
      <c r="AS52" s="25" t="s">
        <v>79</v>
      </c>
      <c r="AT52" s="27" t="s">
        <v>52</v>
      </c>
      <c r="AU52" s="58" t="s">
        <v>81</v>
      </c>
      <c r="AW52" s="25"/>
      <c r="AX52" s="27"/>
      <c r="AY52" s="27"/>
      <c r="AZ52" s="32"/>
      <c r="BA52" s="41"/>
    </row>
    <row r="53" spans="1:53" x14ac:dyDescent="0.2">
      <c r="A53" s="25">
        <v>45</v>
      </c>
      <c r="B53" s="26">
        <v>45108</v>
      </c>
      <c r="C53" s="27"/>
      <c r="D53" s="25"/>
      <c r="E53" s="28"/>
      <c r="F53" s="27"/>
      <c r="G53" s="28"/>
      <c r="H53" s="27"/>
      <c r="I53" s="28"/>
      <c r="J53" s="27">
        <v>1.2</v>
      </c>
      <c r="K53" s="29" t="s">
        <v>35</v>
      </c>
      <c r="L53" s="39"/>
      <c r="M53" s="31"/>
      <c r="N53" s="27" t="s">
        <v>76</v>
      </c>
      <c r="P53" s="32"/>
      <c r="Q53" s="25"/>
      <c r="R53" s="27"/>
      <c r="S53" s="27"/>
      <c r="T53" s="28"/>
      <c r="U53" s="27"/>
      <c r="V53" s="27" t="s">
        <v>154</v>
      </c>
      <c r="W53" s="28"/>
      <c r="X53" s="33"/>
      <c r="Y53" s="32"/>
      <c r="Z53" s="25"/>
      <c r="AA53" s="27"/>
      <c r="AB53" s="28"/>
      <c r="AC53" s="27"/>
      <c r="AD53" s="27"/>
      <c r="AE53" s="33"/>
      <c r="AG53" s="25">
        <v>0.05</v>
      </c>
      <c r="AH53" s="34">
        <v>0.05</v>
      </c>
      <c r="AI53" s="27"/>
      <c r="AJ53" s="27"/>
      <c r="AK53" s="27"/>
      <c r="AL53" s="25"/>
      <c r="AM53" s="34"/>
      <c r="AN53" s="27">
        <v>0.05</v>
      </c>
      <c r="AO53" s="27">
        <v>0.05</v>
      </c>
      <c r="AP53" s="36">
        <v>0.05</v>
      </c>
      <c r="AQ53" s="37"/>
      <c r="AR53" s="32"/>
      <c r="AS53" s="25" t="s">
        <v>82</v>
      </c>
      <c r="AT53" s="27" t="s">
        <v>52</v>
      </c>
      <c r="AW53" s="25"/>
      <c r="AX53" s="27"/>
      <c r="AY53" s="27"/>
      <c r="AZ53" s="32"/>
      <c r="BA53" s="41"/>
    </row>
    <row r="54" spans="1:53" x14ac:dyDescent="0.2">
      <c r="A54" s="25">
        <v>46</v>
      </c>
      <c r="B54" s="26">
        <v>45109</v>
      </c>
      <c r="C54" s="27"/>
      <c r="D54" s="25"/>
      <c r="E54" s="28"/>
      <c r="F54" s="27"/>
      <c r="G54" s="28"/>
      <c r="H54" s="27"/>
      <c r="I54" s="28"/>
      <c r="J54" s="27">
        <v>1.2</v>
      </c>
      <c r="K54" s="29" t="s">
        <v>35</v>
      </c>
      <c r="L54" s="39"/>
      <c r="M54" s="31"/>
      <c r="N54" s="27" t="s">
        <v>76</v>
      </c>
      <c r="P54" s="32"/>
      <c r="Q54" s="25"/>
      <c r="R54" s="27"/>
      <c r="S54" s="27"/>
      <c r="T54" s="28"/>
      <c r="U54" s="27"/>
      <c r="V54" s="27" t="s">
        <v>154</v>
      </c>
      <c r="W54" s="28"/>
      <c r="X54" s="33"/>
      <c r="Y54" s="32"/>
      <c r="Z54" s="25"/>
      <c r="AA54" s="27"/>
      <c r="AB54" s="28"/>
      <c r="AC54" s="27"/>
      <c r="AD54" s="27"/>
      <c r="AE54" s="33"/>
      <c r="AG54" s="25">
        <v>0.05</v>
      </c>
      <c r="AH54" s="34">
        <v>0.05</v>
      </c>
      <c r="AI54" s="27"/>
      <c r="AJ54" s="27"/>
      <c r="AK54" s="27"/>
      <c r="AL54" s="25"/>
      <c r="AM54" s="34"/>
      <c r="AN54" s="27">
        <v>0.05</v>
      </c>
      <c r="AO54" s="27">
        <v>0.05</v>
      </c>
      <c r="AP54" s="36">
        <v>0.05</v>
      </c>
      <c r="AQ54" s="37"/>
      <c r="AR54" s="32"/>
      <c r="AS54" s="25" t="s">
        <v>82</v>
      </c>
      <c r="AT54" s="27" t="s">
        <v>52</v>
      </c>
      <c r="AU54" s="27"/>
      <c r="AW54" s="25"/>
      <c r="AX54" s="27"/>
      <c r="AY54" s="27"/>
      <c r="AZ54" s="32"/>
      <c r="BA54" s="41"/>
    </row>
    <row r="55" spans="1:53" x14ac:dyDescent="0.2">
      <c r="A55" s="25">
        <v>47</v>
      </c>
      <c r="B55" s="26">
        <v>45110</v>
      </c>
      <c r="C55" s="27"/>
      <c r="D55" s="25"/>
      <c r="E55" s="28"/>
      <c r="F55" s="27"/>
      <c r="G55" s="28"/>
      <c r="H55" s="27"/>
      <c r="I55" s="28"/>
      <c r="J55" s="27">
        <v>1.2</v>
      </c>
      <c r="K55" s="29" t="s">
        <v>35</v>
      </c>
      <c r="L55" s="39"/>
      <c r="M55" s="31"/>
      <c r="N55" s="27" t="s">
        <v>76</v>
      </c>
      <c r="P55" s="32"/>
      <c r="Q55" s="25"/>
      <c r="R55" s="27"/>
      <c r="S55" s="27"/>
      <c r="T55" s="28"/>
      <c r="U55" s="27"/>
      <c r="V55" s="27" t="s">
        <v>154</v>
      </c>
      <c r="W55" s="28"/>
      <c r="X55" s="33"/>
      <c r="Y55" s="32"/>
      <c r="Z55" s="25"/>
      <c r="AA55" s="27"/>
      <c r="AB55" s="28"/>
      <c r="AC55" s="27"/>
      <c r="AD55" s="27"/>
      <c r="AE55" s="33"/>
      <c r="AG55" s="25">
        <v>0.05</v>
      </c>
      <c r="AH55" s="34">
        <v>0.05</v>
      </c>
      <c r="AI55" s="27"/>
      <c r="AJ55" s="27"/>
      <c r="AK55" s="27"/>
      <c r="AL55" s="25"/>
      <c r="AM55" s="34"/>
      <c r="AN55" s="27">
        <v>0.05</v>
      </c>
      <c r="AO55" s="27">
        <v>0.05</v>
      </c>
      <c r="AP55" s="36">
        <v>0.05</v>
      </c>
      <c r="AQ55" s="37"/>
      <c r="AR55" s="32"/>
      <c r="AS55" s="25" t="s">
        <v>82</v>
      </c>
      <c r="AT55" s="27" t="s">
        <v>52</v>
      </c>
      <c r="AU55" s="27"/>
      <c r="AW55" s="25"/>
      <c r="AX55" s="27"/>
      <c r="AY55" s="27"/>
      <c r="AZ55" s="32"/>
      <c r="BA55" s="41"/>
    </row>
    <row r="56" spans="1:53" x14ac:dyDescent="0.2">
      <c r="A56" s="25">
        <v>48</v>
      </c>
      <c r="B56" s="26">
        <v>45111</v>
      </c>
      <c r="C56" s="27"/>
      <c r="D56" s="25"/>
      <c r="E56" s="28"/>
      <c r="F56" s="27"/>
      <c r="G56" s="28"/>
      <c r="H56" s="27"/>
      <c r="I56" s="28"/>
      <c r="J56" s="27">
        <v>1.2</v>
      </c>
      <c r="K56" s="29" t="s">
        <v>35</v>
      </c>
      <c r="M56" s="31"/>
      <c r="N56" s="27" t="s">
        <v>76</v>
      </c>
      <c r="P56" s="32"/>
      <c r="Q56" s="25"/>
      <c r="R56" s="27"/>
      <c r="S56" s="27"/>
      <c r="T56" s="28"/>
      <c r="U56" s="27"/>
      <c r="V56" s="27" t="s">
        <v>154</v>
      </c>
      <c r="W56" s="28"/>
      <c r="X56" s="33"/>
      <c r="Y56" s="32"/>
      <c r="Z56" s="25"/>
      <c r="AA56" s="27"/>
      <c r="AB56" s="28"/>
      <c r="AC56" s="27"/>
      <c r="AD56" s="27"/>
      <c r="AE56" s="33"/>
      <c r="AG56" s="25">
        <v>0.05</v>
      </c>
      <c r="AH56" s="34">
        <v>0.05</v>
      </c>
      <c r="AI56" s="27"/>
      <c r="AJ56" s="27"/>
      <c r="AK56" s="27"/>
      <c r="AL56" s="25"/>
      <c r="AM56" s="34"/>
      <c r="AN56" s="27">
        <v>0.05</v>
      </c>
      <c r="AO56" s="27">
        <v>0.05</v>
      </c>
      <c r="AP56" s="36">
        <v>0.05</v>
      </c>
      <c r="AQ56" s="37"/>
      <c r="AR56" s="32"/>
      <c r="AS56" s="25" t="s">
        <v>82</v>
      </c>
      <c r="AT56" s="27" t="s">
        <v>52</v>
      </c>
      <c r="AU56" s="27"/>
      <c r="AW56" s="25"/>
      <c r="AX56" s="27"/>
      <c r="AY56" s="27"/>
      <c r="AZ56" s="32"/>
      <c r="BA56" s="41"/>
    </row>
    <row r="57" spans="1:53" ht="16" thickBot="1" x14ac:dyDescent="0.25">
      <c r="A57" s="25">
        <v>49</v>
      </c>
      <c r="B57" s="26">
        <v>45112</v>
      </c>
      <c r="C57" s="27"/>
      <c r="D57" s="25"/>
      <c r="E57" s="28"/>
      <c r="F57" s="27"/>
      <c r="G57" s="28"/>
      <c r="H57" s="27"/>
      <c r="I57" s="28"/>
      <c r="J57" s="27">
        <v>1.2</v>
      </c>
      <c r="K57" s="29" t="s">
        <v>35</v>
      </c>
      <c r="L57" s="39"/>
      <c r="M57" s="31"/>
      <c r="N57" s="27" t="s">
        <v>76</v>
      </c>
      <c r="P57" s="32"/>
      <c r="Q57" s="25"/>
      <c r="R57" s="27"/>
      <c r="S57" s="27"/>
      <c r="T57" s="28"/>
      <c r="U57" s="27"/>
      <c r="V57" s="27" t="s">
        <v>154</v>
      </c>
      <c r="W57" s="28"/>
      <c r="X57" s="33"/>
      <c r="Y57" s="32"/>
      <c r="Z57" s="25"/>
      <c r="AA57" s="27"/>
      <c r="AB57" s="28"/>
      <c r="AC57" s="27"/>
      <c r="AD57" s="27"/>
      <c r="AE57" s="33"/>
      <c r="AG57" s="25">
        <v>0.05</v>
      </c>
      <c r="AH57" s="34">
        <v>0.05</v>
      </c>
      <c r="AI57" s="27"/>
      <c r="AJ57" s="27"/>
      <c r="AK57" s="27"/>
      <c r="AL57" s="25"/>
      <c r="AM57" s="34"/>
      <c r="AN57" s="27">
        <v>0.05</v>
      </c>
      <c r="AO57" s="27">
        <v>0.05</v>
      </c>
      <c r="AP57" s="36">
        <v>0.05</v>
      </c>
      <c r="AQ57" s="37"/>
      <c r="AR57" s="32"/>
      <c r="AS57" s="25" t="s">
        <v>82</v>
      </c>
      <c r="AT57" s="27" t="s">
        <v>52</v>
      </c>
      <c r="AU57" s="27"/>
      <c r="AW57" s="25"/>
      <c r="AX57" s="27"/>
      <c r="AY57" s="27"/>
      <c r="AZ57" s="32"/>
      <c r="BA57" s="41"/>
    </row>
    <row r="58" spans="1:53" ht="16" thickBot="1" x14ac:dyDescent="0.25">
      <c r="A58" s="25">
        <v>50</v>
      </c>
      <c r="B58" s="26">
        <v>45113</v>
      </c>
      <c r="C58" s="27"/>
      <c r="D58" s="25"/>
      <c r="E58" s="28"/>
      <c r="F58" s="27"/>
      <c r="G58" s="28"/>
      <c r="H58" s="27"/>
      <c r="I58" s="28"/>
      <c r="J58" s="27">
        <v>1.2</v>
      </c>
      <c r="K58" s="29" t="s">
        <v>35</v>
      </c>
      <c r="L58" s="44" t="s">
        <v>83</v>
      </c>
      <c r="M58" s="31"/>
      <c r="N58" s="27" t="s">
        <v>76</v>
      </c>
      <c r="O58" s="45" t="s">
        <v>84</v>
      </c>
      <c r="P58" s="46" t="s">
        <v>85</v>
      </c>
      <c r="Q58" s="25"/>
      <c r="R58" s="27"/>
      <c r="S58" s="27"/>
      <c r="T58" s="28"/>
      <c r="U58" s="27"/>
      <c r="V58" s="27" t="s">
        <v>154</v>
      </c>
      <c r="W58" s="28"/>
      <c r="X58" s="33"/>
      <c r="Y58" s="32"/>
      <c r="Z58" s="25"/>
      <c r="AA58" s="27"/>
      <c r="AB58" s="28"/>
      <c r="AC58" s="27"/>
      <c r="AD58" s="27"/>
      <c r="AE58" s="33"/>
      <c r="AG58" s="25">
        <v>0.05</v>
      </c>
      <c r="AH58" s="34">
        <v>0.05</v>
      </c>
      <c r="AI58" s="27"/>
      <c r="AJ58" s="27"/>
      <c r="AK58" s="27"/>
      <c r="AL58" s="25"/>
      <c r="AM58" s="34"/>
      <c r="AN58" s="27">
        <v>0.05</v>
      </c>
      <c r="AO58" s="27">
        <v>0.05</v>
      </c>
      <c r="AP58" s="36">
        <v>0.05</v>
      </c>
      <c r="AQ58" s="37"/>
      <c r="AR58" s="32"/>
      <c r="AS58" s="25" t="s">
        <v>86</v>
      </c>
      <c r="AT58" s="27" t="s">
        <v>87</v>
      </c>
      <c r="AU58" s="58" t="s">
        <v>88</v>
      </c>
      <c r="AW58" s="25"/>
      <c r="AX58" s="27"/>
      <c r="AY58" s="27"/>
      <c r="AZ58" s="32"/>
      <c r="BA58" s="41"/>
    </row>
    <row r="59" spans="1:53" ht="16" thickBot="1" x14ac:dyDescent="0.25">
      <c r="A59" s="25">
        <v>51</v>
      </c>
      <c r="B59" s="26">
        <v>45114</v>
      </c>
      <c r="C59" s="27"/>
      <c r="D59" s="25"/>
      <c r="E59" s="28"/>
      <c r="F59" s="27"/>
      <c r="G59" s="28"/>
      <c r="H59" s="27"/>
      <c r="I59" s="28"/>
      <c r="J59" s="27">
        <v>2</v>
      </c>
      <c r="K59" s="29" t="s">
        <v>35</v>
      </c>
      <c r="L59" s="88" t="s">
        <v>89</v>
      </c>
      <c r="M59" s="31"/>
      <c r="N59" s="27"/>
      <c r="P59" s="46"/>
      <c r="Q59" s="27"/>
      <c r="R59" s="27"/>
      <c r="S59" s="27"/>
      <c r="T59" s="28"/>
      <c r="U59" s="27"/>
      <c r="V59" s="27" t="s">
        <v>154</v>
      </c>
      <c r="W59" s="28"/>
      <c r="X59" s="33"/>
      <c r="Y59" s="32"/>
      <c r="Z59" s="25"/>
      <c r="AA59" s="27"/>
      <c r="AB59" s="28"/>
      <c r="AC59" s="27"/>
      <c r="AD59" s="27"/>
      <c r="AE59" s="33"/>
      <c r="AG59" s="25"/>
      <c r="AH59" s="34"/>
      <c r="AI59" s="27"/>
      <c r="AJ59" s="27"/>
      <c r="AK59" s="27"/>
      <c r="AL59" s="25"/>
      <c r="AM59" s="34"/>
      <c r="AN59" s="27"/>
      <c r="AO59" s="27"/>
      <c r="AP59" s="36"/>
      <c r="AQ59" s="37"/>
      <c r="AR59" s="32"/>
      <c r="AS59" s="25" t="s">
        <v>86</v>
      </c>
      <c r="AT59" s="27" t="s">
        <v>87</v>
      </c>
      <c r="AU59" s="27"/>
      <c r="AW59" s="25"/>
      <c r="AX59" s="27"/>
      <c r="AY59" s="27"/>
      <c r="AZ59" s="32"/>
      <c r="BA59" s="41"/>
    </row>
    <row r="60" spans="1:53" ht="16" thickBot="1" x14ac:dyDescent="0.25">
      <c r="A60" s="25">
        <v>52</v>
      </c>
      <c r="B60" s="26">
        <v>45115</v>
      </c>
      <c r="C60" s="27"/>
      <c r="D60" s="25"/>
      <c r="E60" s="28"/>
      <c r="F60" s="27"/>
      <c r="G60" s="28"/>
      <c r="H60" s="27"/>
      <c r="I60" s="28"/>
      <c r="J60" s="27">
        <v>2</v>
      </c>
      <c r="K60" s="29" t="s">
        <v>35</v>
      </c>
      <c r="L60" s="39"/>
      <c r="M60" s="31"/>
      <c r="N60" s="27"/>
      <c r="P60" s="32"/>
      <c r="Q60" s="25"/>
      <c r="R60" s="27"/>
      <c r="S60" s="27"/>
      <c r="T60" s="28"/>
      <c r="U60" s="27"/>
      <c r="V60" s="27" t="s">
        <v>154</v>
      </c>
      <c r="W60" s="28"/>
      <c r="X60" s="33"/>
      <c r="Y60" s="32"/>
      <c r="Z60" s="25"/>
      <c r="AA60" s="27"/>
      <c r="AB60" s="28"/>
      <c r="AC60" s="27"/>
      <c r="AD60" s="27"/>
      <c r="AE60" s="33"/>
      <c r="AG60" s="25">
        <v>0.05</v>
      </c>
      <c r="AH60" s="34">
        <v>0.05</v>
      </c>
      <c r="AI60" s="27"/>
      <c r="AJ60" s="27"/>
      <c r="AK60" s="27"/>
      <c r="AL60" s="25"/>
      <c r="AM60" s="34"/>
      <c r="AN60" s="27">
        <v>0.05</v>
      </c>
      <c r="AO60" s="27">
        <v>0.05</v>
      </c>
      <c r="AP60" s="36">
        <v>0.05</v>
      </c>
      <c r="AQ60" s="37"/>
      <c r="AR60" s="32"/>
      <c r="AS60" s="25" t="s">
        <v>86</v>
      </c>
      <c r="AT60" s="27" t="s">
        <v>87</v>
      </c>
      <c r="AW60" s="25"/>
      <c r="AX60" s="27"/>
      <c r="AY60" s="27"/>
      <c r="AZ60" s="32"/>
      <c r="BA60" s="41"/>
    </row>
    <row r="61" spans="1:53" ht="16" thickBot="1" x14ac:dyDescent="0.25">
      <c r="A61" s="25">
        <v>53</v>
      </c>
      <c r="B61" s="26">
        <v>45116</v>
      </c>
      <c r="C61" s="27"/>
      <c r="D61" s="25"/>
      <c r="E61" s="28"/>
      <c r="F61" s="27"/>
      <c r="G61" s="28"/>
      <c r="H61" s="27"/>
      <c r="I61" s="28"/>
      <c r="J61" s="27">
        <v>2</v>
      </c>
      <c r="K61" s="29" t="s">
        <v>35</v>
      </c>
      <c r="L61" s="39"/>
      <c r="M61" s="31"/>
      <c r="N61" s="27"/>
      <c r="P61" s="32"/>
      <c r="Q61" s="25"/>
      <c r="R61" s="27"/>
      <c r="S61" s="27"/>
      <c r="T61" s="28"/>
      <c r="U61" s="27"/>
      <c r="V61" s="27" t="s">
        <v>154</v>
      </c>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U61" s="27"/>
      <c r="AW61" s="25" t="s">
        <v>90</v>
      </c>
      <c r="AX61" s="27" t="s">
        <v>91</v>
      </c>
      <c r="AY61" s="89" t="s">
        <v>92</v>
      </c>
      <c r="AZ61" s="32"/>
      <c r="BA61" s="41"/>
    </row>
    <row r="62" spans="1:53" ht="16" thickBot="1" x14ac:dyDescent="0.25">
      <c r="A62" s="25">
        <v>54</v>
      </c>
      <c r="B62" s="26">
        <v>45117</v>
      </c>
      <c r="C62" s="27"/>
      <c r="D62" s="25"/>
      <c r="E62" s="28"/>
      <c r="F62" s="27"/>
      <c r="G62" s="28"/>
      <c r="H62" s="27"/>
      <c r="I62" s="28"/>
      <c r="J62" s="27">
        <v>2</v>
      </c>
      <c r="K62" s="29" t="s">
        <v>35</v>
      </c>
      <c r="L62" s="39"/>
      <c r="M62" s="31"/>
      <c r="N62" s="27"/>
      <c r="P62" s="32"/>
      <c r="Q62" s="25"/>
      <c r="R62" s="27"/>
      <c r="S62" s="27"/>
      <c r="T62" s="28"/>
      <c r="U62" s="27"/>
      <c r="V62" s="27" t="s">
        <v>154</v>
      </c>
      <c r="W62" s="28"/>
      <c r="X62" s="33"/>
      <c r="Y62" s="32"/>
      <c r="Z62" s="25"/>
      <c r="AA62" s="27"/>
      <c r="AB62" s="28"/>
      <c r="AC62" s="27"/>
      <c r="AD62" s="27"/>
      <c r="AE62" s="33"/>
      <c r="AG62" s="25"/>
      <c r="AH62" s="34"/>
      <c r="AI62" s="27"/>
      <c r="AJ62" s="27"/>
      <c r="AK62" s="27"/>
      <c r="AL62" s="25"/>
      <c r="AM62" s="34"/>
      <c r="AN62" s="27"/>
      <c r="AO62" s="27"/>
      <c r="AP62" s="36"/>
      <c r="AQ62" s="37"/>
      <c r="AR62" s="32"/>
      <c r="AS62" s="25" t="s">
        <v>86</v>
      </c>
      <c r="AT62" s="27" t="s">
        <v>87</v>
      </c>
      <c r="AU62" s="27"/>
      <c r="AW62" s="25" t="s">
        <v>90</v>
      </c>
      <c r="AX62" s="27" t="s">
        <v>91</v>
      </c>
      <c r="AY62" s="27"/>
      <c r="AZ62" s="32"/>
      <c r="BA62" s="41"/>
    </row>
    <row r="63" spans="1:53" ht="16" thickBot="1" x14ac:dyDescent="0.25">
      <c r="A63" s="25">
        <v>55</v>
      </c>
      <c r="B63" s="26">
        <v>45118</v>
      </c>
      <c r="C63" s="27"/>
      <c r="D63" s="25"/>
      <c r="E63" s="28"/>
      <c r="F63" s="27"/>
      <c r="G63" s="28"/>
      <c r="H63" s="27"/>
      <c r="I63" s="28"/>
      <c r="J63" s="27">
        <v>2</v>
      </c>
      <c r="K63" s="29" t="s">
        <v>35</v>
      </c>
      <c r="L63" s="39"/>
      <c r="M63" s="31"/>
      <c r="N63" s="27"/>
      <c r="P63" s="32"/>
      <c r="Q63" s="25"/>
      <c r="R63" s="27"/>
      <c r="S63" s="27"/>
      <c r="T63" s="28"/>
      <c r="U63" s="27"/>
      <c r="V63" s="27" t="s">
        <v>154</v>
      </c>
      <c r="W63" s="28"/>
      <c r="X63" s="33"/>
      <c r="Y63" s="32"/>
      <c r="Z63" s="25"/>
      <c r="AA63" s="27"/>
      <c r="AB63" s="28"/>
      <c r="AC63" s="27"/>
      <c r="AD63" s="27"/>
      <c r="AE63" s="33"/>
      <c r="AG63" s="25"/>
      <c r="AH63" s="34"/>
      <c r="AI63" s="27"/>
      <c r="AJ63" s="27"/>
      <c r="AK63" s="27"/>
      <c r="AL63" s="25"/>
      <c r="AM63" s="34"/>
      <c r="AN63" s="27"/>
      <c r="AO63" s="27"/>
      <c r="AP63" s="36"/>
      <c r="AQ63" s="82" t="s">
        <v>93</v>
      </c>
      <c r="AR63" s="32"/>
      <c r="AS63" s="25" t="s">
        <v>86</v>
      </c>
      <c r="AT63" s="27" t="s">
        <v>87</v>
      </c>
      <c r="AW63" s="25" t="s">
        <v>90</v>
      </c>
      <c r="AX63" s="27" t="s">
        <v>91</v>
      </c>
      <c r="AY63" s="27"/>
      <c r="AZ63" s="32"/>
      <c r="BA63" s="41"/>
    </row>
    <row r="64" spans="1:53" x14ac:dyDescent="0.2">
      <c r="A64" s="25">
        <v>56</v>
      </c>
      <c r="B64" s="26">
        <v>45119</v>
      </c>
      <c r="C64" s="27"/>
      <c r="D64" s="25"/>
      <c r="E64" s="28"/>
      <c r="F64" s="27"/>
      <c r="G64" s="28"/>
      <c r="H64" s="27"/>
      <c r="I64" s="28"/>
      <c r="J64" s="27">
        <v>2</v>
      </c>
      <c r="K64" s="29" t="s">
        <v>35</v>
      </c>
      <c r="L64" s="39"/>
      <c r="M64" s="31"/>
      <c r="N64" s="27"/>
      <c r="P64" s="32"/>
      <c r="Q64" s="25"/>
      <c r="R64" s="27"/>
      <c r="S64" s="27"/>
      <c r="T64" s="28"/>
      <c r="U64" s="27"/>
      <c r="V64" s="27" t="s">
        <v>154</v>
      </c>
      <c r="W64" s="28"/>
      <c r="X64" s="33"/>
      <c r="Y64" s="32"/>
      <c r="Z64" s="25"/>
      <c r="AA64" s="27"/>
      <c r="AB64" s="28"/>
      <c r="AC64" s="27"/>
      <c r="AD64" s="27"/>
      <c r="AE64" s="33"/>
      <c r="AG64" s="25"/>
      <c r="AH64" s="34"/>
      <c r="AI64" s="27"/>
      <c r="AJ64" s="27"/>
      <c r="AK64" s="27"/>
      <c r="AL64" s="25"/>
      <c r="AM64" s="34"/>
      <c r="AN64" s="27"/>
      <c r="AO64" s="27"/>
      <c r="AP64" s="36"/>
      <c r="AQ64" s="37"/>
      <c r="AR64" s="32"/>
      <c r="AS64" s="25" t="s">
        <v>86</v>
      </c>
      <c r="AT64" s="27" t="s">
        <v>87</v>
      </c>
      <c r="AU64" s="27"/>
      <c r="AW64" s="25" t="s">
        <v>90</v>
      </c>
      <c r="AX64" s="27" t="s">
        <v>91</v>
      </c>
      <c r="AY64" s="27"/>
      <c r="AZ64" s="32"/>
      <c r="BA64" s="41"/>
    </row>
    <row r="65" spans="1:53" ht="16" thickBot="1" x14ac:dyDescent="0.25">
      <c r="A65" s="25">
        <v>57</v>
      </c>
      <c r="B65" s="26">
        <v>45120</v>
      </c>
      <c r="C65" s="27"/>
      <c r="D65" s="25"/>
      <c r="E65" s="28"/>
      <c r="F65" s="27"/>
      <c r="G65" s="28"/>
      <c r="H65" s="27"/>
      <c r="I65" s="28"/>
      <c r="J65" s="27">
        <v>2</v>
      </c>
      <c r="K65" s="29" t="s">
        <v>35</v>
      </c>
      <c r="L65" s="39"/>
      <c r="M65" s="31"/>
      <c r="N65" s="27"/>
      <c r="P65" s="32"/>
      <c r="Q65" s="25"/>
      <c r="R65" s="27"/>
      <c r="S65" s="27"/>
      <c r="T65" s="28"/>
      <c r="U65" s="27"/>
      <c r="V65" s="27" t="s">
        <v>154</v>
      </c>
      <c r="W65" s="28"/>
      <c r="X65" s="33"/>
      <c r="Y65" s="32"/>
      <c r="Z65" s="25"/>
      <c r="AA65" s="27"/>
      <c r="AB65" s="28"/>
      <c r="AC65" s="27"/>
      <c r="AD65" s="27"/>
      <c r="AE65" s="33"/>
      <c r="AG65" s="25"/>
      <c r="AH65" s="34"/>
      <c r="AI65" s="27"/>
      <c r="AJ65" s="27"/>
      <c r="AK65" s="27"/>
      <c r="AL65" s="25"/>
      <c r="AM65" s="34"/>
      <c r="AN65" s="27"/>
      <c r="AO65" s="27"/>
      <c r="AP65" s="36"/>
      <c r="AQ65" s="37"/>
      <c r="AR65" s="32"/>
      <c r="AS65" s="25" t="s">
        <v>86</v>
      </c>
      <c r="AT65" s="27" t="s">
        <v>87</v>
      </c>
      <c r="AU65" s="27"/>
      <c r="AW65" s="25" t="s">
        <v>90</v>
      </c>
      <c r="AX65" s="27" t="s">
        <v>91</v>
      </c>
      <c r="AY65" s="27"/>
      <c r="AZ65" s="32"/>
      <c r="BA65" s="41"/>
    </row>
    <row r="66" spans="1:53" ht="16" thickBot="1" x14ac:dyDescent="0.25">
      <c r="A66" s="25">
        <v>58</v>
      </c>
      <c r="B66" s="26">
        <v>45121</v>
      </c>
      <c r="C66" s="27"/>
      <c r="D66" s="25"/>
      <c r="E66" s="28"/>
      <c r="F66" s="27"/>
      <c r="G66" s="28"/>
      <c r="H66" s="27"/>
      <c r="I66" s="28"/>
      <c r="J66" s="27">
        <v>2</v>
      </c>
      <c r="K66" s="29" t="s">
        <v>35</v>
      </c>
      <c r="L66" s="39"/>
      <c r="M66" s="31"/>
      <c r="N66" s="27"/>
      <c r="P66" s="32"/>
      <c r="Q66" s="25"/>
      <c r="R66" s="27"/>
      <c r="S66" s="27"/>
      <c r="T66" s="28"/>
      <c r="U66" s="27"/>
      <c r="V66" s="27" t="s">
        <v>154</v>
      </c>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27"/>
      <c r="AW66" s="25" t="s">
        <v>90</v>
      </c>
      <c r="AX66" s="27" t="s">
        <v>91</v>
      </c>
      <c r="AY66" s="89" t="s">
        <v>94</v>
      </c>
      <c r="AZ66" s="32"/>
      <c r="BA66" s="41"/>
    </row>
    <row r="67" spans="1:53" ht="16" thickBot="1" x14ac:dyDescent="0.25">
      <c r="A67" s="25">
        <v>59</v>
      </c>
      <c r="B67" s="26">
        <v>45122</v>
      </c>
      <c r="C67" s="27"/>
      <c r="D67" s="25"/>
      <c r="E67" s="28"/>
      <c r="F67" s="27"/>
      <c r="G67" s="28"/>
      <c r="H67" s="27"/>
      <c r="I67" s="28"/>
      <c r="J67" s="27">
        <v>2</v>
      </c>
      <c r="K67" s="29" t="s">
        <v>35</v>
      </c>
      <c r="L67" s="39"/>
      <c r="M67" s="31"/>
      <c r="N67" s="27"/>
      <c r="P67" s="32"/>
      <c r="Q67" s="25"/>
      <c r="R67" s="27"/>
      <c r="S67" s="27"/>
      <c r="T67" s="28"/>
      <c r="U67" s="27"/>
      <c r="V67" s="27" t="s">
        <v>154</v>
      </c>
      <c r="W67" s="28"/>
      <c r="X67" s="33"/>
      <c r="Y67" s="32"/>
      <c r="Z67" s="25"/>
      <c r="AA67" s="27"/>
      <c r="AB67" s="28"/>
      <c r="AC67" s="27"/>
      <c r="AD67" s="27"/>
      <c r="AE67" s="33"/>
      <c r="AG67" s="25"/>
      <c r="AH67" s="34"/>
      <c r="AI67" s="27"/>
      <c r="AJ67" s="27"/>
      <c r="AK67" s="27"/>
      <c r="AL67" s="25"/>
      <c r="AM67" s="34"/>
      <c r="AN67" s="27"/>
      <c r="AO67" s="27"/>
      <c r="AP67" s="36"/>
      <c r="AQ67" s="37"/>
      <c r="AR67" s="32"/>
      <c r="AS67" s="25" t="s">
        <v>86</v>
      </c>
      <c r="AT67" s="27" t="s">
        <v>87</v>
      </c>
      <c r="AU67" s="27"/>
      <c r="AW67" s="25" t="s">
        <v>90</v>
      </c>
      <c r="AX67" s="27" t="s">
        <v>95</v>
      </c>
      <c r="AY67" s="27"/>
      <c r="AZ67" s="32"/>
      <c r="BA67" s="41"/>
    </row>
    <row r="68" spans="1:53" ht="16" thickBot="1" x14ac:dyDescent="0.25">
      <c r="A68" s="25">
        <v>60</v>
      </c>
      <c r="B68" s="26">
        <v>45123</v>
      </c>
      <c r="C68" s="27"/>
      <c r="D68" s="25"/>
      <c r="E68" s="28"/>
      <c r="F68" s="27"/>
      <c r="G68" s="28"/>
      <c r="H68" s="27"/>
      <c r="I68" s="28"/>
      <c r="J68" s="27">
        <v>2</v>
      </c>
      <c r="K68" s="29" t="s">
        <v>35</v>
      </c>
      <c r="L68" s="39"/>
      <c r="M68" s="31"/>
      <c r="N68" s="27"/>
      <c r="P68" s="32"/>
      <c r="Q68" s="25"/>
      <c r="R68" s="27"/>
      <c r="S68" s="27"/>
      <c r="T68" s="28"/>
      <c r="U68" s="27"/>
      <c r="V68" s="27" t="s">
        <v>154</v>
      </c>
      <c r="W68" s="28"/>
      <c r="X68" s="33"/>
      <c r="Y68" s="32"/>
      <c r="Z68" s="25"/>
      <c r="AA68" s="27"/>
      <c r="AB68" s="28"/>
      <c r="AC68" s="27"/>
      <c r="AD68" s="27"/>
      <c r="AE68" s="33"/>
      <c r="AG68" s="25"/>
      <c r="AH68" s="34"/>
      <c r="AI68" s="27"/>
      <c r="AJ68" s="27"/>
      <c r="AK68" s="27"/>
      <c r="AL68" s="25"/>
      <c r="AM68" s="34"/>
      <c r="AN68" s="27"/>
      <c r="AO68" s="27"/>
      <c r="AP68" s="36"/>
      <c r="AQ68" s="37"/>
      <c r="AR68" s="32"/>
      <c r="AS68" s="25" t="s">
        <v>96</v>
      </c>
      <c r="AT68" s="27" t="s">
        <v>87</v>
      </c>
      <c r="AU68" s="58" t="s">
        <v>97</v>
      </c>
      <c r="AW68" s="25" t="s">
        <v>90</v>
      </c>
      <c r="AX68" s="27" t="s">
        <v>95</v>
      </c>
      <c r="AY68" s="27"/>
      <c r="AZ68" s="32"/>
      <c r="BA68" s="41"/>
    </row>
    <row r="69" spans="1:53" x14ac:dyDescent="0.2">
      <c r="A69" s="25">
        <v>61</v>
      </c>
      <c r="B69" s="26">
        <v>45124</v>
      </c>
      <c r="C69" s="27"/>
      <c r="D69" s="25"/>
      <c r="E69" s="28"/>
      <c r="F69" s="27"/>
      <c r="G69" s="28"/>
      <c r="H69" s="27"/>
      <c r="I69" s="28"/>
      <c r="J69" s="27">
        <v>2</v>
      </c>
      <c r="K69" s="29" t="s">
        <v>35</v>
      </c>
      <c r="L69" s="39"/>
      <c r="M69" s="31"/>
      <c r="N69" s="27"/>
      <c r="P69" s="32"/>
      <c r="Q69" s="25"/>
      <c r="R69" s="27"/>
      <c r="S69" s="27"/>
      <c r="T69" s="28"/>
      <c r="U69" s="27"/>
      <c r="V69" s="27" t="s">
        <v>154</v>
      </c>
      <c r="W69" s="28"/>
      <c r="X69" s="33"/>
      <c r="Y69" s="32"/>
      <c r="Z69" s="25"/>
      <c r="AA69" s="27"/>
      <c r="AB69" s="28"/>
      <c r="AC69" s="27"/>
      <c r="AD69" s="27"/>
      <c r="AE69" s="33"/>
      <c r="AG69" s="25"/>
      <c r="AH69" s="34"/>
      <c r="AI69" s="27"/>
      <c r="AJ69" s="27"/>
      <c r="AK69" s="27"/>
      <c r="AL69" s="25"/>
      <c r="AM69" s="34"/>
      <c r="AN69" s="27"/>
      <c r="AO69" s="27"/>
      <c r="AP69" s="36"/>
      <c r="AQ69" s="37"/>
      <c r="AR69" s="32"/>
      <c r="AS69" s="25" t="s">
        <v>96</v>
      </c>
      <c r="AT69" s="27" t="s">
        <v>87</v>
      </c>
      <c r="AU69" s="27"/>
      <c r="AW69" s="25" t="s">
        <v>90</v>
      </c>
      <c r="AX69" s="27" t="s">
        <v>95</v>
      </c>
      <c r="AY69" s="27"/>
      <c r="AZ69" s="32"/>
      <c r="BA69" s="41"/>
    </row>
    <row r="70" spans="1:53" x14ac:dyDescent="0.2">
      <c r="A70" s="25">
        <v>62</v>
      </c>
      <c r="B70" s="26">
        <v>45125</v>
      </c>
      <c r="C70" s="27"/>
      <c r="D70" s="25"/>
      <c r="E70" s="28"/>
      <c r="F70" s="27"/>
      <c r="G70" s="28"/>
      <c r="H70" s="27"/>
      <c r="I70" s="28"/>
      <c r="J70" s="27">
        <v>2</v>
      </c>
      <c r="K70" s="29" t="s">
        <v>35</v>
      </c>
      <c r="L70" s="39"/>
      <c r="M70" s="31"/>
      <c r="N70" s="27"/>
      <c r="P70" s="32"/>
      <c r="Q70" s="25"/>
      <c r="R70" s="27"/>
      <c r="S70" s="27"/>
      <c r="T70" s="28"/>
      <c r="U70" s="27"/>
      <c r="V70" s="27" t="s">
        <v>154</v>
      </c>
      <c r="W70" s="28"/>
      <c r="X70" s="33"/>
      <c r="Y70" s="32"/>
      <c r="Z70" s="25"/>
      <c r="AA70" s="27"/>
      <c r="AB70" s="28"/>
      <c r="AC70" s="27"/>
      <c r="AD70" s="27"/>
      <c r="AE70" s="33"/>
      <c r="AG70" s="25"/>
      <c r="AH70" s="34"/>
      <c r="AI70" s="27"/>
      <c r="AJ70" s="27"/>
      <c r="AK70" s="27"/>
      <c r="AL70" s="25"/>
      <c r="AM70" s="34"/>
      <c r="AN70" s="27"/>
      <c r="AO70" s="27"/>
      <c r="AP70" s="36"/>
      <c r="AQ70" s="37"/>
      <c r="AR70" s="32"/>
      <c r="AS70" s="25" t="s">
        <v>96</v>
      </c>
      <c r="AT70" s="27" t="s">
        <v>87</v>
      </c>
      <c r="AU70" s="27"/>
      <c r="AW70" s="25" t="s">
        <v>90</v>
      </c>
      <c r="AX70" s="27" t="s">
        <v>95</v>
      </c>
      <c r="AY70" s="27"/>
      <c r="AZ70" s="32"/>
      <c r="BA70" s="41"/>
    </row>
    <row r="71" spans="1:53" x14ac:dyDescent="0.2">
      <c r="A71" s="25">
        <v>63</v>
      </c>
      <c r="B71" s="26">
        <v>45126</v>
      </c>
      <c r="C71" s="27"/>
      <c r="D71" s="25"/>
      <c r="E71" s="28"/>
      <c r="F71" s="27"/>
      <c r="G71" s="28"/>
      <c r="H71" s="27"/>
      <c r="I71" s="28"/>
      <c r="J71" s="27">
        <v>2</v>
      </c>
      <c r="K71" s="29" t="s">
        <v>35</v>
      </c>
      <c r="L71" s="39"/>
      <c r="M71" s="31"/>
      <c r="N71" s="27"/>
      <c r="P71" s="32"/>
      <c r="Q71" s="25"/>
      <c r="R71" s="27"/>
      <c r="S71" s="27"/>
      <c r="T71" s="28"/>
      <c r="U71" s="27"/>
      <c r="V71" s="27" t="s">
        <v>154</v>
      </c>
      <c r="W71" s="28"/>
      <c r="X71" s="33"/>
      <c r="Y71" s="32"/>
      <c r="Z71" s="25"/>
      <c r="AA71" s="27"/>
      <c r="AB71" s="28"/>
      <c r="AC71" s="27"/>
      <c r="AD71" s="27"/>
      <c r="AE71" s="33"/>
      <c r="AG71" s="25"/>
      <c r="AH71" s="34"/>
      <c r="AI71" s="27"/>
      <c r="AJ71" s="27"/>
      <c r="AK71" s="27"/>
      <c r="AL71" s="25"/>
      <c r="AM71" s="34"/>
      <c r="AN71" s="27"/>
      <c r="AO71" s="27"/>
      <c r="AP71" s="36"/>
      <c r="AQ71" s="37"/>
      <c r="AR71" s="32"/>
      <c r="AS71" s="25" t="s">
        <v>96</v>
      </c>
      <c r="AT71" s="27" t="s">
        <v>87</v>
      </c>
      <c r="AU71" s="27"/>
      <c r="AW71" s="25" t="s">
        <v>90</v>
      </c>
      <c r="AX71" s="27" t="s">
        <v>95</v>
      </c>
      <c r="AY71" s="27"/>
      <c r="AZ71" s="32"/>
      <c r="BA71" s="41"/>
    </row>
    <row r="72" spans="1:53" x14ac:dyDescent="0.2">
      <c r="A72" s="25">
        <v>64</v>
      </c>
      <c r="B72" s="26">
        <v>45127</v>
      </c>
      <c r="C72" s="27"/>
      <c r="D72" s="25"/>
      <c r="E72" s="28"/>
      <c r="F72" s="27"/>
      <c r="G72" s="28"/>
      <c r="H72" s="27"/>
      <c r="I72" s="28"/>
      <c r="J72" s="27">
        <v>2</v>
      </c>
      <c r="K72" s="29" t="s">
        <v>35</v>
      </c>
      <c r="L72" s="39"/>
      <c r="M72" s="31"/>
      <c r="N72" s="27"/>
      <c r="P72" s="32"/>
      <c r="Q72" s="25"/>
      <c r="R72" s="27"/>
      <c r="S72" s="27"/>
      <c r="T72" s="28"/>
      <c r="U72" s="27"/>
      <c r="V72" s="27" t="s">
        <v>154</v>
      </c>
      <c r="W72" s="28"/>
      <c r="X72" s="33"/>
      <c r="Y72" s="32"/>
      <c r="Z72" s="25"/>
      <c r="AA72" s="27"/>
      <c r="AB72" s="28"/>
      <c r="AC72" s="27"/>
      <c r="AD72" s="27"/>
      <c r="AE72" s="33"/>
      <c r="AG72" s="25"/>
      <c r="AH72" s="34"/>
      <c r="AI72" s="27"/>
      <c r="AJ72" s="27"/>
      <c r="AK72" s="27"/>
      <c r="AL72" s="25"/>
      <c r="AM72" s="34"/>
      <c r="AN72" s="27"/>
      <c r="AO72" s="27"/>
      <c r="AP72" s="36"/>
      <c r="AQ72" s="37"/>
      <c r="AR72" s="32"/>
      <c r="AS72" s="25" t="s">
        <v>96</v>
      </c>
      <c r="AT72" s="27" t="s">
        <v>87</v>
      </c>
      <c r="AU72" s="27"/>
      <c r="AW72" s="25" t="s">
        <v>90</v>
      </c>
      <c r="AX72" s="27" t="s">
        <v>95</v>
      </c>
      <c r="AY72" s="27"/>
      <c r="AZ72" s="32"/>
      <c r="BA72" s="41"/>
    </row>
    <row r="73" spans="1:53" x14ac:dyDescent="0.2">
      <c r="A73" s="25">
        <v>65</v>
      </c>
      <c r="B73" s="26">
        <v>45128</v>
      </c>
      <c r="C73" s="27"/>
      <c r="D73" s="25"/>
      <c r="E73" s="28"/>
      <c r="F73" s="27"/>
      <c r="G73" s="28"/>
      <c r="H73" s="27"/>
      <c r="I73" s="28"/>
      <c r="J73" s="27">
        <v>2</v>
      </c>
      <c r="K73" s="29" t="s">
        <v>35</v>
      </c>
      <c r="L73" s="39"/>
      <c r="M73" s="31"/>
      <c r="N73" s="27"/>
      <c r="P73" s="32"/>
      <c r="Q73" s="25"/>
      <c r="R73" s="27"/>
      <c r="S73" s="27"/>
      <c r="T73" s="28"/>
      <c r="U73" s="27"/>
      <c r="V73" s="27" t="s">
        <v>154</v>
      </c>
      <c r="W73" s="28"/>
      <c r="X73" s="33"/>
      <c r="Y73" s="32"/>
      <c r="Z73" s="25"/>
      <c r="AA73" s="27"/>
      <c r="AB73" s="28"/>
      <c r="AC73" s="27"/>
      <c r="AD73" s="27"/>
      <c r="AE73" s="33"/>
      <c r="AG73" s="25"/>
      <c r="AH73" s="34"/>
      <c r="AI73" s="27"/>
      <c r="AJ73" s="27"/>
      <c r="AK73" s="27"/>
      <c r="AL73" s="25"/>
      <c r="AM73" s="34"/>
      <c r="AN73" s="27"/>
      <c r="AO73" s="27"/>
      <c r="AP73" s="36"/>
      <c r="AQ73" s="37"/>
      <c r="AR73" s="32"/>
      <c r="AS73" s="25" t="s">
        <v>96</v>
      </c>
      <c r="AT73" s="27" t="s">
        <v>87</v>
      </c>
      <c r="AU73" s="27"/>
      <c r="AW73" s="25" t="s">
        <v>90</v>
      </c>
      <c r="AX73" s="27" t="s">
        <v>95</v>
      </c>
      <c r="AY73" s="27"/>
      <c r="AZ73" s="32"/>
      <c r="BA73" s="41"/>
    </row>
    <row r="74" spans="1:53" x14ac:dyDescent="0.2">
      <c r="A74" s="25">
        <v>66</v>
      </c>
      <c r="B74" s="26">
        <v>45129</v>
      </c>
      <c r="C74" s="27"/>
      <c r="D74" s="25"/>
      <c r="E74" s="28"/>
      <c r="F74" s="27"/>
      <c r="G74" s="28"/>
      <c r="H74" s="27"/>
      <c r="I74" s="28"/>
      <c r="J74" s="27">
        <v>2</v>
      </c>
      <c r="K74" s="29" t="s">
        <v>35</v>
      </c>
      <c r="L74" s="39"/>
      <c r="M74" s="31"/>
      <c r="N74" s="27"/>
      <c r="P74" s="32"/>
      <c r="Q74" s="25"/>
      <c r="R74" s="27"/>
      <c r="S74" s="27"/>
      <c r="T74" s="28"/>
      <c r="U74" s="27"/>
      <c r="V74" s="27" t="s">
        <v>154</v>
      </c>
      <c r="W74" s="28"/>
      <c r="X74" s="33"/>
      <c r="Y74" s="32"/>
      <c r="Z74" s="25"/>
      <c r="AA74" s="27"/>
      <c r="AB74" s="28"/>
      <c r="AC74" s="27"/>
      <c r="AD74" s="27"/>
      <c r="AE74" s="33"/>
      <c r="AG74" s="25"/>
      <c r="AH74" s="34"/>
      <c r="AI74" s="27"/>
      <c r="AJ74" s="27"/>
      <c r="AK74" s="27"/>
      <c r="AL74" s="25"/>
      <c r="AM74" s="34"/>
      <c r="AN74" s="27"/>
      <c r="AO74" s="27"/>
      <c r="AP74" s="36"/>
      <c r="AQ74" s="37"/>
      <c r="AR74" s="32"/>
      <c r="AS74" s="25" t="s">
        <v>96</v>
      </c>
      <c r="AT74" s="27" t="s">
        <v>87</v>
      </c>
      <c r="AU74" s="27"/>
      <c r="AW74" s="25" t="s">
        <v>90</v>
      </c>
      <c r="AX74" s="27" t="s">
        <v>95</v>
      </c>
      <c r="AY74" s="27"/>
      <c r="AZ74" s="32"/>
      <c r="BA74" s="41"/>
    </row>
    <row r="75" spans="1:53" x14ac:dyDescent="0.2">
      <c r="A75" s="25">
        <v>67</v>
      </c>
      <c r="B75" s="26">
        <v>45130</v>
      </c>
      <c r="C75" s="27"/>
      <c r="D75" s="25"/>
      <c r="E75" s="28"/>
      <c r="F75" s="27"/>
      <c r="G75" s="28"/>
      <c r="H75" s="27"/>
      <c r="I75" s="28"/>
      <c r="J75" s="27">
        <v>2</v>
      </c>
      <c r="K75" s="29" t="s">
        <v>35</v>
      </c>
      <c r="L75" s="39"/>
      <c r="M75" s="31"/>
      <c r="N75" s="27"/>
      <c r="P75" s="32"/>
      <c r="Q75" s="25"/>
      <c r="R75" s="27"/>
      <c r="S75" s="27"/>
      <c r="T75" s="28"/>
      <c r="U75" s="27"/>
      <c r="V75" s="27" t="s">
        <v>154</v>
      </c>
      <c r="W75" s="28"/>
      <c r="X75" s="33"/>
      <c r="Y75" s="32"/>
      <c r="Z75" s="25"/>
      <c r="AA75" s="27"/>
      <c r="AB75" s="28"/>
      <c r="AC75" s="27"/>
      <c r="AD75" s="27"/>
      <c r="AE75" s="33"/>
      <c r="AG75" s="25"/>
      <c r="AH75" s="34"/>
      <c r="AI75" s="27"/>
      <c r="AJ75" s="27"/>
      <c r="AK75" s="27"/>
      <c r="AL75" s="25"/>
      <c r="AM75" s="34"/>
      <c r="AN75" s="27"/>
      <c r="AO75" s="27"/>
      <c r="AP75" s="36"/>
      <c r="AQ75" s="37"/>
      <c r="AR75" s="32"/>
      <c r="AS75" s="25" t="s">
        <v>96</v>
      </c>
      <c r="AT75" s="27" t="s">
        <v>87</v>
      </c>
      <c r="AU75" s="27"/>
      <c r="AW75" s="25" t="s">
        <v>90</v>
      </c>
      <c r="AX75" s="27" t="s">
        <v>95</v>
      </c>
      <c r="AY75" s="27"/>
      <c r="AZ75" s="32"/>
      <c r="BA75" s="41"/>
    </row>
    <row r="76" spans="1:53" x14ac:dyDescent="0.2">
      <c r="A76" s="25">
        <v>68</v>
      </c>
      <c r="B76" s="26">
        <v>45131</v>
      </c>
      <c r="C76" s="27"/>
      <c r="D76" s="25"/>
      <c r="E76" s="28"/>
      <c r="F76" s="27"/>
      <c r="G76" s="28"/>
      <c r="H76" s="27"/>
      <c r="I76" s="28"/>
      <c r="J76" s="27">
        <v>2</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27"/>
      <c r="AW76" s="25" t="s">
        <v>90</v>
      </c>
      <c r="AX76" s="27" t="s">
        <v>95</v>
      </c>
      <c r="AY76" s="27"/>
      <c r="AZ76" s="32"/>
      <c r="BA76" s="41"/>
    </row>
    <row r="77" spans="1:53" x14ac:dyDescent="0.2">
      <c r="A77" s="25">
        <v>69</v>
      </c>
      <c r="B77" s="26">
        <v>45132</v>
      </c>
      <c r="C77" s="27"/>
      <c r="D77" s="25"/>
      <c r="E77" s="28"/>
      <c r="F77" s="27"/>
      <c r="G77" s="28"/>
      <c r="H77" s="27"/>
      <c r="I77" s="28"/>
      <c r="J77" s="27">
        <v>2</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70</v>
      </c>
      <c r="B78" s="26">
        <v>45133</v>
      </c>
      <c r="C78" s="27"/>
      <c r="D78" s="25"/>
      <c r="E78" s="28"/>
      <c r="F78" s="27"/>
      <c r="G78" s="28"/>
      <c r="H78" s="27"/>
      <c r="I78" s="28"/>
      <c r="J78" s="27">
        <v>2</v>
      </c>
      <c r="K78" s="29" t="s">
        <v>35</v>
      </c>
      <c r="L78" s="39"/>
      <c r="M78" s="31"/>
      <c r="N78" s="27"/>
      <c r="P78" s="32"/>
      <c r="Q78" s="25"/>
      <c r="R78" s="27"/>
      <c r="S78" s="27"/>
      <c r="T78" s="28"/>
      <c r="U78" s="27"/>
      <c r="V78" s="27"/>
      <c r="W78" s="28"/>
      <c r="X78" s="33"/>
      <c r="Y78" s="32"/>
      <c r="Z78" s="25"/>
      <c r="AA78" s="27"/>
      <c r="AB78" s="28"/>
      <c r="AC78" s="27"/>
      <c r="AD78" s="27"/>
      <c r="AE78" s="33"/>
      <c r="AG78" s="25"/>
      <c r="AH78" s="34"/>
      <c r="AI78" s="27"/>
      <c r="AJ78" s="27"/>
      <c r="AK78" s="27"/>
      <c r="AL78" s="25"/>
      <c r="AM78" s="34"/>
      <c r="AN78" s="27"/>
      <c r="AO78" s="27"/>
      <c r="AP78" s="36"/>
      <c r="AQ78" s="37"/>
      <c r="AR78" s="32"/>
      <c r="AS78" s="25" t="s">
        <v>96</v>
      </c>
      <c r="AT78" s="27" t="s">
        <v>87</v>
      </c>
      <c r="AU78" s="27"/>
      <c r="AW78" s="25" t="s">
        <v>90</v>
      </c>
      <c r="AX78" s="27" t="s">
        <v>95</v>
      </c>
      <c r="AY78" s="27"/>
      <c r="AZ78" s="32"/>
      <c r="BA78" s="41"/>
    </row>
    <row r="79" spans="1:53" x14ac:dyDescent="0.2">
      <c r="A79" s="25">
        <v>71</v>
      </c>
      <c r="B79" s="26">
        <v>45134</v>
      </c>
      <c r="C79" s="27"/>
      <c r="D79" s="25"/>
      <c r="E79" s="28"/>
      <c r="F79" s="27"/>
      <c r="G79" s="28"/>
      <c r="H79" s="27"/>
      <c r="I79" s="28"/>
      <c r="J79" s="27">
        <v>2</v>
      </c>
      <c r="K79" s="29" t="s">
        <v>35</v>
      </c>
      <c r="L79" s="39"/>
      <c r="M79" s="31"/>
      <c r="N79" s="27"/>
      <c r="P79" s="32"/>
      <c r="Q79" s="25"/>
      <c r="R79" s="27"/>
      <c r="S79" s="27"/>
      <c r="T79" s="28"/>
      <c r="U79" s="27"/>
      <c r="V79" s="27"/>
      <c r="W79" s="28"/>
      <c r="X79" s="33"/>
      <c r="Y79" s="32"/>
      <c r="Z79" s="25"/>
      <c r="AA79" s="27"/>
      <c r="AB79" s="28"/>
      <c r="AC79" s="27"/>
      <c r="AD79" s="27"/>
      <c r="AE79" s="33"/>
      <c r="AF79" s="32"/>
      <c r="AG79" s="90"/>
      <c r="AH79" s="91"/>
      <c r="AI79" s="27"/>
      <c r="AJ79" s="27"/>
      <c r="AK79" s="28"/>
      <c r="AL79" s="27"/>
      <c r="AM79" s="27"/>
      <c r="AN79" s="27"/>
      <c r="AO79" s="27"/>
      <c r="AP79" s="36"/>
      <c r="AQ79" s="37"/>
      <c r="AS79" s="25"/>
      <c r="AT79" s="27"/>
      <c r="AU79" s="27"/>
      <c r="AW79" s="25" t="s">
        <v>90</v>
      </c>
      <c r="AX79" s="27" t="s">
        <v>95</v>
      </c>
      <c r="AY79" s="27"/>
      <c r="AZ79" s="32"/>
      <c r="BA79" s="41"/>
    </row>
    <row r="80" spans="1:53" x14ac:dyDescent="0.2">
      <c r="A80" s="25">
        <v>72</v>
      </c>
      <c r="B80" s="26">
        <v>45135</v>
      </c>
      <c r="C80" s="27"/>
      <c r="D80" s="25"/>
      <c r="E80" s="28"/>
      <c r="F80" s="27"/>
      <c r="G80" s="28"/>
      <c r="H80" s="27"/>
      <c r="I80" s="28"/>
      <c r="J80" s="27">
        <v>2</v>
      </c>
      <c r="K80" s="29" t="s">
        <v>35</v>
      </c>
      <c r="L80" s="39"/>
      <c r="M80" s="31"/>
      <c r="N80" s="27"/>
      <c r="P80" s="32"/>
      <c r="Q80" s="25"/>
      <c r="R80" s="27"/>
      <c r="S80" s="27"/>
      <c r="T80" s="28"/>
      <c r="U80" s="27"/>
      <c r="V80" s="27"/>
      <c r="W80" s="28"/>
      <c r="X80" s="33"/>
      <c r="Y80" s="32"/>
      <c r="Z80" s="25"/>
      <c r="AA80" s="27"/>
      <c r="AB80" s="28"/>
      <c r="AC80" s="27"/>
      <c r="AD80" s="27"/>
      <c r="AE80" s="33"/>
      <c r="AF80" s="32"/>
      <c r="AG80" s="90"/>
      <c r="AH80" s="91"/>
      <c r="AI80" s="27"/>
      <c r="AJ80" s="27"/>
      <c r="AK80" s="28"/>
      <c r="AL80" s="27"/>
      <c r="AM80" s="27"/>
      <c r="AN80" s="27"/>
      <c r="AO80" s="27"/>
      <c r="AP80" s="36"/>
      <c r="AQ80" s="37"/>
      <c r="AS80" s="25"/>
      <c r="AT80" s="27"/>
      <c r="AU80" s="27"/>
      <c r="AW80" s="25"/>
      <c r="AX80" s="27"/>
      <c r="AY80" s="27"/>
      <c r="AZ80" s="32"/>
      <c r="BA80" s="41"/>
    </row>
    <row r="81" spans="1:53" x14ac:dyDescent="0.2">
      <c r="A81" s="25">
        <v>73</v>
      </c>
      <c r="B81" s="26">
        <v>45136</v>
      </c>
      <c r="C81" s="27"/>
      <c r="D81" s="25"/>
      <c r="E81" s="28"/>
      <c r="F81" s="27"/>
      <c r="G81" s="28"/>
      <c r="H81" s="27"/>
      <c r="I81" s="28"/>
      <c r="J81" s="27">
        <v>2</v>
      </c>
      <c r="K81" s="29" t="s">
        <v>35</v>
      </c>
      <c r="L81" s="39"/>
      <c r="M81" s="31"/>
      <c r="N81" s="27"/>
      <c r="P81" s="32"/>
      <c r="Q81" s="25"/>
      <c r="R81" s="27"/>
      <c r="S81" s="27"/>
      <c r="T81" s="28"/>
      <c r="U81" s="27"/>
      <c r="V81" s="27"/>
      <c r="W81" s="28"/>
      <c r="X81" s="33"/>
      <c r="Y81" s="32"/>
      <c r="Z81" s="25"/>
      <c r="AA81" s="27"/>
      <c r="AB81" s="28"/>
      <c r="AC81" s="27"/>
      <c r="AD81" s="27"/>
      <c r="AE81" s="33"/>
      <c r="AF81" s="32"/>
      <c r="AG81" s="90"/>
      <c r="AH81" s="91"/>
      <c r="AI81" s="27"/>
      <c r="AJ81" s="27"/>
      <c r="AK81" s="28"/>
      <c r="AL81" s="27"/>
      <c r="AM81" s="27"/>
      <c r="AN81" s="27"/>
      <c r="AO81" s="27"/>
      <c r="AP81" s="36"/>
      <c r="AQ81" s="37"/>
      <c r="AS81" s="25"/>
      <c r="AT81" s="27"/>
      <c r="AU81" s="27"/>
      <c r="AW81" s="25"/>
      <c r="AX81" s="27"/>
      <c r="AY81" s="27"/>
      <c r="AZ81" s="32"/>
      <c r="BA81" s="41"/>
    </row>
    <row r="82" spans="1:53" x14ac:dyDescent="0.2">
      <c r="A82" s="25">
        <v>74</v>
      </c>
      <c r="B82" s="26">
        <v>45137</v>
      </c>
      <c r="C82" s="27"/>
      <c r="D82" s="25"/>
      <c r="E82" s="28"/>
      <c r="F82" s="27"/>
      <c r="G82" s="28"/>
      <c r="H82" s="27"/>
      <c r="I82" s="28"/>
      <c r="J82" s="27">
        <v>2</v>
      </c>
      <c r="K82" s="29" t="s">
        <v>35</v>
      </c>
      <c r="L82" s="39"/>
      <c r="M82" s="31"/>
      <c r="N82" s="27"/>
      <c r="P82" s="32"/>
      <c r="Q82" s="25"/>
      <c r="R82" s="27"/>
      <c r="S82" s="27"/>
      <c r="T82" s="28"/>
      <c r="U82" s="27"/>
      <c r="V82" s="27"/>
      <c r="W82" s="28"/>
      <c r="X82" s="33"/>
      <c r="Y82" s="32"/>
      <c r="Z82" s="25"/>
      <c r="AA82" s="27"/>
      <c r="AB82" s="28"/>
      <c r="AC82" s="27"/>
      <c r="AD82" s="27"/>
      <c r="AE82" s="33"/>
      <c r="AF82" s="32"/>
      <c r="AG82" s="90"/>
      <c r="AH82" s="91"/>
      <c r="AI82" s="27"/>
      <c r="AJ82" s="27"/>
      <c r="AK82" s="28"/>
      <c r="AL82" s="27"/>
      <c r="AM82" s="27"/>
      <c r="AN82" s="27"/>
      <c r="AO82" s="27"/>
      <c r="AP82" s="36"/>
      <c r="AQ82" s="37"/>
      <c r="AS82" s="25"/>
      <c r="AT82" s="27"/>
      <c r="AU82" s="27"/>
      <c r="AW82" s="25"/>
      <c r="AX82" s="27"/>
      <c r="AY82" s="27"/>
      <c r="AZ82" s="32"/>
      <c r="BA82" s="41"/>
    </row>
    <row r="83" spans="1:53" x14ac:dyDescent="0.2">
      <c r="A83" s="25">
        <v>75</v>
      </c>
      <c r="B83" s="26">
        <v>45138</v>
      </c>
      <c r="C83" s="27"/>
      <c r="D83" s="25"/>
      <c r="E83" s="28"/>
      <c r="F83" s="27"/>
      <c r="G83" s="28"/>
      <c r="H83" s="27"/>
      <c r="I83" s="28"/>
      <c r="J83" s="27">
        <v>2</v>
      </c>
      <c r="K83" s="29" t="s">
        <v>35</v>
      </c>
      <c r="L83" s="39"/>
      <c r="M83" s="31"/>
      <c r="N83" s="27"/>
      <c r="P83" s="32"/>
      <c r="Q83" s="25"/>
      <c r="R83" s="27"/>
      <c r="S83" s="27"/>
      <c r="T83" s="28"/>
      <c r="U83" s="27"/>
      <c r="V83" s="27"/>
      <c r="W83" s="28"/>
      <c r="X83" s="33"/>
      <c r="Y83" s="32"/>
      <c r="Z83" s="25"/>
      <c r="AA83" s="27"/>
      <c r="AB83" s="28"/>
      <c r="AC83" s="27"/>
      <c r="AD83" s="27"/>
      <c r="AE83" s="33"/>
      <c r="AF83" s="32"/>
      <c r="AG83" s="90"/>
      <c r="AH83" s="91"/>
      <c r="AI83" s="27"/>
      <c r="AJ83" s="27"/>
      <c r="AK83" s="28"/>
      <c r="AL83" s="27"/>
      <c r="AM83" s="27"/>
      <c r="AN83" s="27"/>
      <c r="AO83" s="27"/>
      <c r="AP83" s="36"/>
      <c r="AQ83" s="37"/>
      <c r="AR83" s="32"/>
      <c r="AS83" s="25"/>
      <c r="AT83" s="27"/>
      <c r="AU83" s="27"/>
      <c r="AW83" s="25"/>
      <c r="AX83" s="27"/>
      <c r="AY83" s="27"/>
      <c r="AZ83" s="32"/>
      <c r="BA83" s="41"/>
    </row>
    <row r="84" spans="1:53" x14ac:dyDescent="0.2">
      <c r="A84" s="25">
        <v>76</v>
      </c>
      <c r="B84" s="26">
        <v>45139</v>
      </c>
      <c r="C84" s="27"/>
      <c r="D84" s="25"/>
      <c r="E84" s="28"/>
      <c r="F84" s="27"/>
      <c r="G84" s="28"/>
      <c r="H84" s="27"/>
      <c r="I84" s="28"/>
      <c r="J84" s="27">
        <v>2</v>
      </c>
      <c r="K84" s="29" t="s">
        <v>35</v>
      </c>
      <c r="L84" s="39"/>
      <c r="M84" s="31"/>
      <c r="N84" s="27"/>
      <c r="P84" s="32"/>
      <c r="Q84" s="25"/>
      <c r="R84" s="27"/>
      <c r="S84" s="27"/>
      <c r="T84" s="28"/>
      <c r="U84" s="27"/>
      <c r="V84" s="27"/>
      <c r="W84" s="28"/>
      <c r="X84" s="33"/>
      <c r="Y84" s="32"/>
      <c r="Z84" s="25"/>
      <c r="AA84" s="27"/>
      <c r="AB84" s="28"/>
      <c r="AC84" s="27"/>
      <c r="AD84" s="27"/>
      <c r="AE84" s="33"/>
      <c r="AF84" s="32"/>
      <c r="AG84" s="90"/>
      <c r="AH84" s="91"/>
      <c r="AI84" s="27"/>
      <c r="AJ84" s="27"/>
      <c r="AK84" s="28"/>
      <c r="AL84" s="27"/>
      <c r="AM84" s="27"/>
      <c r="AN84" s="27"/>
      <c r="AO84" s="27"/>
      <c r="AP84" s="36"/>
      <c r="AQ84" s="37"/>
      <c r="AR84" s="32"/>
      <c r="AS84" s="25"/>
      <c r="AT84" s="27"/>
      <c r="AU84" s="27"/>
      <c r="AW84" s="25"/>
      <c r="AX84" s="27"/>
      <c r="AY84" s="27"/>
      <c r="AZ84" s="32"/>
      <c r="BA84" s="41"/>
    </row>
    <row r="85" spans="1:53" x14ac:dyDescent="0.2">
      <c r="A85" s="25">
        <v>77</v>
      </c>
      <c r="B85" s="26">
        <v>45140</v>
      </c>
      <c r="C85" s="27"/>
      <c r="D85" s="25"/>
      <c r="E85" s="28"/>
      <c r="F85" s="27"/>
      <c r="G85" s="28"/>
      <c r="H85" s="27"/>
      <c r="I85" s="28"/>
      <c r="J85" s="27">
        <v>2</v>
      </c>
      <c r="K85" s="29" t="s">
        <v>35</v>
      </c>
      <c r="L85" s="39"/>
      <c r="M85" s="31"/>
      <c r="N85" s="27"/>
      <c r="P85" s="32"/>
      <c r="Q85" s="25"/>
      <c r="R85" s="27"/>
      <c r="S85" s="27"/>
      <c r="T85" s="28"/>
      <c r="U85" s="27"/>
      <c r="V85" s="27"/>
      <c r="W85" s="28"/>
      <c r="X85" s="33"/>
      <c r="Y85" s="32"/>
      <c r="Z85" s="25"/>
      <c r="AA85" s="27"/>
      <c r="AB85" s="28"/>
      <c r="AC85" s="27"/>
      <c r="AD85" s="27"/>
      <c r="AE85" s="33"/>
      <c r="AF85" s="32"/>
      <c r="AG85" s="90"/>
      <c r="AH85" s="91"/>
      <c r="AI85" s="27"/>
      <c r="AJ85" s="27"/>
      <c r="AK85" s="28"/>
      <c r="AL85" s="27"/>
      <c r="AM85" s="27"/>
      <c r="AN85" s="27"/>
      <c r="AO85" s="27"/>
      <c r="AP85" s="36"/>
      <c r="AQ85" s="37"/>
      <c r="AR85" s="32"/>
      <c r="AS85" s="25"/>
      <c r="AT85" s="27"/>
      <c r="AU85" s="27"/>
      <c r="AW85" s="25"/>
      <c r="AX85" s="27"/>
      <c r="AY85" s="27"/>
      <c r="AZ85" s="32"/>
      <c r="BA85" s="41"/>
    </row>
    <row r="86" spans="1:53" x14ac:dyDescent="0.2">
      <c r="A86" s="25">
        <v>78</v>
      </c>
      <c r="B86" s="26">
        <v>45141</v>
      </c>
      <c r="C86" s="27"/>
      <c r="D86" s="25"/>
      <c r="E86" s="28"/>
      <c r="F86" s="27"/>
      <c r="G86" s="28"/>
      <c r="H86" s="27"/>
      <c r="I86" s="28"/>
      <c r="J86" s="27">
        <v>2</v>
      </c>
      <c r="K86" s="29" t="s">
        <v>35</v>
      </c>
      <c r="L86" s="39"/>
      <c r="M86" s="31"/>
      <c r="N86" s="27"/>
      <c r="P86" s="32"/>
      <c r="Q86" s="25"/>
      <c r="R86" s="27"/>
      <c r="S86" s="27"/>
      <c r="T86" s="28"/>
      <c r="U86" s="27"/>
      <c r="V86" s="27"/>
      <c r="W86" s="28"/>
      <c r="X86" s="33"/>
      <c r="Y86" s="32"/>
      <c r="Z86" s="25"/>
      <c r="AA86" s="27"/>
      <c r="AB86" s="28"/>
      <c r="AC86" s="27"/>
      <c r="AD86" s="27"/>
      <c r="AE86" s="33"/>
      <c r="AF86" s="32"/>
      <c r="AG86" s="90"/>
      <c r="AH86" s="91"/>
      <c r="AI86" s="27"/>
      <c r="AJ86" s="27"/>
      <c r="AK86" s="28"/>
      <c r="AL86" s="27"/>
      <c r="AM86" s="27"/>
      <c r="AN86" s="27"/>
      <c r="AO86" s="27"/>
      <c r="AP86" s="36"/>
      <c r="AQ86" s="37"/>
      <c r="AR86" s="32"/>
      <c r="AS86" s="25"/>
      <c r="AT86" s="27"/>
      <c r="AU86" s="27"/>
      <c r="AW86" s="25"/>
      <c r="AX86" s="27"/>
      <c r="AY86" s="27"/>
      <c r="AZ86" s="32"/>
      <c r="BA86" s="41"/>
    </row>
    <row r="87" spans="1:53" x14ac:dyDescent="0.2">
      <c r="A87" s="25">
        <v>79</v>
      </c>
      <c r="B87" s="26">
        <v>45142</v>
      </c>
      <c r="C87" s="27"/>
      <c r="D87" s="25"/>
      <c r="E87" s="28"/>
      <c r="F87" s="27"/>
      <c r="G87" s="28"/>
      <c r="H87" s="27"/>
      <c r="I87" s="28"/>
      <c r="J87" s="27">
        <v>2</v>
      </c>
      <c r="K87" s="29" t="s">
        <v>35</v>
      </c>
      <c r="L87" s="39"/>
      <c r="M87" s="31"/>
      <c r="N87" s="27"/>
      <c r="P87" s="32"/>
      <c r="Q87" s="25"/>
      <c r="R87" s="27"/>
      <c r="S87" s="27"/>
      <c r="T87" s="28"/>
      <c r="U87" s="27"/>
      <c r="V87" s="27"/>
      <c r="W87" s="28"/>
      <c r="X87" s="33"/>
      <c r="Y87" s="32"/>
      <c r="Z87" s="25"/>
      <c r="AA87" s="27"/>
      <c r="AB87" s="28"/>
      <c r="AC87" s="27"/>
      <c r="AD87" s="27"/>
      <c r="AE87" s="33"/>
      <c r="AF87" s="32"/>
      <c r="AG87" s="90"/>
      <c r="AH87" s="91"/>
      <c r="AI87" s="27"/>
      <c r="AJ87" s="27"/>
      <c r="AK87" s="28"/>
      <c r="AL87" s="27"/>
      <c r="AM87" s="27"/>
      <c r="AN87" s="27"/>
      <c r="AO87" s="27"/>
      <c r="AP87" s="36"/>
      <c r="AQ87" s="37"/>
      <c r="AR87" s="32"/>
      <c r="AS87" s="25"/>
      <c r="AT87" s="27"/>
      <c r="AU87" s="27"/>
      <c r="AW87" s="25"/>
      <c r="AX87" s="27"/>
      <c r="AY87" s="27"/>
      <c r="AZ87" s="32"/>
      <c r="BA87" s="41"/>
    </row>
    <row r="88" spans="1:53" x14ac:dyDescent="0.2">
      <c r="A88" s="25">
        <v>80</v>
      </c>
      <c r="B88" s="26">
        <v>45143</v>
      </c>
      <c r="C88" s="27"/>
      <c r="D88" s="25"/>
      <c r="E88" s="28"/>
      <c r="F88" s="27"/>
      <c r="G88" s="28"/>
      <c r="H88" s="27"/>
      <c r="I88" s="28"/>
      <c r="J88" s="27">
        <v>2</v>
      </c>
      <c r="K88" s="29" t="s">
        <v>35</v>
      </c>
      <c r="L88" s="39"/>
      <c r="M88" s="31"/>
      <c r="N88" s="27"/>
      <c r="P88" s="32"/>
      <c r="Q88" s="25"/>
      <c r="R88" s="27"/>
      <c r="S88" s="27"/>
      <c r="T88" s="28"/>
      <c r="U88" s="27"/>
      <c r="V88" s="27"/>
      <c r="W88" s="28"/>
      <c r="X88" s="33"/>
      <c r="Y88" s="32"/>
      <c r="Z88" s="25"/>
      <c r="AA88" s="27"/>
      <c r="AB88" s="28"/>
      <c r="AC88" s="27"/>
      <c r="AD88" s="27"/>
      <c r="AE88" s="33"/>
      <c r="AF88" s="32"/>
      <c r="AG88" s="90"/>
      <c r="AH88" s="91"/>
      <c r="AI88" s="27"/>
      <c r="AJ88" s="27"/>
      <c r="AK88" s="28"/>
      <c r="AL88" s="27"/>
      <c r="AM88" s="27"/>
      <c r="AN88" s="27"/>
      <c r="AO88" s="27"/>
      <c r="AP88" s="36"/>
      <c r="AQ88" s="37"/>
      <c r="AR88" s="32"/>
      <c r="AS88" s="25"/>
      <c r="AT88" s="27"/>
      <c r="AU88" s="27"/>
      <c r="AW88" s="25"/>
      <c r="AX88" s="27"/>
      <c r="AY88" s="27"/>
      <c r="AZ88" s="32"/>
      <c r="BA88" s="41"/>
    </row>
    <row r="89" spans="1:53" x14ac:dyDescent="0.2">
      <c r="A89" s="25">
        <v>81</v>
      </c>
      <c r="B89" s="26">
        <v>45144</v>
      </c>
      <c r="C89" s="27"/>
      <c r="D89" s="25"/>
      <c r="E89" s="28"/>
      <c r="F89" s="27"/>
      <c r="G89" s="28"/>
      <c r="H89" s="27"/>
      <c r="I89" s="28"/>
      <c r="J89" s="27">
        <v>2</v>
      </c>
      <c r="K89" s="29" t="s">
        <v>35</v>
      </c>
      <c r="L89" s="39"/>
      <c r="M89" s="31"/>
      <c r="N89" s="27"/>
      <c r="P89" s="32"/>
      <c r="Q89" s="25"/>
      <c r="R89" s="27"/>
      <c r="S89" s="27"/>
      <c r="T89" s="28"/>
      <c r="U89" s="27"/>
      <c r="V89" s="27"/>
      <c r="W89" s="28"/>
      <c r="X89" s="33"/>
      <c r="Y89" s="32"/>
      <c r="Z89" s="25"/>
      <c r="AA89" s="27"/>
      <c r="AB89" s="28"/>
      <c r="AC89" s="27"/>
      <c r="AD89" s="27"/>
      <c r="AE89" s="33"/>
      <c r="AF89" s="32"/>
      <c r="AG89" s="90"/>
      <c r="AH89" s="91"/>
      <c r="AI89" s="27"/>
      <c r="AJ89" s="27"/>
      <c r="AK89" s="28"/>
      <c r="AL89" s="27"/>
      <c r="AM89" s="27"/>
      <c r="AN89" s="27"/>
      <c r="AO89" s="27"/>
      <c r="AP89" s="36"/>
      <c r="AQ89" s="37"/>
      <c r="AR89" s="32"/>
      <c r="AS89" s="25"/>
      <c r="AT89" s="27"/>
      <c r="AU89" s="27"/>
      <c r="AW89" s="25"/>
      <c r="AX89" s="27"/>
      <c r="AY89" s="27"/>
      <c r="AZ89" s="32"/>
      <c r="BA89" s="41"/>
    </row>
    <row r="90" spans="1:53" x14ac:dyDescent="0.2">
      <c r="A90" s="25">
        <v>82</v>
      </c>
      <c r="B90" s="26">
        <v>45145</v>
      </c>
      <c r="C90" s="27"/>
      <c r="D90" s="25"/>
      <c r="E90" s="28"/>
      <c r="F90" s="27"/>
      <c r="G90" s="28"/>
      <c r="H90" s="27"/>
      <c r="I90" s="28"/>
      <c r="J90" s="27">
        <v>2</v>
      </c>
      <c r="K90" s="29" t="s">
        <v>35</v>
      </c>
      <c r="L90" s="39"/>
      <c r="M90" s="31"/>
      <c r="N90" s="27"/>
      <c r="P90" s="32"/>
      <c r="Q90" s="25"/>
      <c r="R90" s="27"/>
      <c r="S90" s="27"/>
      <c r="T90" s="28"/>
      <c r="U90" s="27"/>
      <c r="V90" s="27"/>
      <c r="W90" s="28"/>
      <c r="X90" s="33"/>
      <c r="Y90" s="32"/>
      <c r="Z90" s="25"/>
      <c r="AA90" s="27"/>
      <c r="AB90" s="28"/>
      <c r="AC90" s="27"/>
      <c r="AD90" s="27"/>
      <c r="AE90" s="33"/>
      <c r="AF90" s="32"/>
      <c r="AG90" s="90"/>
      <c r="AH90" s="91"/>
      <c r="AI90" s="27"/>
      <c r="AJ90" s="27"/>
      <c r="AK90" s="28"/>
      <c r="AL90" s="27"/>
      <c r="AM90" s="27"/>
      <c r="AN90" s="27"/>
      <c r="AO90" s="27"/>
      <c r="AP90" s="36"/>
      <c r="AQ90" s="37"/>
      <c r="AR90" s="32"/>
      <c r="AS90" s="25"/>
      <c r="AT90" s="27"/>
      <c r="AU90" s="27"/>
      <c r="AW90" s="25"/>
      <c r="AX90" s="27"/>
      <c r="AY90" s="27"/>
      <c r="AZ90" s="32"/>
      <c r="BA90" s="41"/>
    </row>
    <row r="91" spans="1:53" x14ac:dyDescent="0.2">
      <c r="A91" s="25">
        <v>83</v>
      </c>
      <c r="B91" s="26">
        <v>45146</v>
      </c>
      <c r="C91" s="27"/>
      <c r="D91" s="25"/>
      <c r="E91" s="28"/>
      <c r="F91" s="27"/>
      <c r="G91" s="28"/>
      <c r="H91" s="27"/>
      <c r="I91" s="28"/>
      <c r="J91" s="27">
        <v>2</v>
      </c>
      <c r="K91" s="29" t="s">
        <v>35</v>
      </c>
      <c r="L91" s="39"/>
      <c r="M91" s="31"/>
      <c r="N91" s="27"/>
      <c r="P91" s="32"/>
      <c r="Q91" s="25"/>
      <c r="R91" s="27"/>
      <c r="S91" s="27"/>
      <c r="T91" s="28"/>
      <c r="U91" s="27"/>
      <c r="V91" s="27"/>
      <c r="W91" s="28"/>
      <c r="X91" s="33"/>
      <c r="Y91" s="32"/>
      <c r="Z91" s="25"/>
      <c r="AA91" s="27"/>
      <c r="AB91" s="28"/>
      <c r="AC91" s="27"/>
      <c r="AD91" s="27"/>
      <c r="AE91" s="33"/>
      <c r="AF91" s="32"/>
      <c r="AG91" s="90"/>
      <c r="AH91" s="91"/>
      <c r="AI91" s="27"/>
      <c r="AJ91" s="27"/>
      <c r="AK91" s="28"/>
      <c r="AL91" s="27"/>
      <c r="AM91" s="27"/>
      <c r="AN91" s="27"/>
      <c r="AO91" s="27"/>
      <c r="AP91" s="36"/>
      <c r="AQ91" s="37"/>
      <c r="AR91" s="32"/>
      <c r="AS91" s="25"/>
      <c r="AT91" s="27"/>
      <c r="AU91" s="27"/>
      <c r="AW91" s="25"/>
      <c r="AX91" s="27"/>
      <c r="AY91" s="27"/>
      <c r="AZ91" s="32"/>
      <c r="BA91" s="41"/>
    </row>
    <row r="92" spans="1:53" x14ac:dyDescent="0.2">
      <c r="A92" s="25">
        <v>84</v>
      </c>
      <c r="B92" s="26">
        <v>45147</v>
      </c>
      <c r="C92" s="27"/>
      <c r="D92" s="25"/>
      <c r="E92" s="28"/>
      <c r="F92" s="27"/>
      <c r="G92" s="28"/>
      <c r="H92" s="27"/>
      <c r="I92" s="28"/>
      <c r="J92" s="27">
        <v>2</v>
      </c>
      <c r="K92" s="29" t="s">
        <v>35</v>
      </c>
      <c r="L92" s="39"/>
      <c r="M92" s="31"/>
      <c r="N92" s="27"/>
      <c r="P92" s="32"/>
      <c r="Q92" s="25"/>
      <c r="R92" s="27"/>
      <c r="S92" s="27"/>
      <c r="T92" s="28"/>
      <c r="U92" s="27"/>
      <c r="V92" s="27"/>
      <c r="W92" s="28"/>
      <c r="X92" s="33"/>
      <c r="Y92" s="32"/>
      <c r="Z92" s="25"/>
      <c r="AA92" s="27"/>
      <c r="AB92" s="28"/>
      <c r="AC92" s="27"/>
      <c r="AD92" s="27"/>
      <c r="AE92" s="33"/>
      <c r="AF92" s="32"/>
      <c r="AG92" s="90"/>
      <c r="AH92" s="91"/>
      <c r="AI92" s="27"/>
      <c r="AJ92" s="27"/>
      <c r="AK92" s="28"/>
      <c r="AL92" s="27"/>
      <c r="AM92" s="27"/>
      <c r="AN92" s="27"/>
      <c r="AO92" s="27"/>
      <c r="AP92" s="36"/>
      <c r="AQ92" s="37"/>
      <c r="AR92" s="32"/>
      <c r="AS92" s="25"/>
      <c r="AT92" s="27"/>
      <c r="AU92" s="27"/>
      <c r="AW92" s="25"/>
      <c r="AX92" s="27"/>
      <c r="AY92" s="27"/>
      <c r="AZ92" s="32"/>
      <c r="BA92" s="41"/>
    </row>
    <row r="93" spans="1:53" x14ac:dyDescent="0.2">
      <c r="A93" s="25">
        <v>85</v>
      </c>
      <c r="B93" s="26">
        <v>45148</v>
      </c>
      <c r="C93" s="27"/>
      <c r="D93" s="25"/>
      <c r="E93" s="28"/>
      <c r="F93" s="27"/>
      <c r="G93" s="28"/>
      <c r="H93" s="27"/>
      <c r="I93" s="28"/>
      <c r="J93" s="27">
        <v>2</v>
      </c>
      <c r="K93" s="29" t="s">
        <v>35</v>
      </c>
      <c r="L93" s="39"/>
      <c r="M93" s="31"/>
      <c r="N93" s="27"/>
      <c r="P93" s="32"/>
      <c r="Q93" s="25"/>
      <c r="R93" s="27"/>
      <c r="S93" s="27"/>
      <c r="T93" s="28"/>
      <c r="U93" s="27"/>
      <c r="V93" s="27"/>
      <c r="W93" s="28"/>
      <c r="X93" s="33"/>
      <c r="Y93" s="32"/>
      <c r="Z93" s="25"/>
      <c r="AA93" s="27"/>
      <c r="AB93" s="28"/>
      <c r="AC93" s="27"/>
      <c r="AD93" s="27"/>
      <c r="AE93" s="33"/>
      <c r="AF93" s="32"/>
      <c r="AG93" s="90"/>
      <c r="AH93" s="91"/>
      <c r="AI93" s="27"/>
      <c r="AJ93" s="27"/>
      <c r="AK93" s="28"/>
      <c r="AL93" s="27"/>
      <c r="AM93" s="27"/>
      <c r="AN93" s="27"/>
      <c r="AO93" s="27"/>
      <c r="AP93" s="36"/>
      <c r="AQ93" s="37"/>
      <c r="AR93" s="32"/>
      <c r="AS93" s="25"/>
      <c r="AT93" s="27"/>
      <c r="AU93" s="27"/>
      <c r="AW93" s="25"/>
      <c r="AX93" s="27"/>
      <c r="AY93" s="27"/>
      <c r="AZ93" s="32"/>
      <c r="BA93" s="41"/>
    </row>
    <row r="94" spans="1:53" x14ac:dyDescent="0.2">
      <c r="A94" s="25">
        <v>86</v>
      </c>
      <c r="B94" s="26">
        <v>45149</v>
      </c>
      <c r="C94" s="27"/>
      <c r="D94" s="25"/>
      <c r="E94" s="28"/>
      <c r="F94" s="27"/>
      <c r="G94" s="28"/>
      <c r="H94" s="27"/>
      <c r="I94" s="28"/>
      <c r="J94" s="27">
        <v>2</v>
      </c>
      <c r="K94" s="29" t="s">
        <v>35</v>
      </c>
      <c r="L94" s="39"/>
      <c r="M94" s="31"/>
      <c r="N94" s="27"/>
      <c r="P94" s="32"/>
      <c r="Q94" s="25"/>
      <c r="R94" s="27"/>
      <c r="S94" s="27"/>
      <c r="T94" s="28"/>
      <c r="U94" s="27"/>
      <c r="V94" s="27"/>
      <c r="W94" s="28"/>
      <c r="X94" s="33"/>
      <c r="Y94" s="32"/>
      <c r="Z94" s="25"/>
      <c r="AA94" s="27"/>
      <c r="AB94" s="28"/>
      <c r="AC94" s="27"/>
      <c r="AD94" s="27"/>
      <c r="AE94" s="33"/>
      <c r="AF94" s="32"/>
      <c r="AG94" s="90"/>
      <c r="AH94" s="91"/>
      <c r="AI94" s="27"/>
      <c r="AJ94" s="27"/>
      <c r="AK94" s="28"/>
      <c r="AL94" s="27"/>
      <c r="AM94" s="27"/>
      <c r="AN94" s="27"/>
      <c r="AO94" s="27"/>
      <c r="AP94" s="36"/>
      <c r="AQ94" s="37"/>
      <c r="AR94" s="32"/>
      <c r="AS94" s="25"/>
      <c r="AT94" s="27"/>
      <c r="AU94" s="27"/>
      <c r="AW94" s="25"/>
      <c r="AX94" s="27"/>
      <c r="AY94" s="27"/>
      <c r="AZ94" s="32"/>
      <c r="BA94" s="41"/>
    </row>
    <row r="95" spans="1:53" x14ac:dyDescent="0.2">
      <c r="A95" s="25">
        <v>87</v>
      </c>
      <c r="B95" s="26">
        <v>45150</v>
      </c>
      <c r="C95" s="27"/>
      <c r="D95" s="25"/>
      <c r="E95" s="28"/>
      <c r="F95" s="27"/>
      <c r="G95" s="28"/>
      <c r="H95" s="27"/>
      <c r="I95" s="28"/>
      <c r="J95" s="27">
        <v>2</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c r="AJ95" s="27"/>
      <c r="AK95" s="28"/>
      <c r="AL95" s="27"/>
      <c r="AM95" s="27"/>
      <c r="AN95" s="27"/>
      <c r="AO95" s="27"/>
      <c r="AP95" s="36"/>
      <c r="AQ95" s="37"/>
      <c r="AR95" s="32"/>
      <c r="AS95" s="25"/>
      <c r="AT95" s="27"/>
      <c r="AU95" s="27"/>
      <c r="AW95" s="25"/>
      <c r="AX95" s="27"/>
      <c r="AY95" s="27"/>
      <c r="AZ95" s="32"/>
      <c r="BA95" s="41"/>
    </row>
    <row r="96" spans="1:53" x14ac:dyDescent="0.2">
      <c r="A96" s="25">
        <v>88</v>
      </c>
      <c r="B96" s="26">
        <v>45151</v>
      </c>
      <c r="C96" s="27"/>
      <c r="D96" s="25"/>
      <c r="E96" s="28"/>
      <c r="F96" s="27"/>
      <c r="G96" s="28"/>
      <c r="H96" s="27"/>
      <c r="I96" s="28"/>
      <c r="J96" s="27">
        <v>2</v>
      </c>
      <c r="K96" s="29" t="s">
        <v>35</v>
      </c>
      <c r="L96" s="39"/>
      <c r="M96" s="31"/>
      <c r="N96" s="27"/>
      <c r="P96" s="32"/>
      <c r="Q96" s="25"/>
      <c r="R96" s="27"/>
      <c r="S96" s="27"/>
      <c r="T96" s="28"/>
      <c r="U96" s="27"/>
      <c r="V96" s="27"/>
      <c r="W96" s="28"/>
      <c r="X96" s="33"/>
      <c r="Y96" s="32"/>
      <c r="Z96" s="25"/>
      <c r="AA96" s="27"/>
      <c r="AB96" s="28"/>
      <c r="AC96" s="27"/>
      <c r="AD96" s="27"/>
      <c r="AE96" s="33"/>
      <c r="AF96" s="32"/>
      <c r="AG96" s="90"/>
      <c r="AH96" s="91"/>
      <c r="AI96" s="27"/>
      <c r="AJ96" s="27"/>
      <c r="AK96" s="28"/>
      <c r="AL96" s="27"/>
      <c r="AM96" s="27"/>
      <c r="AN96" s="27"/>
      <c r="AO96" s="27"/>
      <c r="AP96" s="36"/>
      <c r="AQ96" s="37"/>
      <c r="AR96" s="32"/>
      <c r="AS96" s="25"/>
      <c r="AT96" s="27"/>
      <c r="AU96" s="27"/>
      <c r="AW96" s="25"/>
      <c r="AX96" s="27"/>
      <c r="AY96" s="27"/>
      <c r="AZ96" s="32"/>
      <c r="BA96" s="41"/>
    </row>
    <row r="97" spans="1:53" x14ac:dyDescent="0.2">
      <c r="A97" s="25">
        <v>89</v>
      </c>
      <c r="B97" s="26">
        <v>45152</v>
      </c>
      <c r="C97" s="27"/>
      <c r="D97" s="25"/>
      <c r="E97" s="28"/>
      <c r="F97" s="27"/>
      <c r="G97" s="28"/>
      <c r="H97" s="27"/>
      <c r="I97" s="28"/>
      <c r="J97" s="27">
        <v>2</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R97" s="32"/>
      <c r="AS97" s="25"/>
      <c r="AT97" s="27"/>
      <c r="AU97" s="27"/>
      <c r="AW97" s="25"/>
      <c r="AX97" s="27"/>
      <c r="AY97" s="27"/>
      <c r="AZ97" s="32"/>
      <c r="BA97" s="41"/>
    </row>
    <row r="98" spans="1:53" x14ac:dyDescent="0.2">
      <c r="A98" s="25">
        <v>90</v>
      </c>
      <c r="B98" s="26">
        <v>45153</v>
      </c>
      <c r="C98" s="27"/>
      <c r="D98" s="25"/>
      <c r="E98" s="28"/>
      <c r="F98" s="27"/>
      <c r="G98" s="28"/>
      <c r="H98" s="27"/>
      <c r="I98" s="28"/>
      <c r="J98" s="27">
        <v>2</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c r="AJ98" s="27"/>
      <c r="AK98" s="28"/>
      <c r="AL98" s="27"/>
      <c r="AM98" s="27"/>
      <c r="AN98" s="27"/>
      <c r="AO98" s="27"/>
      <c r="AP98" s="36"/>
      <c r="AQ98" s="37"/>
      <c r="AR98" s="32"/>
      <c r="AS98" s="25"/>
      <c r="AT98" s="27"/>
      <c r="AU98" s="27"/>
      <c r="AW98" s="25"/>
      <c r="AX98" s="27"/>
      <c r="AY98" s="27"/>
      <c r="AZ98" s="32"/>
      <c r="BA98" s="41"/>
    </row>
    <row r="99" spans="1:53" x14ac:dyDescent="0.2">
      <c r="B99" s="26"/>
    </row>
  </sheetData>
  <mergeCells count="52">
    <mergeCell ref="X12:X19"/>
    <mergeCell ref="AV5:AV7"/>
    <mergeCell ref="AW5:AW7"/>
    <mergeCell ref="AG5:AG6"/>
    <mergeCell ref="X5:X7"/>
    <mergeCell ref="O28:O48"/>
    <mergeCell ref="AR5:AR7"/>
    <mergeCell ref="AS5:AS7"/>
    <mergeCell ref="AT5:AT7"/>
    <mergeCell ref="AU5:AU7"/>
    <mergeCell ref="AH5:AH7"/>
    <mergeCell ref="AI5:AK6"/>
    <mergeCell ref="AL5:AL7"/>
    <mergeCell ref="AM5:AM6"/>
    <mergeCell ref="AN5:AP6"/>
    <mergeCell ref="AQ5:AQ7"/>
    <mergeCell ref="Y5:Y7"/>
    <mergeCell ref="Z5:AB6"/>
    <mergeCell ref="AC5:AD6"/>
    <mergeCell ref="AE5:AE7"/>
    <mergeCell ref="AF5:AF7"/>
    <mergeCell ref="H5:I6"/>
    <mergeCell ref="J5:J7"/>
    <mergeCell ref="K5:K7"/>
    <mergeCell ref="L5:L7"/>
    <mergeCell ref="M5:M7"/>
    <mergeCell ref="N5:N7"/>
    <mergeCell ref="AS2:AV4"/>
    <mergeCell ref="AW2:AZ4"/>
    <mergeCell ref="BA2:BA4"/>
    <mergeCell ref="AG4:AK4"/>
    <mergeCell ref="AM4:AP4"/>
    <mergeCell ref="AG2:AP3"/>
    <mergeCell ref="O5:O7"/>
    <mergeCell ref="P5:P7"/>
    <mergeCell ref="Q5:Q7"/>
    <mergeCell ref="R5:T6"/>
    <mergeCell ref="U5:W6"/>
    <mergeCell ref="AX5:AX7"/>
    <mergeCell ref="AY5:AY7"/>
    <mergeCell ref="AZ5:AZ7"/>
    <mergeCell ref="BA5:BA7"/>
    <mergeCell ref="A5:A7"/>
    <mergeCell ref="B5:B7"/>
    <mergeCell ref="C5:C7"/>
    <mergeCell ref="D5:E6"/>
    <mergeCell ref="F5:G6"/>
    <mergeCell ref="A2:C4"/>
    <mergeCell ref="D2:M4"/>
    <mergeCell ref="N2:P4"/>
    <mergeCell ref="Q2:Y4"/>
    <mergeCell ref="Z2:AF4"/>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A98"/>
  <sheetViews>
    <sheetView workbookViewId="0">
      <pane xSplit="1" topLeftCell="B1" activePane="topRight" state="frozen"/>
      <selection pane="topRight" activeCell="L48" sqref="L48"/>
    </sheetView>
  </sheetViews>
  <sheetFormatPr baseColWidth="10" defaultColWidth="8.83203125" defaultRowHeight="15" x14ac:dyDescent="0.2"/>
  <cols>
    <col min="1" max="1" width="21.33203125" bestFit="1" customWidth="1"/>
    <col min="2" max="2" width="23.1640625" bestFit="1" customWidth="1"/>
    <col min="3" max="3" width="15.83203125" bestFit="1" customWidth="1"/>
    <col min="4" max="4" width="4.5" bestFit="1" customWidth="1"/>
    <col min="5" max="5" width="4.33203125" bestFit="1" customWidth="1"/>
    <col min="6" max="6" width="4.5" bestFit="1" customWidth="1"/>
    <col min="7" max="7" width="4.33203125" bestFit="1" customWidth="1"/>
    <col min="8" max="8" width="4.5" bestFit="1" customWidth="1"/>
    <col min="9" max="9" width="4.33203125" bestFit="1" customWidth="1"/>
    <col min="10" max="10" width="22.6640625" bestFit="1" customWidth="1"/>
    <col min="11" max="11" width="21" bestFit="1" customWidth="1"/>
    <col min="12" max="12" width="47.1640625" bestFit="1" customWidth="1"/>
    <col min="13" max="13" width="41.1640625" bestFit="1" customWidth="1"/>
    <col min="14" max="14" width="16.5" bestFit="1" customWidth="1"/>
    <col min="15" max="15" width="19.83203125" bestFit="1" customWidth="1"/>
    <col min="16" max="16" width="41.1640625" bestFit="1" customWidth="1"/>
    <col min="17" max="17" width="9.33203125" bestFit="1" customWidth="1"/>
    <col min="18" max="18" width="4.5" bestFit="1" customWidth="1"/>
    <col min="19" max="19" width="6.5" bestFit="1" customWidth="1"/>
    <col min="20" max="20" width="4.33203125" bestFit="1" customWidth="1"/>
    <col min="21" max="21" width="5.1640625" bestFit="1" customWidth="1"/>
    <col min="22" max="22" width="6.5" bestFit="1" customWidth="1"/>
    <col min="23" max="23" width="5.1640625" bestFit="1" customWidth="1"/>
    <col min="24" max="24" width="26.1640625" bestFit="1" customWidth="1"/>
    <col min="25" max="25" width="41.1640625" bestFit="1" customWidth="1"/>
    <col min="26" max="26" width="4.5" bestFit="1" customWidth="1"/>
    <col min="27" max="27" width="6.5" bestFit="1" customWidth="1"/>
    <col min="28" max="28" width="4.33203125" bestFit="1" customWidth="1"/>
    <col min="29" max="29" width="5.1640625" bestFit="1" customWidth="1"/>
    <col min="30" max="30" width="6.5" bestFit="1" customWidth="1"/>
    <col min="31" max="31" width="13.1640625" bestFit="1" customWidth="1"/>
    <col min="32" max="32" width="41.1640625" bestFit="1" customWidth="1"/>
    <col min="33" max="33" width="11.83203125" bestFit="1" customWidth="1"/>
    <col min="34" max="34" width="14" bestFit="1" customWidth="1"/>
    <col min="35" max="35" width="6" bestFit="1" customWidth="1"/>
    <col min="36" max="36" width="6.5" bestFit="1" customWidth="1"/>
    <col min="37" max="37" width="4.33203125" bestFit="1" customWidth="1"/>
    <col min="38" max="38" width="16.33203125" bestFit="1" customWidth="1"/>
    <col min="39" max="39" width="11.83203125" bestFit="1" customWidth="1"/>
    <col min="40" max="40" width="6" bestFit="1" customWidth="1"/>
    <col min="41" max="41" width="6.5" bestFit="1" customWidth="1"/>
    <col min="42" max="42" width="10" customWidth="1"/>
    <col min="43" max="43" width="35.5" bestFit="1" customWidth="1"/>
    <col min="44" max="44" width="41.1640625" bestFit="1" customWidth="1"/>
    <col min="45" max="45" width="18" bestFit="1" customWidth="1"/>
    <col min="46" max="46" width="26.5" bestFit="1" customWidth="1"/>
    <col min="47" max="47" width="24.83203125" bestFit="1" customWidth="1"/>
    <col min="48" max="48" width="41.1640625" bestFit="1" customWidth="1"/>
    <col min="49" max="49" width="6.33203125" bestFit="1" customWidth="1"/>
    <col min="50" max="50" width="26.5" bestFit="1" customWidth="1"/>
    <col min="51" max="51" width="24.1640625" bestFit="1" customWidth="1"/>
    <col min="52" max="52" width="41.1640625" bestFit="1" customWidth="1"/>
    <col min="53" max="53" width="18.83203125" bestFit="1" customWidth="1"/>
  </cols>
  <sheetData>
    <row r="1" spans="1:53" ht="23" x14ac:dyDescent="0.2">
      <c r="A1" s="209" t="s">
        <v>0</v>
      </c>
      <c r="B1" s="210"/>
      <c r="C1" s="210"/>
      <c r="D1" s="215" t="s">
        <v>1</v>
      </c>
      <c r="E1" s="215"/>
      <c r="F1" s="215"/>
      <c r="G1" s="215"/>
      <c r="H1" s="215"/>
      <c r="I1" s="215"/>
      <c r="J1" s="215"/>
      <c r="K1" s="215"/>
      <c r="L1" s="215"/>
      <c r="M1" s="215"/>
      <c r="N1" s="218" t="s">
        <v>2</v>
      </c>
      <c r="O1" s="218"/>
      <c r="P1" s="219"/>
      <c r="Q1" s="224" t="s">
        <v>3</v>
      </c>
      <c r="R1" s="225"/>
      <c r="S1" s="225"/>
      <c r="T1" s="225"/>
      <c r="U1" s="225"/>
      <c r="V1" s="225"/>
      <c r="W1" s="225"/>
      <c r="X1" s="225"/>
      <c r="Y1" s="226"/>
      <c r="Z1" s="230" t="s">
        <v>4</v>
      </c>
      <c r="AA1" s="231"/>
      <c r="AB1" s="231"/>
      <c r="AC1" s="231"/>
      <c r="AD1" s="231"/>
      <c r="AE1" s="231"/>
      <c r="AF1" s="232"/>
      <c r="AG1" s="271" t="s">
        <v>5</v>
      </c>
      <c r="AH1" s="271"/>
      <c r="AI1" s="271"/>
      <c r="AJ1" s="271"/>
      <c r="AK1" s="271"/>
      <c r="AL1" s="271"/>
      <c r="AM1" s="271"/>
      <c r="AN1" s="271"/>
      <c r="AO1" s="271"/>
      <c r="AP1" s="271"/>
      <c r="AQ1" s="1"/>
      <c r="AR1" s="2"/>
      <c r="AS1" s="251" t="s">
        <v>6</v>
      </c>
      <c r="AT1" s="252"/>
      <c r="AU1" s="252"/>
      <c r="AV1" s="252"/>
      <c r="AW1" s="257" t="s">
        <v>7</v>
      </c>
      <c r="AX1" s="258"/>
      <c r="AY1" s="258"/>
      <c r="AZ1" s="259"/>
      <c r="BA1" s="266" t="s">
        <v>8</v>
      </c>
    </row>
    <row r="2" spans="1:53" ht="23" x14ac:dyDescent="0.2">
      <c r="A2" s="211"/>
      <c r="B2" s="212"/>
      <c r="C2" s="212"/>
      <c r="D2" s="216"/>
      <c r="E2" s="216"/>
      <c r="F2" s="216"/>
      <c r="G2" s="216"/>
      <c r="H2" s="216"/>
      <c r="I2" s="216"/>
      <c r="J2" s="216"/>
      <c r="K2" s="216"/>
      <c r="L2" s="216"/>
      <c r="M2" s="216"/>
      <c r="N2" s="220"/>
      <c r="O2" s="220"/>
      <c r="P2" s="221"/>
      <c r="Q2" s="227"/>
      <c r="R2" s="228"/>
      <c r="S2" s="228"/>
      <c r="T2" s="228"/>
      <c r="U2" s="228"/>
      <c r="V2" s="228"/>
      <c r="W2" s="228"/>
      <c r="X2" s="228"/>
      <c r="Y2" s="229"/>
      <c r="Z2" s="233"/>
      <c r="AA2" s="234"/>
      <c r="AB2" s="234"/>
      <c r="AC2" s="234"/>
      <c r="AD2" s="234"/>
      <c r="AE2" s="234"/>
      <c r="AF2" s="235"/>
      <c r="AG2" s="272"/>
      <c r="AH2" s="272"/>
      <c r="AI2" s="272"/>
      <c r="AJ2" s="272"/>
      <c r="AK2" s="272"/>
      <c r="AL2" s="272"/>
      <c r="AM2" s="272"/>
      <c r="AN2" s="272"/>
      <c r="AO2" s="272"/>
      <c r="AP2" s="272"/>
      <c r="AQ2" s="3"/>
      <c r="AR2" s="4"/>
      <c r="AS2" s="253"/>
      <c r="AT2" s="254"/>
      <c r="AU2" s="254"/>
      <c r="AV2" s="254"/>
      <c r="AW2" s="260"/>
      <c r="AX2" s="261"/>
      <c r="AY2" s="261"/>
      <c r="AZ2" s="262"/>
      <c r="BA2" s="267"/>
    </row>
    <row r="3" spans="1:53" ht="21" thickBot="1" x14ac:dyDescent="0.25">
      <c r="A3" s="213"/>
      <c r="B3" s="214"/>
      <c r="C3" s="214"/>
      <c r="D3" s="217"/>
      <c r="E3" s="217"/>
      <c r="F3" s="217"/>
      <c r="G3" s="217"/>
      <c r="H3" s="217"/>
      <c r="I3" s="217"/>
      <c r="J3" s="217"/>
      <c r="K3" s="217"/>
      <c r="L3" s="217"/>
      <c r="M3" s="217"/>
      <c r="N3" s="222"/>
      <c r="O3" s="222"/>
      <c r="P3" s="223"/>
      <c r="Q3" s="227"/>
      <c r="R3" s="228"/>
      <c r="S3" s="228"/>
      <c r="T3" s="228"/>
      <c r="U3" s="228"/>
      <c r="V3" s="228"/>
      <c r="W3" s="228"/>
      <c r="X3" s="228"/>
      <c r="Y3" s="229"/>
      <c r="Z3" s="233"/>
      <c r="AA3" s="234"/>
      <c r="AB3" s="234"/>
      <c r="AC3" s="234"/>
      <c r="AD3" s="234"/>
      <c r="AE3" s="234"/>
      <c r="AF3" s="235"/>
      <c r="AG3" s="269" t="s">
        <v>9</v>
      </c>
      <c r="AH3" s="269"/>
      <c r="AI3" s="269"/>
      <c r="AJ3" s="269"/>
      <c r="AK3" s="270"/>
      <c r="AL3" s="5"/>
      <c r="AM3" s="269" t="s">
        <v>10</v>
      </c>
      <c r="AN3" s="269"/>
      <c r="AO3" s="269"/>
      <c r="AP3" s="270"/>
      <c r="AQ3" s="6"/>
      <c r="AR3" s="7"/>
      <c r="AS3" s="255"/>
      <c r="AT3" s="256"/>
      <c r="AU3" s="256"/>
      <c r="AV3" s="256"/>
      <c r="AW3" s="263"/>
      <c r="AX3" s="264"/>
      <c r="AY3" s="264"/>
      <c r="AZ3" s="265"/>
      <c r="BA3" s="268"/>
    </row>
    <row r="4" spans="1:53" x14ac:dyDescent="0.2">
      <c r="A4" s="236" t="s">
        <v>11</v>
      </c>
      <c r="B4" s="239" t="s">
        <v>12</v>
      </c>
      <c r="C4" s="239" t="s">
        <v>13</v>
      </c>
      <c r="D4" s="242" t="s">
        <v>14</v>
      </c>
      <c r="E4" s="243"/>
      <c r="F4" s="246" t="s">
        <v>15</v>
      </c>
      <c r="G4" s="243"/>
      <c r="H4" s="292" t="s">
        <v>16</v>
      </c>
      <c r="I4" s="293"/>
      <c r="J4" s="296" t="s">
        <v>17</v>
      </c>
      <c r="K4" s="299" t="s">
        <v>18</v>
      </c>
      <c r="L4" s="292" t="s">
        <v>19</v>
      </c>
      <c r="M4" s="303" t="s">
        <v>20</v>
      </c>
      <c r="N4" s="248" t="s">
        <v>21</v>
      </c>
      <c r="O4" s="248" t="s">
        <v>19</v>
      </c>
      <c r="P4" s="248" t="s">
        <v>20</v>
      </c>
      <c r="Q4" s="273" t="s">
        <v>22</v>
      </c>
      <c r="R4" s="276" t="s">
        <v>23</v>
      </c>
      <c r="S4" s="276"/>
      <c r="T4" s="277"/>
      <c r="U4" s="280" t="s">
        <v>24</v>
      </c>
      <c r="V4" s="280"/>
      <c r="W4" s="281"/>
      <c r="X4" s="353" t="s">
        <v>19</v>
      </c>
      <c r="Y4" s="330" t="s">
        <v>20</v>
      </c>
      <c r="Z4" s="333" t="s">
        <v>23</v>
      </c>
      <c r="AA4" s="334"/>
      <c r="AB4" s="335"/>
      <c r="AC4" s="339" t="s">
        <v>24</v>
      </c>
      <c r="AD4" s="339"/>
      <c r="AE4" s="339" t="s">
        <v>19</v>
      </c>
      <c r="AF4" s="342" t="s">
        <v>20</v>
      </c>
      <c r="AG4" s="351" t="s">
        <v>25</v>
      </c>
      <c r="AH4" s="318" t="s">
        <v>26</v>
      </c>
      <c r="AI4" s="321" t="s">
        <v>24</v>
      </c>
      <c r="AJ4" s="321"/>
      <c r="AK4" s="321"/>
      <c r="AL4" s="323" t="s">
        <v>27</v>
      </c>
      <c r="AM4" s="325" t="s">
        <v>25</v>
      </c>
      <c r="AN4" s="321" t="s">
        <v>24</v>
      </c>
      <c r="AO4" s="321"/>
      <c r="AP4" s="309"/>
      <c r="AQ4" s="327" t="s">
        <v>19</v>
      </c>
      <c r="AR4" s="309" t="s">
        <v>20</v>
      </c>
      <c r="AS4" s="312" t="s">
        <v>28</v>
      </c>
      <c r="AT4" s="315" t="s">
        <v>29</v>
      </c>
      <c r="AU4" s="315" t="s">
        <v>19</v>
      </c>
      <c r="AV4" s="315" t="s">
        <v>20</v>
      </c>
      <c r="AW4" s="348" t="s">
        <v>30</v>
      </c>
      <c r="AX4" s="284" t="s">
        <v>29</v>
      </c>
      <c r="AY4" s="284" t="s">
        <v>19</v>
      </c>
      <c r="AZ4" s="287" t="s">
        <v>20</v>
      </c>
      <c r="BA4" s="290" t="s">
        <v>31</v>
      </c>
    </row>
    <row r="5" spans="1:53" x14ac:dyDescent="0.2">
      <c r="A5" s="237"/>
      <c r="B5" s="240"/>
      <c r="C5" s="240"/>
      <c r="D5" s="244"/>
      <c r="E5" s="245"/>
      <c r="F5" s="247"/>
      <c r="G5" s="245"/>
      <c r="H5" s="294"/>
      <c r="I5" s="295"/>
      <c r="J5" s="297"/>
      <c r="K5" s="300"/>
      <c r="L5" s="294"/>
      <c r="M5" s="304"/>
      <c r="N5" s="249"/>
      <c r="O5" s="249"/>
      <c r="P5" s="249"/>
      <c r="Q5" s="274"/>
      <c r="R5" s="278"/>
      <c r="S5" s="278"/>
      <c r="T5" s="279"/>
      <c r="U5" s="282"/>
      <c r="V5" s="282"/>
      <c r="W5" s="283"/>
      <c r="X5" s="354"/>
      <c r="Y5" s="331"/>
      <c r="Z5" s="336"/>
      <c r="AA5" s="337"/>
      <c r="AB5" s="338"/>
      <c r="AC5" s="340"/>
      <c r="AD5" s="340"/>
      <c r="AE5" s="340"/>
      <c r="AF5" s="343"/>
      <c r="AG5" s="352"/>
      <c r="AH5" s="319"/>
      <c r="AI5" s="322"/>
      <c r="AJ5" s="322"/>
      <c r="AK5" s="322"/>
      <c r="AL5" s="324"/>
      <c r="AM5" s="326"/>
      <c r="AN5" s="322"/>
      <c r="AO5" s="322"/>
      <c r="AP5" s="310"/>
      <c r="AQ5" s="328"/>
      <c r="AR5" s="310"/>
      <c r="AS5" s="313"/>
      <c r="AT5" s="316"/>
      <c r="AU5" s="316"/>
      <c r="AV5" s="316"/>
      <c r="AW5" s="349"/>
      <c r="AX5" s="285"/>
      <c r="AY5" s="285"/>
      <c r="AZ5" s="288"/>
      <c r="BA5" s="290"/>
    </row>
    <row r="6" spans="1:53" ht="16" thickBot="1" x14ac:dyDescent="0.25">
      <c r="A6" s="238"/>
      <c r="B6" s="241"/>
      <c r="C6" s="241"/>
      <c r="D6" s="8" t="s">
        <v>32</v>
      </c>
      <c r="E6" s="9" t="s">
        <v>33</v>
      </c>
      <c r="F6" s="10" t="s">
        <v>32</v>
      </c>
      <c r="G6" s="9" t="s">
        <v>33</v>
      </c>
      <c r="H6" s="11" t="s">
        <v>32</v>
      </c>
      <c r="I6" s="12" t="s">
        <v>33</v>
      </c>
      <c r="J6" s="298"/>
      <c r="K6" s="301"/>
      <c r="L6" s="302"/>
      <c r="M6" s="305"/>
      <c r="N6" s="250"/>
      <c r="O6" s="250"/>
      <c r="P6" s="250"/>
      <c r="Q6" s="275"/>
      <c r="R6" s="13" t="s">
        <v>32</v>
      </c>
      <c r="S6" s="13" t="s">
        <v>34</v>
      </c>
      <c r="T6" s="14" t="s">
        <v>33</v>
      </c>
      <c r="U6" s="15" t="s">
        <v>32</v>
      </c>
      <c r="V6" s="15" t="s">
        <v>34</v>
      </c>
      <c r="W6" s="16" t="s">
        <v>33</v>
      </c>
      <c r="X6" s="355"/>
      <c r="Y6" s="332"/>
      <c r="Z6" s="17" t="s">
        <v>32</v>
      </c>
      <c r="AA6" s="18" t="s">
        <v>34</v>
      </c>
      <c r="AB6" s="19" t="s">
        <v>33</v>
      </c>
      <c r="AC6" s="20" t="s">
        <v>32</v>
      </c>
      <c r="AD6" s="20" t="s">
        <v>34</v>
      </c>
      <c r="AE6" s="341"/>
      <c r="AF6" s="344"/>
      <c r="AG6" s="21" t="s">
        <v>34</v>
      </c>
      <c r="AH6" s="320"/>
      <c r="AI6" s="22" t="s">
        <v>32</v>
      </c>
      <c r="AJ6" s="22" t="s">
        <v>34</v>
      </c>
      <c r="AK6" s="22" t="s">
        <v>33</v>
      </c>
      <c r="AL6" s="324"/>
      <c r="AM6" s="23" t="s">
        <v>33</v>
      </c>
      <c r="AN6" s="22" t="s">
        <v>32</v>
      </c>
      <c r="AO6" s="22" t="s">
        <v>34</v>
      </c>
      <c r="AP6" s="24" t="s">
        <v>33</v>
      </c>
      <c r="AQ6" s="329"/>
      <c r="AR6" s="311"/>
      <c r="AS6" s="314"/>
      <c r="AT6" s="317"/>
      <c r="AU6" s="317"/>
      <c r="AV6" s="317"/>
      <c r="AW6" s="350"/>
      <c r="AX6" s="286"/>
      <c r="AY6" s="286"/>
      <c r="AZ6" s="289"/>
      <c r="BA6" s="291"/>
    </row>
    <row r="7" spans="1:53" ht="16" thickBot="1" x14ac:dyDescent="0.25">
      <c r="A7" s="25">
        <v>0</v>
      </c>
      <c r="B7" s="26">
        <v>45017</v>
      </c>
      <c r="C7" s="27"/>
      <c r="D7" s="25"/>
      <c r="E7" s="28"/>
      <c r="F7" s="27"/>
      <c r="G7" s="28"/>
      <c r="H7" s="27"/>
      <c r="I7" s="28"/>
      <c r="J7" s="27">
        <v>0.8</v>
      </c>
      <c r="K7" s="29" t="s">
        <v>35</v>
      </c>
      <c r="L7" s="30" t="s">
        <v>36</v>
      </c>
      <c r="M7" s="31"/>
      <c r="N7" s="27"/>
      <c r="P7" s="32"/>
      <c r="Q7" s="25"/>
      <c r="R7" s="27"/>
      <c r="S7" s="27"/>
      <c r="T7" s="28"/>
      <c r="U7" s="27"/>
      <c r="V7" s="27"/>
      <c r="W7" s="28"/>
      <c r="X7" s="33"/>
      <c r="Y7" s="32"/>
      <c r="Z7" s="25"/>
      <c r="AA7" s="27"/>
      <c r="AB7" s="28"/>
      <c r="AC7" s="27"/>
      <c r="AD7" s="27"/>
      <c r="AE7" s="33"/>
      <c r="AG7" s="25"/>
      <c r="AH7" s="34"/>
      <c r="AI7" s="27"/>
      <c r="AJ7" s="27"/>
      <c r="AK7" s="27"/>
      <c r="AL7" s="25"/>
      <c r="AM7" s="35"/>
      <c r="AN7" s="27"/>
      <c r="AO7" s="27"/>
      <c r="AP7" s="36"/>
      <c r="AQ7" s="37"/>
      <c r="AR7" s="32"/>
      <c r="AS7" s="25"/>
      <c r="AT7" s="27"/>
      <c r="AU7" s="27"/>
      <c r="AW7" s="25"/>
      <c r="AX7" s="27"/>
      <c r="AY7" s="27"/>
      <c r="AZ7" s="32"/>
      <c r="BA7" s="38"/>
    </row>
    <row r="8" spans="1:53" ht="16" thickBot="1" x14ac:dyDescent="0.25">
      <c r="A8" s="25">
        <v>1</v>
      </c>
      <c r="B8" s="26">
        <v>45018</v>
      </c>
      <c r="C8" s="27" t="s">
        <v>117</v>
      </c>
      <c r="D8" s="25"/>
      <c r="E8" s="28"/>
      <c r="F8" s="27"/>
      <c r="G8" s="28"/>
      <c r="H8" s="27"/>
      <c r="I8" s="28"/>
      <c r="J8" s="27">
        <v>0.8</v>
      </c>
      <c r="K8" s="29" t="s">
        <v>35</v>
      </c>
      <c r="L8" s="39"/>
      <c r="M8" s="31"/>
      <c r="N8" s="27"/>
      <c r="P8" s="32"/>
      <c r="Q8" s="40"/>
      <c r="R8" s="27"/>
      <c r="S8" s="27"/>
      <c r="T8" s="28"/>
      <c r="U8" s="27"/>
      <c r="V8" s="27"/>
      <c r="W8" s="28"/>
      <c r="X8" s="33"/>
      <c r="Y8" s="32"/>
      <c r="Z8" s="25"/>
      <c r="AA8" s="27"/>
      <c r="AB8" s="28"/>
      <c r="AC8" s="27"/>
      <c r="AD8" s="27"/>
      <c r="AE8" s="33"/>
      <c r="AG8" s="25"/>
      <c r="AH8" s="34"/>
      <c r="AI8" s="27"/>
      <c r="AJ8" s="27"/>
      <c r="AK8" s="27"/>
      <c r="AL8" s="25"/>
      <c r="AM8" s="34"/>
      <c r="AN8" s="27"/>
      <c r="AO8" s="27"/>
      <c r="AP8" s="36"/>
      <c r="AQ8" s="37"/>
      <c r="AR8" s="32"/>
      <c r="AS8" s="25"/>
      <c r="AT8" s="27"/>
      <c r="AU8" s="27"/>
      <c r="AW8" s="25"/>
      <c r="AX8" s="27"/>
      <c r="AY8" s="27"/>
      <c r="AZ8" s="32"/>
      <c r="BA8" s="41"/>
    </row>
    <row r="9" spans="1:53" ht="16" thickBot="1" x14ac:dyDescent="0.25">
      <c r="A9" s="25">
        <v>2</v>
      </c>
      <c r="B9" s="26">
        <v>45019</v>
      </c>
      <c r="C9" s="27" t="s">
        <v>117</v>
      </c>
      <c r="D9" s="25"/>
      <c r="E9" s="28"/>
      <c r="F9" s="27"/>
      <c r="G9" s="28"/>
      <c r="H9" s="27"/>
      <c r="I9" s="28"/>
      <c r="J9" s="27">
        <v>0.8</v>
      </c>
      <c r="K9" s="29" t="s">
        <v>35</v>
      </c>
      <c r="L9" s="39"/>
      <c r="M9" s="31"/>
      <c r="N9" s="27"/>
      <c r="O9" s="42"/>
      <c r="Q9" s="43" t="s">
        <v>37</v>
      </c>
      <c r="R9" s="27"/>
      <c r="S9" s="27"/>
      <c r="T9" s="28"/>
      <c r="U9" s="27"/>
      <c r="V9" s="27"/>
      <c r="W9" s="28"/>
      <c r="X9" s="33"/>
      <c r="Y9" s="32"/>
      <c r="Z9" s="25"/>
      <c r="AA9" s="27"/>
      <c r="AB9" s="28"/>
      <c r="AC9" s="27"/>
      <c r="AD9" s="27"/>
      <c r="AE9" s="33"/>
      <c r="AG9" s="25"/>
      <c r="AH9" s="34"/>
      <c r="AI9" s="27"/>
      <c r="AJ9" s="27"/>
      <c r="AK9" s="27"/>
      <c r="AL9" s="25"/>
      <c r="AM9" s="34"/>
      <c r="AN9" s="27"/>
      <c r="AO9" s="27"/>
      <c r="AP9" s="36"/>
      <c r="AQ9" s="37"/>
      <c r="AR9" s="32"/>
      <c r="AS9" s="25"/>
      <c r="AT9" s="27"/>
      <c r="AU9" s="27"/>
      <c r="AW9" s="25"/>
      <c r="AX9" s="27"/>
      <c r="AY9" s="27"/>
      <c r="AZ9" s="32"/>
      <c r="BA9" s="41"/>
    </row>
    <row r="10" spans="1:53" ht="16" thickBot="1" x14ac:dyDescent="0.25">
      <c r="A10" s="25">
        <v>3</v>
      </c>
      <c r="B10" s="26">
        <v>45020</v>
      </c>
      <c r="C10" s="27" t="s">
        <v>117</v>
      </c>
      <c r="D10" s="25"/>
      <c r="E10" s="28"/>
      <c r="F10" s="27"/>
      <c r="G10" s="28"/>
      <c r="H10" s="27"/>
      <c r="I10" s="28"/>
      <c r="J10" s="27">
        <v>1.2</v>
      </c>
      <c r="K10" s="29" t="s">
        <v>35</v>
      </c>
      <c r="L10" s="44" t="s">
        <v>38</v>
      </c>
      <c r="M10" s="31" t="s">
        <v>39</v>
      </c>
      <c r="N10" s="27" t="s">
        <v>40</v>
      </c>
      <c r="O10" s="45" t="s">
        <v>41</v>
      </c>
      <c r="P10" s="46"/>
      <c r="Q10" s="25"/>
      <c r="R10" s="27"/>
      <c r="S10" s="27"/>
      <c r="T10" s="28"/>
      <c r="U10" s="27" t="s">
        <v>158</v>
      </c>
      <c r="V10" s="27"/>
      <c r="W10" s="28" t="s">
        <v>158</v>
      </c>
      <c r="X10" s="47" t="s">
        <v>43</v>
      </c>
      <c r="Y10" s="32" t="s">
        <v>44</v>
      </c>
      <c r="Z10" s="25"/>
      <c r="AA10" s="27"/>
      <c r="AB10" s="28"/>
      <c r="AC10" s="27">
        <v>5</v>
      </c>
      <c r="AD10" s="27"/>
      <c r="AE10" s="48" t="s">
        <v>45</v>
      </c>
      <c r="AG10" s="25"/>
      <c r="AH10" s="34"/>
      <c r="AI10" s="27"/>
      <c r="AJ10" s="27"/>
      <c r="AK10" s="27"/>
      <c r="AL10" s="25"/>
      <c r="AM10" s="34"/>
      <c r="AN10" s="27"/>
      <c r="AO10" s="27"/>
      <c r="AP10" s="36"/>
      <c r="AQ10" s="37"/>
      <c r="AR10" s="32"/>
      <c r="AS10" s="25"/>
      <c r="AT10" s="27"/>
      <c r="AU10" s="27"/>
      <c r="AW10" s="25"/>
      <c r="AX10" s="27"/>
      <c r="AY10" s="27"/>
      <c r="AZ10" s="32"/>
      <c r="BA10" s="41"/>
    </row>
    <row r="11" spans="1:53" x14ac:dyDescent="0.2">
      <c r="A11" s="25">
        <v>4</v>
      </c>
      <c r="B11" s="26">
        <v>45021</v>
      </c>
      <c r="C11" s="27" t="s">
        <v>117</v>
      </c>
      <c r="D11" s="25"/>
      <c r="E11" s="28"/>
      <c r="F11" s="27"/>
      <c r="G11" s="28"/>
      <c r="H11" s="27"/>
      <c r="I11" s="28"/>
      <c r="J11" s="27">
        <v>1.2</v>
      </c>
      <c r="K11" s="29" t="s">
        <v>35</v>
      </c>
      <c r="L11" s="39"/>
      <c r="M11" s="31"/>
      <c r="N11" s="27" t="s">
        <v>40</v>
      </c>
      <c r="O11" t="s">
        <v>46</v>
      </c>
      <c r="P11" s="32"/>
      <c r="Q11" s="25"/>
      <c r="R11" s="27"/>
      <c r="S11" s="27"/>
      <c r="T11" s="28"/>
      <c r="U11" s="27" t="s">
        <v>158</v>
      </c>
      <c r="V11" s="27"/>
      <c r="W11" s="28" t="s">
        <v>158</v>
      </c>
      <c r="X11" s="345" t="s">
        <v>47</v>
      </c>
      <c r="Y11" s="32"/>
      <c r="Z11" s="25"/>
      <c r="AA11" s="27"/>
      <c r="AB11" s="28"/>
      <c r="AC11" s="27">
        <v>5</v>
      </c>
      <c r="AD11" s="27"/>
      <c r="AE11" s="33"/>
      <c r="AG11" s="25"/>
      <c r="AH11" s="34"/>
      <c r="AI11" s="27"/>
      <c r="AJ11" s="27"/>
      <c r="AK11" s="27"/>
      <c r="AL11" s="25"/>
      <c r="AM11" s="34"/>
      <c r="AN11" s="27"/>
      <c r="AO11" s="27"/>
      <c r="AP11" s="36"/>
      <c r="AQ11" s="37"/>
      <c r="AR11" s="32"/>
      <c r="AS11" s="25"/>
      <c r="AT11" s="27"/>
      <c r="AU11" s="27"/>
      <c r="AW11" s="25"/>
      <c r="AX11" s="27"/>
      <c r="AY11" s="27"/>
      <c r="AZ11" s="32"/>
      <c r="BA11" s="41"/>
    </row>
    <row r="12" spans="1:53" x14ac:dyDescent="0.2">
      <c r="A12" s="25">
        <v>5</v>
      </c>
      <c r="B12" s="26">
        <v>45022</v>
      </c>
      <c r="C12" s="27" t="s">
        <v>117</v>
      </c>
      <c r="D12" s="25"/>
      <c r="E12" s="28"/>
      <c r="F12" s="27"/>
      <c r="G12" s="28"/>
      <c r="H12" s="27"/>
      <c r="I12" s="28"/>
      <c r="J12" s="27">
        <v>1.2</v>
      </c>
      <c r="K12" s="29" t="s">
        <v>35</v>
      </c>
      <c r="L12" s="39"/>
      <c r="M12" s="31"/>
      <c r="N12" s="27" t="s">
        <v>40</v>
      </c>
      <c r="P12" s="32"/>
      <c r="Q12" s="25"/>
      <c r="R12" s="27"/>
      <c r="S12" s="27"/>
      <c r="T12" s="28"/>
      <c r="U12" s="27" t="s">
        <v>158</v>
      </c>
      <c r="V12" s="27"/>
      <c r="W12" s="28" t="s">
        <v>158</v>
      </c>
      <c r="X12" s="346"/>
      <c r="Y12" s="32"/>
      <c r="Z12" s="25"/>
      <c r="AA12" s="27"/>
      <c r="AB12" s="28"/>
      <c r="AC12" s="27">
        <v>5</v>
      </c>
      <c r="AD12" s="27"/>
      <c r="AE12" s="33"/>
      <c r="AG12" s="25"/>
      <c r="AH12" s="34"/>
      <c r="AI12" s="27"/>
      <c r="AJ12" s="27"/>
      <c r="AK12" s="27"/>
      <c r="AL12" s="25"/>
      <c r="AM12" s="34"/>
      <c r="AN12" s="27"/>
      <c r="AO12" s="27"/>
      <c r="AP12" s="36"/>
      <c r="AQ12" s="37"/>
      <c r="AR12" s="32"/>
      <c r="AS12" s="25"/>
      <c r="AT12" s="27"/>
      <c r="AU12" s="27"/>
      <c r="AW12" s="25"/>
      <c r="AX12" s="27"/>
      <c r="AY12" s="27"/>
      <c r="AZ12" s="32"/>
      <c r="BA12" s="41"/>
    </row>
    <row r="13" spans="1:53" x14ac:dyDescent="0.2">
      <c r="A13" s="25">
        <v>6</v>
      </c>
      <c r="B13" s="26">
        <v>45023</v>
      </c>
      <c r="C13" s="27"/>
      <c r="D13" s="25"/>
      <c r="E13" s="28"/>
      <c r="F13" s="27"/>
      <c r="G13" s="28"/>
      <c r="H13" s="27"/>
      <c r="I13" s="28"/>
      <c r="J13" s="27">
        <v>1.2</v>
      </c>
      <c r="K13" s="29" t="s">
        <v>35</v>
      </c>
      <c r="L13" s="39"/>
      <c r="M13" s="31"/>
      <c r="N13" s="27" t="s">
        <v>40</v>
      </c>
      <c r="P13" s="32"/>
      <c r="Q13" s="25"/>
      <c r="R13" s="27"/>
      <c r="S13" s="27"/>
      <c r="T13" s="28"/>
      <c r="U13" s="27" t="s">
        <v>158</v>
      </c>
      <c r="V13" s="27"/>
      <c r="W13" s="28" t="s">
        <v>158</v>
      </c>
      <c r="X13" s="346"/>
      <c r="Y13" s="32"/>
      <c r="Z13" s="25"/>
      <c r="AA13" s="27"/>
      <c r="AB13" s="28"/>
      <c r="AC13" s="27">
        <v>5</v>
      </c>
      <c r="AD13" s="27"/>
      <c r="AE13" s="33"/>
      <c r="AG13" s="25"/>
      <c r="AH13" s="34"/>
      <c r="AI13" s="27"/>
      <c r="AJ13" s="27"/>
      <c r="AK13" s="27"/>
      <c r="AL13" s="25"/>
      <c r="AM13" s="34"/>
      <c r="AN13" s="27"/>
      <c r="AO13" s="27"/>
      <c r="AP13" s="36"/>
      <c r="AQ13" s="37"/>
      <c r="AR13" s="32"/>
      <c r="AS13" s="25"/>
      <c r="AT13" s="27"/>
      <c r="AU13" s="27"/>
      <c r="AW13" s="25"/>
      <c r="AX13" s="27"/>
      <c r="AY13" s="27"/>
      <c r="AZ13" s="32"/>
      <c r="BA13" s="41"/>
    </row>
    <row r="14" spans="1:53" x14ac:dyDescent="0.2">
      <c r="A14" s="25">
        <v>7</v>
      </c>
      <c r="B14" s="26">
        <v>45024</v>
      </c>
      <c r="C14" s="27"/>
      <c r="D14" s="25"/>
      <c r="E14" s="28"/>
      <c r="F14" s="27"/>
      <c r="G14" s="28"/>
      <c r="H14" s="27"/>
      <c r="I14" s="28"/>
      <c r="J14" s="27">
        <v>1.2</v>
      </c>
      <c r="K14" s="29" t="s">
        <v>35</v>
      </c>
      <c r="L14" s="39"/>
      <c r="M14" s="31"/>
      <c r="N14" s="27" t="s">
        <v>40</v>
      </c>
      <c r="P14" s="32"/>
      <c r="Q14" s="25"/>
      <c r="R14" s="27"/>
      <c r="S14" s="27"/>
      <c r="T14" s="28"/>
      <c r="U14" s="27" t="s">
        <v>158</v>
      </c>
      <c r="V14" s="27"/>
      <c r="W14" s="28" t="s">
        <v>158</v>
      </c>
      <c r="X14" s="346"/>
      <c r="Y14" s="32"/>
      <c r="Z14" s="25"/>
      <c r="AA14" s="27"/>
      <c r="AB14" s="28"/>
      <c r="AC14" s="27">
        <v>5</v>
      </c>
      <c r="AD14" s="27"/>
      <c r="AE14" s="33"/>
      <c r="AG14" s="25"/>
      <c r="AH14" s="34"/>
      <c r="AI14" s="27"/>
      <c r="AJ14" s="27"/>
      <c r="AK14" s="27"/>
      <c r="AL14" s="25"/>
      <c r="AM14" s="34"/>
      <c r="AN14" s="27"/>
      <c r="AO14" s="27"/>
      <c r="AP14" s="36"/>
      <c r="AQ14" s="37"/>
      <c r="AR14" s="32"/>
      <c r="AS14" s="25"/>
      <c r="AT14" s="27"/>
      <c r="AU14" s="27"/>
      <c r="AW14" s="25"/>
      <c r="AX14" s="27"/>
      <c r="AY14" s="27"/>
      <c r="AZ14" s="32"/>
      <c r="BA14" s="41"/>
    </row>
    <row r="15" spans="1:53" x14ac:dyDescent="0.2">
      <c r="A15" s="25">
        <v>8</v>
      </c>
      <c r="B15" s="26">
        <v>45025</v>
      </c>
      <c r="C15" s="27" t="s">
        <v>117</v>
      </c>
      <c r="D15" s="25"/>
      <c r="E15" s="28"/>
      <c r="F15" s="27"/>
      <c r="G15" s="28"/>
      <c r="H15" s="27"/>
      <c r="I15" s="28"/>
      <c r="J15" s="27">
        <v>1.2</v>
      </c>
      <c r="K15" s="29" t="s">
        <v>35</v>
      </c>
      <c r="L15" s="39"/>
      <c r="M15" s="31"/>
      <c r="N15" s="27" t="s">
        <v>40</v>
      </c>
      <c r="P15" s="32"/>
      <c r="Q15" s="25"/>
      <c r="R15" s="27"/>
      <c r="S15" s="27"/>
      <c r="T15" s="28"/>
      <c r="U15" s="27" t="s">
        <v>158</v>
      </c>
      <c r="V15" s="27"/>
      <c r="W15" s="28" t="s">
        <v>158</v>
      </c>
      <c r="X15" s="346"/>
      <c r="Y15" s="32"/>
      <c r="Z15" s="25"/>
      <c r="AA15" s="27"/>
      <c r="AB15" s="28"/>
      <c r="AC15" s="27">
        <v>10</v>
      </c>
      <c r="AD15" s="27"/>
      <c r="AE15" s="33"/>
      <c r="AG15" s="25"/>
      <c r="AH15" s="34"/>
      <c r="AI15" s="27"/>
      <c r="AJ15" s="27"/>
      <c r="AK15" s="27"/>
      <c r="AL15" s="25"/>
      <c r="AM15" s="34"/>
      <c r="AN15" s="27"/>
      <c r="AO15" s="27"/>
      <c r="AP15" s="36"/>
      <c r="AQ15" s="37"/>
      <c r="AR15" s="32"/>
      <c r="AS15" s="25"/>
      <c r="AT15" s="27"/>
      <c r="AU15" s="27"/>
      <c r="AW15" s="25"/>
      <c r="AX15" s="27"/>
      <c r="AY15" s="27"/>
      <c r="AZ15" s="32"/>
      <c r="BA15" s="41"/>
    </row>
    <row r="16" spans="1:53" ht="16" thickBot="1" x14ac:dyDescent="0.25">
      <c r="A16" s="25">
        <v>9</v>
      </c>
      <c r="B16" s="26">
        <v>45026</v>
      </c>
      <c r="C16" s="27" t="s">
        <v>117</v>
      </c>
      <c r="D16" s="25"/>
      <c r="E16" s="28"/>
      <c r="F16" s="27"/>
      <c r="G16" s="28"/>
      <c r="H16" s="27"/>
      <c r="I16" s="28"/>
      <c r="J16" s="27">
        <v>1.2</v>
      </c>
      <c r="K16" s="29" t="s">
        <v>35</v>
      </c>
      <c r="L16" s="39"/>
      <c r="M16" s="31"/>
      <c r="N16" s="27" t="s">
        <v>40</v>
      </c>
      <c r="P16" s="32"/>
      <c r="Q16" s="25"/>
      <c r="R16" s="27"/>
      <c r="S16" s="27"/>
      <c r="T16" s="28"/>
      <c r="U16" s="27" t="s">
        <v>158</v>
      </c>
      <c r="V16" s="27"/>
      <c r="W16" s="28" t="s">
        <v>158</v>
      </c>
      <c r="X16" s="346"/>
      <c r="Y16" s="32"/>
      <c r="Z16" s="25"/>
      <c r="AA16" s="27"/>
      <c r="AB16" s="28"/>
      <c r="AC16" s="27">
        <v>10</v>
      </c>
      <c r="AD16" s="27"/>
      <c r="AE16" s="33"/>
      <c r="AG16" s="25"/>
      <c r="AH16" s="34"/>
      <c r="AI16" s="27"/>
      <c r="AJ16" s="27"/>
      <c r="AK16" s="27"/>
      <c r="AL16" s="25"/>
      <c r="AM16" s="34"/>
      <c r="AN16" s="27"/>
      <c r="AO16" s="27"/>
      <c r="AP16" s="36"/>
      <c r="AQ16" s="37"/>
      <c r="AR16" s="32"/>
      <c r="AS16" s="25"/>
      <c r="AT16" s="27"/>
      <c r="AU16" s="27"/>
      <c r="AW16" s="25"/>
      <c r="AX16" s="27"/>
      <c r="AY16" s="27"/>
      <c r="AZ16" s="32"/>
      <c r="BA16" s="41"/>
    </row>
    <row r="17" spans="1:53" ht="16" thickBot="1" x14ac:dyDescent="0.25">
      <c r="A17" s="25">
        <v>10</v>
      </c>
      <c r="B17" s="26">
        <v>45027</v>
      </c>
      <c r="C17" s="27" t="s">
        <v>117</v>
      </c>
      <c r="D17" s="25"/>
      <c r="E17" s="28"/>
      <c r="F17" s="27"/>
      <c r="G17" s="28"/>
      <c r="H17" s="27"/>
      <c r="I17" s="28"/>
      <c r="J17" s="27">
        <v>1.2</v>
      </c>
      <c r="K17" s="29" t="s">
        <v>35</v>
      </c>
      <c r="L17" s="39"/>
      <c r="M17" s="31"/>
      <c r="N17" s="27" t="s">
        <v>40</v>
      </c>
      <c r="O17" s="49"/>
      <c r="P17" s="32"/>
      <c r="Q17" s="25"/>
      <c r="R17" s="27"/>
      <c r="S17" s="27"/>
      <c r="T17" s="28"/>
      <c r="U17" s="27" t="s">
        <v>158</v>
      </c>
      <c r="V17" s="27"/>
      <c r="W17" s="28" t="s">
        <v>158</v>
      </c>
      <c r="X17" s="346"/>
      <c r="Y17" s="32"/>
      <c r="Z17" s="25"/>
      <c r="AA17" s="27"/>
      <c r="AB17" s="28"/>
      <c r="AC17" s="27">
        <v>15</v>
      </c>
      <c r="AD17" s="27"/>
      <c r="AE17" s="50"/>
      <c r="AF17" s="51"/>
      <c r="AG17" s="25"/>
      <c r="AH17" s="34"/>
      <c r="AI17" s="27"/>
      <c r="AJ17" s="27"/>
      <c r="AK17" s="27"/>
      <c r="AL17" s="25"/>
      <c r="AM17" s="34"/>
      <c r="AN17" s="27"/>
      <c r="AO17" s="27"/>
      <c r="AP17" s="36"/>
      <c r="AQ17" s="37"/>
      <c r="AR17" s="32"/>
      <c r="AS17" s="25"/>
      <c r="AT17" s="27"/>
      <c r="AU17" s="27"/>
      <c r="AW17" s="25"/>
      <c r="AX17" s="27"/>
      <c r="AY17" s="27"/>
      <c r="AZ17" s="32"/>
      <c r="BA17" s="41"/>
    </row>
    <row r="18" spans="1:53" ht="16" thickBot="1" x14ac:dyDescent="0.25">
      <c r="A18" s="25">
        <v>11</v>
      </c>
      <c r="B18" s="26">
        <v>45028</v>
      </c>
      <c r="C18" s="27" t="s">
        <v>117</v>
      </c>
      <c r="D18" s="25"/>
      <c r="E18" s="28"/>
      <c r="F18" s="27"/>
      <c r="G18" s="28"/>
      <c r="H18" s="27"/>
      <c r="I18" s="28"/>
      <c r="J18" s="27">
        <v>1.2</v>
      </c>
      <c r="K18" s="29" t="s">
        <v>35</v>
      </c>
      <c r="L18" s="52"/>
      <c r="M18" s="31"/>
      <c r="N18" s="27" t="s">
        <v>40</v>
      </c>
      <c r="P18" s="32"/>
      <c r="Q18" s="25"/>
      <c r="R18" s="27"/>
      <c r="S18" s="27"/>
      <c r="T18" s="28"/>
      <c r="U18" s="27" t="s">
        <v>158</v>
      </c>
      <c r="V18" s="27"/>
      <c r="W18" s="28" t="s">
        <v>158</v>
      </c>
      <c r="X18" s="347"/>
      <c r="Y18" s="32"/>
      <c r="Z18" s="25"/>
      <c r="AA18" s="27"/>
      <c r="AB18" s="28"/>
      <c r="AC18" s="27">
        <v>15</v>
      </c>
      <c r="AD18" s="27"/>
      <c r="AE18" s="33"/>
      <c r="AF18" s="46"/>
      <c r="AG18" s="25"/>
      <c r="AH18" s="34"/>
      <c r="AI18" s="27"/>
      <c r="AJ18" s="27"/>
      <c r="AK18" s="27"/>
      <c r="AL18" s="25"/>
      <c r="AM18" s="34"/>
      <c r="AN18" s="27"/>
      <c r="AO18" s="27"/>
      <c r="AP18" s="36"/>
      <c r="AQ18" s="37"/>
      <c r="AR18" s="32"/>
      <c r="AS18" s="25"/>
      <c r="AT18" s="27"/>
      <c r="AU18" s="27"/>
      <c r="AW18" s="25"/>
      <c r="AX18" s="27"/>
      <c r="AY18" s="27"/>
      <c r="AZ18" s="32"/>
      <c r="BA18" s="41"/>
    </row>
    <row r="19" spans="1:53" ht="16" thickBot="1" x14ac:dyDescent="0.25">
      <c r="A19" s="25">
        <v>12</v>
      </c>
      <c r="B19" s="26">
        <v>45029</v>
      </c>
      <c r="C19" s="27" t="s">
        <v>117</v>
      </c>
      <c r="D19" s="25"/>
      <c r="E19" s="28"/>
      <c r="F19" s="27"/>
      <c r="G19" s="28"/>
      <c r="H19" s="27"/>
      <c r="I19" s="28"/>
      <c r="J19" s="27">
        <v>1.2</v>
      </c>
      <c r="K19" s="29" t="s">
        <v>35</v>
      </c>
      <c r="L19" s="53"/>
      <c r="M19" s="31"/>
      <c r="N19" s="27" t="s">
        <v>40</v>
      </c>
      <c r="P19" s="32"/>
      <c r="Q19" s="25"/>
      <c r="R19" s="27"/>
      <c r="S19" s="27"/>
      <c r="T19" s="28"/>
      <c r="U19" s="27" t="s">
        <v>42</v>
      </c>
      <c r="V19" s="27"/>
      <c r="W19" s="28" t="s">
        <v>42</v>
      </c>
      <c r="X19" s="54" t="s">
        <v>49</v>
      </c>
      <c r="Y19" s="32"/>
      <c r="Z19" s="25"/>
      <c r="AA19" s="27"/>
      <c r="AB19" s="28"/>
      <c r="AC19" s="27">
        <v>15</v>
      </c>
      <c r="AD19" s="27"/>
      <c r="AE19" s="33"/>
      <c r="AG19" s="25"/>
      <c r="AH19" s="34"/>
      <c r="AI19" s="27"/>
      <c r="AJ19" s="27"/>
      <c r="AK19" s="27"/>
      <c r="AL19" s="25"/>
      <c r="AM19" s="34"/>
      <c r="AN19" s="27"/>
      <c r="AO19" s="27"/>
      <c r="AP19" s="36"/>
      <c r="AQ19" s="37"/>
      <c r="AR19" s="32"/>
      <c r="AS19" s="25"/>
      <c r="AT19" s="27"/>
      <c r="AU19" s="27"/>
      <c r="AW19" s="25"/>
      <c r="AX19" s="27"/>
      <c r="AY19" s="27"/>
      <c r="AZ19" s="32"/>
      <c r="BA19" s="41"/>
    </row>
    <row r="20" spans="1:53" ht="16" thickBot="1" x14ac:dyDescent="0.25">
      <c r="A20" s="25">
        <v>13</v>
      </c>
      <c r="B20" s="26">
        <v>45030</v>
      </c>
      <c r="C20" s="27" t="s">
        <v>117</v>
      </c>
      <c r="D20" s="25"/>
      <c r="E20" s="28"/>
      <c r="F20" s="27"/>
      <c r="G20" s="28"/>
      <c r="H20" s="27"/>
      <c r="I20" s="28"/>
      <c r="J20" s="27">
        <v>1.2</v>
      </c>
      <c r="K20" s="29" t="s">
        <v>35</v>
      </c>
      <c r="L20" s="39"/>
      <c r="M20" s="31"/>
      <c r="N20" s="27" t="s">
        <v>40</v>
      </c>
      <c r="P20" s="32"/>
      <c r="Q20" s="25"/>
      <c r="R20" s="27"/>
      <c r="S20" s="27"/>
      <c r="T20" s="28"/>
      <c r="U20" s="27" t="s">
        <v>42</v>
      </c>
      <c r="V20" s="27"/>
      <c r="W20" s="28" t="s">
        <v>42</v>
      </c>
      <c r="X20" s="33">
        <v>1</v>
      </c>
      <c r="Y20" s="32"/>
      <c r="Z20" s="55"/>
      <c r="AA20" s="56"/>
      <c r="AB20" s="57"/>
      <c r="AC20" s="27">
        <v>15</v>
      </c>
      <c r="AD20" s="27"/>
      <c r="AE20" s="33"/>
      <c r="AG20" s="25"/>
      <c r="AH20" s="34"/>
      <c r="AI20" s="27"/>
      <c r="AJ20" s="27"/>
      <c r="AK20" s="27"/>
      <c r="AL20" s="25"/>
      <c r="AM20" s="34"/>
      <c r="AN20" s="27"/>
      <c r="AO20" s="27"/>
      <c r="AP20" s="36"/>
      <c r="AQ20" s="37"/>
      <c r="AR20" s="32"/>
      <c r="AS20" s="25" t="s">
        <v>51</v>
      </c>
      <c r="AT20" s="27" t="s">
        <v>52</v>
      </c>
      <c r="AU20" s="58" t="s">
        <v>53</v>
      </c>
      <c r="AW20" s="25"/>
      <c r="AX20" s="27"/>
      <c r="AY20" s="27"/>
      <c r="AZ20" s="32"/>
      <c r="BA20" s="41"/>
    </row>
    <row r="21" spans="1:53" ht="16" thickBot="1" x14ac:dyDescent="0.25">
      <c r="A21" s="25">
        <v>14</v>
      </c>
      <c r="B21" s="26">
        <v>45031</v>
      </c>
      <c r="C21" s="27" t="s">
        <v>117</v>
      </c>
      <c r="D21" s="25"/>
      <c r="E21" s="28"/>
      <c r="F21" s="27"/>
      <c r="G21" s="28"/>
      <c r="H21" s="27"/>
      <c r="I21" s="28"/>
      <c r="J21" s="27">
        <v>1.2</v>
      </c>
      <c r="K21" s="29" t="s">
        <v>35</v>
      </c>
      <c r="L21" s="39"/>
      <c r="M21" s="31"/>
      <c r="N21" s="27" t="s">
        <v>40</v>
      </c>
      <c r="P21" s="32"/>
      <c r="Q21" s="25"/>
      <c r="R21" s="27"/>
      <c r="S21" s="27"/>
      <c r="T21" s="28"/>
      <c r="U21" s="27" t="s">
        <v>42</v>
      </c>
      <c r="V21" s="27"/>
      <c r="W21" s="28" t="s">
        <v>42</v>
      </c>
      <c r="X21" s="33"/>
      <c r="Y21" s="32"/>
      <c r="Z21" s="59"/>
      <c r="AA21" s="60"/>
      <c r="AB21" s="61"/>
      <c r="AC21" s="27">
        <v>15</v>
      </c>
      <c r="AD21" s="27"/>
      <c r="AE21" s="33"/>
      <c r="AG21" s="25"/>
      <c r="AH21" s="34"/>
      <c r="AI21" s="27"/>
      <c r="AJ21" s="27"/>
      <c r="AK21" s="27"/>
      <c r="AL21" s="25"/>
      <c r="AM21" s="34"/>
      <c r="AN21" s="27"/>
      <c r="AO21" s="27"/>
      <c r="AP21" s="36"/>
      <c r="AQ21" s="37"/>
      <c r="AR21" s="32"/>
      <c r="AS21" s="25" t="s">
        <v>51</v>
      </c>
      <c r="AT21" s="27" t="s">
        <v>52</v>
      </c>
      <c r="AW21" s="25"/>
      <c r="AX21" s="27"/>
      <c r="AY21" s="27"/>
      <c r="AZ21" s="32"/>
      <c r="BA21" s="62"/>
    </row>
    <row r="22" spans="1:53" ht="16" thickBot="1" x14ac:dyDescent="0.25">
      <c r="A22" s="25">
        <v>15</v>
      </c>
      <c r="B22" s="26">
        <v>45032</v>
      </c>
      <c r="C22" s="27" t="s">
        <v>117</v>
      </c>
      <c r="D22" s="25"/>
      <c r="E22" s="28"/>
      <c r="F22" s="27"/>
      <c r="G22" s="28"/>
      <c r="H22" s="27"/>
      <c r="I22" s="28"/>
      <c r="J22" s="27">
        <v>1.2</v>
      </c>
      <c r="K22" s="29" t="s">
        <v>35</v>
      </c>
      <c r="L22" s="39"/>
      <c r="M22" s="31"/>
      <c r="N22" s="27" t="s">
        <v>40</v>
      </c>
      <c r="P22" s="32"/>
      <c r="Q22" s="25"/>
      <c r="R22" s="27"/>
      <c r="S22" s="27"/>
      <c r="T22" s="28"/>
      <c r="U22" s="27" t="s">
        <v>42</v>
      </c>
      <c r="V22" s="27"/>
      <c r="W22" s="28" t="s">
        <v>42</v>
      </c>
      <c r="X22" s="33"/>
      <c r="Y22" s="32"/>
      <c r="Z22" s="25"/>
      <c r="AA22" s="27"/>
      <c r="AB22" s="28"/>
      <c r="AC22" s="27">
        <v>15</v>
      </c>
      <c r="AD22" s="27"/>
      <c r="AE22" s="33"/>
      <c r="AG22" s="25"/>
      <c r="AH22" s="34"/>
      <c r="AI22" s="27"/>
      <c r="AJ22" s="27"/>
      <c r="AK22" s="27"/>
      <c r="AL22" s="25"/>
      <c r="AM22" s="34"/>
      <c r="AN22" s="27"/>
      <c r="AO22" s="27"/>
      <c r="AP22" s="36"/>
      <c r="AQ22" s="37"/>
      <c r="AR22" s="46"/>
      <c r="AS22" s="25" t="s">
        <v>57</v>
      </c>
      <c r="AT22" s="27" t="s">
        <v>52</v>
      </c>
      <c r="AU22" s="58" t="s">
        <v>58</v>
      </c>
      <c r="AW22" s="25"/>
      <c r="AX22" s="27"/>
      <c r="AY22" s="27"/>
      <c r="AZ22" s="32"/>
      <c r="BA22" s="41"/>
    </row>
    <row r="23" spans="1:53" ht="16" thickBot="1" x14ac:dyDescent="0.25">
      <c r="A23" s="25">
        <v>16</v>
      </c>
      <c r="B23" s="26">
        <v>45033</v>
      </c>
      <c r="C23" s="27" t="s">
        <v>117</v>
      </c>
      <c r="D23" s="25"/>
      <c r="E23" s="28"/>
      <c r="F23" s="27"/>
      <c r="G23" s="28"/>
      <c r="H23" s="27"/>
      <c r="I23" s="28"/>
      <c r="J23" s="27">
        <v>1.2</v>
      </c>
      <c r="K23" s="29" t="s">
        <v>35</v>
      </c>
      <c r="L23" s="44" t="s">
        <v>59</v>
      </c>
      <c r="M23" s="31"/>
      <c r="N23" s="27" t="s">
        <v>40</v>
      </c>
      <c r="P23" s="32"/>
      <c r="Q23" s="25"/>
      <c r="R23" s="27"/>
      <c r="S23" s="27"/>
      <c r="T23" s="28"/>
      <c r="U23" s="27" t="s">
        <v>42</v>
      </c>
      <c r="V23" s="27"/>
      <c r="W23" s="28" t="s">
        <v>42</v>
      </c>
      <c r="X23" s="63" t="s">
        <v>60</v>
      </c>
      <c r="Y23" s="46" t="s">
        <v>61</v>
      </c>
      <c r="AB23" s="28"/>
      <c r="AC23" s="27">
        <v>15</v>
      </c>
      <c r="AD23" s="27"/>
      <c r="AE23" s="33"/>
      <c r="AG23" s="25"/>
      <c r="AH23" s="34"/>
      <c r="AI23" s="27"/>
      <c r="AJ23" s="27"/>
      <c r="AK23" s="27"/>
      <c r="AL23" s="25"/>
      <c r="AM23" s="34"/>
      <c r="AN23" s="27"/>
      <c r="AO23" s="27"/>
      <c r="AP23" s="36"/>
      <c r="AQ23" s="64"/>
      <c r="AR23" s="65"/>
      <c r="AS23" s="25" t="s">
        <v>57</v>
      </c>
      <c r="AT23" s="27" t="s">
        <v>52</v>
      </c>
      <c r="AU23" s="27"/>
      <c r="AW23" s="25"/>
      <c r="AX23" s="27"/>
      <c r="AY23" s="27"/>
      <c r="AZ23" s="32"/>
      <c r="BA23" s="41"/>
    </row>
    <row r="24" spans="1:53" x14ac:dyDescent="0.2">
      <c r="A24" s="25">
        <v>17</v>
      </c>
      <c r="B24" s="26">
        <v>45034</v>
      </c>
      <c r="C24" s="27" t="s">
        <v>117</v>
      </c>
      <c r="D24" s="25"/>
      <c r="E24" s="28"/>
      <c r="F24" s="27"/>
      <c r="G24" s="28"/>
      <c r="H24" s="27"/>
      <c r="I24" s="28"/>
      <c r="J24" s="27">
        <v>1.2</v>
      </c>
      <c r="K24" s="29" t="s">
        <v>35</v>
      </c>
      <c r="L24" s="39"/>
      <c r="M24" s="31"/>
      <c r="N24" s="27" t="s">
        <v>40</v>
      </c>
      <c r="P24" s="32"/>
      <c r="Q24" s="25"/>
      <c r="R24" s="27"/>
      <c r="S24" s="27"/>
      <c r="T24" s="28"/>
      <c r="V24" s="27" t="s">
        <v>159</v>
      </c>
      <c r="W24" s="28"/>
      <c r="X24" s="33"/>
      <c r="Y24" s="32"/>
      <c r="Z24" s="25"/>
      <c r="AA24" s="27"/>
      <c r="AB24" s="28"/>
      <c r="AC24" s="27">
        <v>15</v>
      </c>
      <c r="AD24" s="27"/>
      <c r="AE24" s="33"/>
      <c r="AG24" s="25"/>
      <c r="AH24" s="34"/>
      <c r="AI24" s="27"/>
      <c r="AJ24" s="27"/>
      <c r="AK24" s="27"/>
      <c r="AL24" s="25"/>
      <c r="AM24" s="34"/>
      <c r="AN24" s="27"/>
      <c r="AO24" s="27"/>
      <c r="AP24" s="36"/>
      <c r="AQ24" s="37"/>
      <c r="AR24" s="32"/>
      <c r="AS24" s="25" t="s">
        <v>57</v>
      </c>
      <c r="AT24" s="27" t="s">
        <v>52</v>
      </c>
      <c r="AU24" s="27"/>
      <c r="AW24" s="25"/>
      <c r="AX24" s="27"/>
      <c r="AY24" s="27"/>
      <c r="AZ24" s="32"/>
      <c r="BA24" s="41"/>
    </row>
    <row r="25" spans="1:53" ht="16" thickBot="1" x14ac:dyDescent="0.25">
      <c r="A25" s="25">
        <v>18</v>
      </c>
      <c r="B25" s="26">
        <v>45035</v>
      </c>
      <c r="C25" s="27" t="s">
        <v>117</v>
      </c>
      <c r="D25" s="25"/>
      <c r="E25" s="28"/>
      <c r="F25" s="27"/>
      <c r="G25" s="28"/>
      <c r="H25" s="27"/>
      <c r="I25" s="28"/>
      <c r="J25" s="27">
        <v>1.2</v>
      </c>
      <c r="K25" s="29" t="s">
        <v>35</v>
      </c>
      <c r="L25" s="39"/>
      <c r="M25" s="31"/>
      <c r="N25" s="27" t="s">
        <v>40</v>
      </c>
      <c r="P25" s="66"/>
      <c r="Q25" s="25"/>
      <c r="R25" s="27"/>
      <c r="S25" s="27"/>
      <c r="T25" s="28"/>
      <c r="V25" s="27" t="s">
        <v>159</v>
      </c>
      <c r="W25" s="28"/>
      <c r="X25" s="33" t="s">
        <v>62</v>
      </c>
      <c r="Y25" s="32"/>
      <c r="Z25" s="25"/>
      <c r="AA25" s="27"/>
      <c r="AB25" s="28"/>
      <c r="AC25" s="27">
        <v>15</v>
      </c>
      <c r="AD25" s="27"/>
      <c r="AE25" s="33"/>
      <c r="AG25" s="25"/>
      <c r="AH25" s="34"/>
      <c r="AI25" s="27">
        <v>2.5000000000000001E-2</v>
      </c>
      <c r="AJ25" s="27"/>
      <c r="AK25" s="27"/>
      <c r="AL25" s="25"/>
      <c r="AM25" s="34"/>
      <c r="AN25" s="27"/>
      <c r="AO25" s="27"/>
      <c r="AP25" s="36"/>
      <c r="AQ25" s="67" t="s">
        <v>63</v>
      </c>
      <c r="AR25" s="46" t="s">
        <v>64</v>
      </c>
      <c r="AS25" s="25" t="s">
        <v>57</v>
      </c>
      <c r="AT25" s="27" t="s">
        <v>52</v>
      </c>
      <c r="AW25" s="25"/>
      <c r="AX25" s="27"/>
      <c r="AY25" s="27"/>
      <c r="AZ25" s="32"/>
      <c r="BA25" s="41"/>
    </row>
    <row r="26" spans="1:53" ht="16" thickBot="1" x14ac:dyDescent="0.25">
      <c r="A26" s="25">
        <v>19</v>
      </c>
      <c r="B26" s="26">
        <v>45036</v>
      </c>
      <c r="C26" s="27"/>
      <c r="D26" s="25"/>
      <c r="E26" s="28"/>
      <c r="F26" s="27"/>
      <c r="G26" s="28"/>
      <c r="H26" s="27"/>
      <c r="I26" s="28"/>
      <c r="J26" s="27">
        <v>1.2</v>
      </c>
      <c r="K26" s="29" t="s">
        <v>35</v>
      </c>
      <c r="L26" s="39"/>
      <c r="M26" s="31"/>
      <c r="N26" s="27" t="s">
        <v>40</v>
      </c>
      <c r="P26" s="32"/>
      <c r="Q26" s="25"/>
      <c r="R26" s="27"/>
      <c r="S26" s="27"/>
      <c r="T26" s="28"/>
      <c r="V26" s="27" t="s">
        <v>159</v>
      </c>
      <c r="W26" s="28"/>
      <c r="X26" s="33"/>
      <c r="Y26" s="32"/>
      <c r="Z26" s="25"/>
      <c r="AA26" s="27"/>
      <c r="AB26" s="28"/>
      <c r="AC26" s="27">
        <v>15</v>
      </c>
      <c r="AD26" s="27"/>
      <c r="AE26" s="33"/>
      <c r="AG26" s="25"/>
      <c r="AH26" s="34"/>
      <c r="AI26" s="27">
        <v>2.5000000000000001E-2</v>
      </c>
      <c r="AJ26" s="27"/>
      <c r="AK26" s="27"/>
      <c r="AL26" s="25"/>
      <c r="AM26" s="34"/>
      <c r="AN26" s="27"/>
      <c r="AO26" s="27"/>
      <c r="AP26" s="36"/>
      <c r="AQ26" s="68" t="s">
        <v>65</v>
      </c>
      <c r="AR26" s="32" t="s">
        <v>64</v>
      </c>
      <c r="AS26" s="25" t="s">
        <v>57</v>
      </c>
      <c r="AT26" s="27" t="s">
        <v>52</v>
      </c>
      <c r="AU26" s="27"/>
      <c r="AW26" s="25"/>
      <c r="AX26" s="27"/>
      <c r="AY26" s="27"/>
      <c r="AZ26" s="32"/>
      <c r="BA26" s="62"/>
    </row>
    <row r="27" spans="1:53" x14ac:dyDescent="0.2">
      <c r="A27" s="25">
        <v>20</v>
      </c>
      <c r="B27" s="26">
        <v>45037</v>
      </c>
      <c r="C27" s="27"/>
      <c r="D27" s="25"/>
      <c r="E27" s="28"/>
      <c r="F27" s="27"/>
      <c r="G27" s="28"/>
      <c r="H27" s="27"/>
      <c r="I27" s="28"/>
      <c r="J27" s="27">
        <v>1.2</v>
      </c>
      <c r="K27" s="29" t="s">
        <v>35</v>
      </c>
      <c r="L27" s="39"/>
      <c r="M27" s="69"/>
      <c r="N27" s="27" t="s">
        <v>40</v>
      </c>
      <c r="O27" s="306" t="s">
        <v>66</v>
      </c>
      <c r="P27" s="32"/>
      <c r="Q27" s="25"/>
      <c r="R27" s="27"/>
      <c r="S27" s="27"/>
      <c r="T27" s="28"/>
      <c r="V27" s="27" t="s">
        <v>159</v>
      </c>
      <c r="W27" s="28"/>
      <c r="X27" s="33"/>
      <c r="Y27" s="32"/>
      <c r="Z27" s="25"/>
      <c r="AA27" s="27"/>
      <c r="AB27" s="28"/>
      <c r="AC27" s="27">
        <v>15</v>
      </c>
      <c r="AD27" s="27"/>
      <c r="AE27" s="33"/>
      <c r="AG27" s="25"/>
      <c r="AH27" s="34"/>
      <c r="AI27" s="27">
        <v>2.5000000000000001E-2</v>
      </c>
      <c r="AJ27" s="27"/>
      <c r="AK27" s="27"/>
      <c r="AL27" s="25"/>
      <c r="AM27" s="34"/>
      <c r="AN27" s="27"/>
      <c r="AO27" s="27"/>
      <c r="AP27" s="36"/>
      <c r="AQ27" s="37"/>
      <c r="AR27" s="32"/>
      <c r="AS27" s="25" t="s">
        <v>57</v>
      </c>
      <c r="AT27" s="27" t="s">
        <v>52</v>
      </c>
      <c r="AU27" s="27"/>
      <c r="AW27" s="25"/>
      <c r="AX27" s="27"/>
      <c r="AY27" s="27"/>
      <c r="AZ27" s="32"/>
      <c r="BA27" s="41"/>
    </row>
    <row r="28" spans="1:53" ht="16" thickBot="1" x14ac:dyDescent="0.25">
      <c r="A28" s="70">
        <v>21</v>
      </c>
      <c r="B28" s="26">
        <v>45038</v>
      </c>
      <c r="C28" s="71"/>
      <c r="D28" s="70"/>
      <c r="E28" s="72"/>
      <c r="F28" s="71"/>
      <c r="G28" s="72"/>
      <c r="H28" s="71"/>
      <c r="I28" s="72"/>
      <c r="J28" s="27">
        <v>1.2</v>
      </c>
      <c r="K28" s="29" t="s">
        <v>35</v>
      </c>
      <c r="L28" s="39"/>
      <c r="M28" s="73"/>
      <c r="N28" s="27" t="s">
        <v>40</v>
      </c>
      <c r="O28" s="307"/>
      <c r="P28" s="74"/>
      <c r="Q28" s="70"/>
      <c r="R28" s="71"/>
      <c r="S28" s="71"/>
      <c r="T28" s="72"/>
      <c r="V28" s="27" t="s">
        <v>159</v>
      </c>
      <c r="W28" s="28"/>
      <c r="X28" s="33"/>
      <c r="Y28" s="75"/>
      <c r="Z28" s="70"/>
      <c r="AA28" s="71"/>
      <c r="AB28" s="72"/>
      <c r="AC28" s="27">
        <v>15</v>
      </c>
      <c r="AD28" s="71"/>
      <c r="AE28" s="33"/>
      <c r="AF28" s="76"/>
      <c r="AG28" s="70"/>
      <c r="AH28" s="77"/>
      <c r="AI28" s="27">
        <v>2.5000000000000001E-2</v>
      </c>
      <c r="AJ28" s="71"/>
      <c r="AK28" s="71"/>
      <c r="AL28" s="70"/>
      <c r="AM28" s="77"/>
      <c r="AN28" s="27"/>
      <c r="AO28" s="71"/>
      <c r="AP28" s="78"/>
      <c r="AQ28" s="37"/>
      <c r="AR28" s="75"/>
      <c r="AS28" s="70" t="s">
        <v>57</v>
      </c>
      <c r="AT28" s="27" t="s">
        <v>52</v>
      </c>
      <c r="AU28" s="71"/>
      <c r="AV28" s="76"/>
      <c r="AW28" s="70"/>
      <c r="AX28" s="71"/>
      <c r="AY28" s="71"/>
      <c r="AZ28" s="75"/>
      <c r="BA28" s="79"/>
    </row>
    <row r="29" spans="1:53" ht="16" thickBot="1" x14ac:dyDescent="0.25">
      <c r="A29" s="25">
        <v>22</v>
      </c>
      <c r="B29" s="26">
        <v>45039</v>
      </c>
      <c r="C29" s="27"/>
      <c r="D29" s="25"/>
      <c r="E29" s="28"/>
      <c r="F29" s="27"/>
      <c r="G29" s="28"/>
      <c r="H29" s="27"/>
      <c r="I29" s="28"/>
      <c r="J29" s="27">
        <v>1.2</v>
      </c>
      <c r="K29" s="29" t="s">
        <v>35</v>
      </c>
      <c r="L29" s="39"/>
      <c r="M29" s="69"/>
      <c r="N29" s="27" t="s">
        <v>40</v>
      </c>
      <c r="O29" s="307"/>
      <c r="P29" s="46" t="s">
        <v>67</v>
      </c>
      <c r="Q29" s="43"/>
      <c r="R29" s="27"/>
      <c r="S29" s="27"/>
      <c r="T29" s="28"/>
      <c r="V29" s="27" t="s">
        <v>159</v>
      </c>
      <c r="W29" s="28"/>
      <c r="X29" s="33"/>
      <c r="Y29" s="32"/>
      <c r="Z29" s="60"/>
      <c r="AA29" s="60"/>
      <c r="AB29" s="61"/>
      <c r="AC29" s="27">
        <v>15</v>
      </c>
      <c r="AD29" s="27"/>
      <c r="AE29" s="33"/>
      <c r="AG29" s="25"/>
      <c r="AH29" s="34"/>
      <c r="AI29" s="27">
        <v>2.5000000000000001E-2</v>
      </c>
      <c r="AJ29" s="27"/>
      <c r="AK29" s="27"/>
      <c r="AL29" s="25"/>
      <c r="AM29" s="34"/>
      <c r="AN29" s="27"/>
      <c r="AO29" s="27"/>
      <c r="AP29" s="36"/>
      <c r="AQ29" s="37"/>
      <c r="AR29" s="32"/>
      <c r="AS29" s="25" t="s">
        <v>57</v>
      </c>
      <c r="AT29" s="27" t="s">
        <v>52</v>
      </c>
      <c r="AU29" s="27"/>
      <c r="AW29" s="25"/>
      <c r="AX29" s="27"/>
      <c r="AY29" s="27"/>
      <c r="AZ29" s="32"/>
      <c r="BA29" s="80" t="s">
        <v>68</v>
      </c>
    </row>
    <row r="30" spans="1:53" ht="16" thickBot="1" x14ac:dyDescent="0.25">
      <c r="A30" s="25">
        <v>23</v>
      </c>
      <c r="B30" s="26">
        <v>45040</v>
      </c>
      <c r="C30" s="27"/>
      <c r="D30" s="25"/>
      <c r="E30" s="28"/>
      <c r="F30" s="27"/>
      <c r="G30" s="28"/>
      <c r="H30" s="27"/>
      <c r="I30" s="28"/>
      <c r="J30" s="27">
        <v>1.2</v>
      </c>
      <c r="K30" s="29" t="s">
        <v>35</v>
      </c>
      <c r="L30" s="39"/>
      <c r="M30" s="31"/>
      <c r="N30" s="27" t="s">
        <v>40</v>
      </c>
      <c r="O30" s="307"/>
      <c r="P30" s="32" t="s">
        <v>69</v>
      </c>
      <c r="Q30" s="25"/>
      <c r="R30" s="27"/>
      <c r="S30" s="27"/>
      <c r="T30" s="28"/>
      <c r="V30" s="27" t="s">
        <v>159</v>
      </c>
      <c r="W30" s="28"/>
      <c r="X30" s="33"/>
      <c r="Y30" s="32"/>
      <c r="Z30" s="25"/>
      <c r="AA30" s="27"/>
      <c r="AB30" s="28"/>
      <c r="AC30" s="27">
        <v>15</v>
      </c>
      <c r="AD30" s="27"/>
      <c r="AE30" s="33"/>
      <c r="AG30" s="25"/>
      <c r="AH30" s="34"/>
      <c r="AI30" s="27">
        <v>2.5000000000000001E-2</v>
      </c>
      <c r="AJ30" s="27"/>
      <c r="AK30" s="27"/>
      <c r="AL30" s="25"/>
      <c r="AM30" s="34"/>
      <c r="AN30" s="27"/>
      <c r="AO30" s="27"/>
      <c r="AP30" s="36"/>
      <c r="AQ30" s="37"/>
      <c r="AR30" s="32"/>
      <c r="AS30" s="25" t="s">
        <v>57</v>
      </c>
      <c r="AT30" s="27" t="s">
        <v>52</v>
      </c>
      <c r="AU30" s="58" t="s">
        <v>70</v>
      </c>
      <c r="AW30" s="25"/>
      <c r="AX30" s="27"/>
      <c r="AY30" s="27"/>
      <c r="AZ30" s="32"/>
      <c r="BA30" s="41"/>
    </row>
    <row r="31" spans="1:53" ht="16" thickBot="1" x14ac:dyDescent="0.25">
      <c r="A31" s="25">
        <v>24</v>
      </c>
      <c r="B31" s="26">
        <v>45041</v>
      </c>
      <c r="C31" s="27"/>
      <c r="D31" s="25"/>
      <c r="E31" s="28"/>
      <c r="F31" s="27"/>
      <c r="G31" s="28"/>
      <c r="H31" s="27"/>
      <c r="I31" s="28"/>
      <c r="J31" s="27">
        <v>1.2</v>
      </c>
      <c r="K31" s="29" t="s">
        <v>35</v>
      </c>
      <c r="L31" s="44" t="s">
        <v>71</v>
      </c>
      <c r="M31" s="31"/>
      <c r="N31" s="27" t="s">
        <v>40</v>
      </c>
      <c r="O31" s="307"/>
      <c r="P31" s="32"/>
      <c r="Q31" s="25"/>
      <c r="R31" s="27"/>
      <c r="S31" s="27"/>
      <c r="T31" s="28"/>
      <c r="V31" s="27" t="s">
        <v>159</v>
      </c>
      <c r="W31" s="28"/>
      <c r="X31" s="33"/>
      <c r="Y31" s="32"/>
      <c r="Z31" s="25"/>
      <c r="AA31" s="27"/>
      <c r="AB31" s="28"/>
      <c r="AC31" s="27">
        <v>15</v>
      </c>
      <c r="AD31" s="27"/>
      <c r="AE31" s="50"/>
      <c r="AF31" s="46"/>
      <c r="AG31" s="25"/>
      <c r="AH31" s="34"/>
      <c r="AI31" s="27"/>
      <c r="AJ31" s="27"/>
      <c r="AK31" s="27"/>
      <c r="AL31" s="25"/>
      <c r="AM31" s="34"/>
      <c r="AN31" s="27"/>
      <c r="AO31" s="27"/>
      <c r="AP31" s="36"/>
      <c r="AQ31" s="37"/>
      <c r="AR31" s="46"/>
      <c r="AS31" s="25" t="s">
        <v>72</v>
      </c>
      <c r="AT31" s="27" t="s">
        <v>52</v>
      </c>
      <c r="AU31" s="58" t="s">
        <v>73</v>
      </c>
      <c r="AW31" s="25"/>
      <c r="AX31" s="27"/>
      <c r="AY31" s="27"/>
      <c r="AZ31" s="32"/>
      <c r="BA31" s="41"/>
    </row>
    <row r="32" spans="1:53" ht="16" thickBot="1" x14ac:dyDescent="0.25">
      <c r="A32" s="25">
        <v>25</v>
      </c>
      <c r="B32" s="26">
        <v>45042</v>
      </c>
      <c r="C32" s="27" t="s">
        <v>117</v>
      </c>
      <c r="D32" s="25"/>
      <c r="E32" s="28"/>
      <c r="F32" s="27"/>
      <c r="G32" s="28"/>
      <c r="H32" s="27"/>
      <c r="I32" s="28"/>
      <c r="J32" s="27">
        <v>1.2</v>
      </c>
      <c r="K32" s="29" t="s">
        <v>35</v>
      </c>
      <c r="L32" s="39"/>
      <c r="M32" s="31"/>
      <c r="N32" s="27" t="s">
        <v>40</v>
      </c>
      <c r="O32" s="307"/>
      <c r="P32" s="81" t="s">
        <v>74</v>
      </c>
      <c r="Q32" s="43"/>
      <c r="R32" s="27"/>
      <c r="S32" s="27"/>
      <c r="T32" s="28"/>
      <c r="V32" s="27" t="s">
        <v>159</v>
      </c>
      <c r="W32" s="28"/>
      <c r="X32" s="33"/>
      <c r="Y32" s="32"/>
      <c r="Z32" s="27"/>
      <c r="AA32" s="27"/>
      <c r="AB32" s="28"/>
      <c r="AC32" s="27"/>
      <c r="AD32" s="27"/>
      <c r="AE32" s="33"/>
      <c r="AG32" s="25"/>
      <c r="AH32" s="34"/>
      <c r="AI32" s="27">
        <v>2.5000000000000001E-2</v>
      </c>
      <c r="AJ32" s="27"/>
      <c r="AK32" s="27"/>
      <c r="AL32" s="25"/>
      <c r="AM32" s="34"/>
      <c r="AN32" s="27"/>
      <c r="AO32" s="27"/>
      <c r="AP32" s="36"/>
      <c r="AQ32" s="37"/>
      <c r="AR32" s="32" t="s">
        <v>64</v>
      </c>
      <c r="AS32" s="25" t="s">
        <v>72</v>
      </c>
      <c r="AT32" s="27" t="s">
        <v>52</v>
      </c>
      <c r="AW32" s="25"/>
      <c r="AX32" s="27"/>
      <c r="AY32" s="27"/>
      <c r="AZ32" s="32"/>
      <c r="BA32" s="41">
        <v>0</v>
      </c>
    </row>
    <row r="33" spans="1:53" ht="16" thickBot="1" x14ac:dyDescent="0.25">
      <c r="A33" s="25">
        <v>26</v>
      </c>
      <c r="B33" s="26">
        <v>45043</v>
      </c>
      <c r="C33" s="27" t="s">
        <v>117</v>
      </c>
      <c r="D33" s="25"/>
      <c r="E33" s="28"/>
      <c r="F33" s="27"/>
      <c r="G33" s="28"/>
      <c r="H33" s="27"/>
      <c r="I33" s="28"/>
      <c r="J33" s="27">
        <v>1.2</v>
      </c>
      <c r="K33" s="29" t="s">
        <v>35</v>
      </c>
      <c r="L33" s="39"/>
      <c r="M33" s="31"/>
      <c r="N33" s="27" t="s">
        <v>40</v>
      </c>
      <c r="O33" s="307"/>
      <c r="P33" s="32"/>
      <c r="Q33" s="25"/>
      <c r="R33" s="27"/>
      <c r="S33" s="27"/>
      <c r="T33" s="28"/>
      <c r="V33" s="27" t="s">
        <v>159</v>
      </c>
      <c r="W33" s="28"/>
      <c r="X33" s="33"/>
      <c r="Y33" s="32"/>
      <c r="Z33" s="25"/>
      <c r="AA33" s="27"/>
      <c r="AB33" s="28"/>
      <c r="AC33" s="27"/>
      <c r="AD33" s="27"/>
      <c r="AE33" s="33"/>
      <c r="AG33" s="25"/>
      <c r="AH33" s="34"/>
      <c r="AI33" s="27">
        <v>2.5000000000000001E-2</v>
      </c>
      <c r="AJ33" s="27"/>
      <c r="AK33" s="27"/>
      <c r="AL33" s="25"/>
      <c r="AM33" s="34"/>
      <c r="AN33" s="27"/>
      <c r="AO33" s="27"/>
      <c r="AP33" s="36"/>
      <c r="AQ33" s="37"/>
      <c r="AR33" s="32" t="s">
        <v>64</v>
      </c>
      <c r="AS33" s="25" t="s">
        <v>72</v>
      </c>
      <c r="AT33" s="27" t="s">
        <v>52</v>
      </c>
      <c r="AW33" s="25"/>
      <c r="AX33" s="27"/>
      <c r="AY33" s="27"/>
      <c r="AZ33" s="32"/>
      <c r="BA33" s="41">
        <v>0</v>
      </c>
    </row>
    <row r="34" spans="1:53" ht="16" thickBot="1" x14ac:dyDescent="0.25">
      <c r="A34" s="25">
        <v>27</v>
      </c>
      <c r="B34" s="26">
        <v>45044</v>
      </c>
      <c r="C34" s="27" t="s">
        <v>117</v>
      </c>
      <c r="D34" s="25"/>
      <c r="E34" s="28"/>
      <c r="F34" s="27"/>
      <c r="G34" s="28"/>
      <c r="H34" s="27"/>
      <c r="I34" s="28"/>
      <c r="J34" s="27">
        <v>1.2</v>
      </c>
      <c r="K34" s="29" t="s">
        <v>35</v>
      </c>
      <c r="L34" s="39"/>
      <c r="M34" s="31"/>
      <c r="N34" s="27" t="s">
        <v>40</v>
      </c>
      <c r="O34" s="307"/>
      <c r="P34" s="32"/>
      <c r="Q34" s="25"/>
      <c r="R34" s="27"/>
      <c r="S34" s="27"/>
      <c r="T34" s="28"/>
      <c r="V34" s="27" t="s">
        <v>159</v>
      </c>
      <c r="W34" s="28"/>
      <c r="X34" s="33"/>
      <c r="Y34" s="32"/>
      <c r="Z34" s="25"/>
      <c r="AA34" s="27"/>
      <c r="AB34" s="28"/>
      <c r="AC34" s="27"/>
      <c r="AD34" s="27"/>
      <c r="AE34" s="33"/>
      <c r="AG34" s="25"/>
      <c r="AH34" s="34"/>
      <c r="AI34" s="27">
        <v>2.5000000000000001E-2</v>
      </c>
      <c r="AJ34" s="27"/>
      <c r="AK34" s="27"/>
      <c r="AL34" s="25"/>
      <c r="AM34" s="34"/>
      <c r="AN34" s="27"/>
      <c r="AO34" s="27"/>
      <c r="AP34" s="36"/>
      <c r="AQ34" s="82"/>
      <c r="AR34" s="32" t="s">
        <v>75</v>
      </c>
      <c r="AS34" s="25" t="s">
        <v>72</v>
      </c>
      <c r="AT34" s="27" t="s">
        <v>52</v>
      </c>
      <c r="AU34" s="27"/>
      <c r="AW34" s="25"/>
      <c r="AX34" s="27"/>
      <c r="AY34" s="27"/>
      <c r="AZ34" s="32"/>
      <c r="BA34" s="41">
        <v>0</v>
      </c>
    </row>
    <row r="35" spans="1:53" x14ac:dyDescent="0.2">
      <c r="A35" s="25">
        <v>28</v>
      </c>
      <c r="B35" s="26">
        <v>45045</v>
      </c>
      <c r="C35" s="27"/>
      <c r="D35" s="25"/>
      <c r="E35" s="28"/>
      <c r="F35" s="27"/>
      <c r="G35" s="28"/>
      <c r="H35" s="27"/>
      <c r="I35" s="28"/>
      <c r="J35" s="27">
        <v>1.2</v>
      </c>
      <c r="K35" s="29" t="s">
        <v>35</v>
      </c>
      <c r="L35" s="39"/>
      <c r="M35" s="31"/>
      <c r="N35" s="27" t="s">
        <v>40</v>
      </c>
      <c r="O35" s="307"/>
      <c r="P35" s="32"/>
      <c r="Q35" s="25"/>
      <c r="R35" s="27"/>
      <c r="S35" s="27"/>
      <c r="T35" s="28"/>
      <c r="V35" s="27" t="s">
        <v>159</v>
      </c>
      <c r="W35" s="28"/>
      <c r="Y35" s="32"/>
      <c r="Z35" s="25"/>
      <c r="AA35" s="27"/>
      <c r="AB35" s="28"/>
      <c r="AC35" s="27"/>
      <c r="AD35" s="27"/>
      <c r="AE35" s="33"/>
      <c r="AG35" s="25"/>
      <c r="AH35" s="34"/>
      <c r="AI35" s="27">
        <v>2.5000000000000001E-2</v>
      </c>
      <c r="AJ35" s="27"/>
      <c r="AK35" s="27"/>
      <c r="AL35" s="25"/>
      <c r="AM35" s="34"/>
      <c r="AN35" s="27"/>
      <c r="AO35" s="27"/>
      <c r="AP35" s="36"/>
      <c r="AR35" s="32" t="s">
        <v>75</v>
      </c>
      <c r="AS35" s="25" t="s">
        <v>72</v>
      </c>
      <c r="AT35" s="27" t="s">
        <v>52</v>
      </c>
      <c r="AU35" s="27"/>
      <c r="AW35" s="25"/>
      <c r="AX35" s="27"/>
      <c r="AY35" s="27"/>
      <c r="AZ35" s="32"/>
      <c r="BA35" s="41">
        <v>0</v>
      </c>
    </row>
    <row r="36" spans="1:53" ht="17.25" customHeight="1" thickBot="1" x14ac:dyDescent="0.25">
      <c r="A36" s="25">
        <v>29</v>
      </c>
      <c r="B36" s="26">
        <v>45046</v>
      </c>
      <c r="C36" s="27" t="s">
        <v>117</v>
      </c>
      <c r="D36" s="25"/>
      <c r="E36" s="28"/>
      <c r="F36" s="27"/>
      <c r="G36" s="28"/>
      <c r="H36" s="27"/>
      <c r="I36" s="28"/>
      <c r="J36" s="27">
        <v>1.2</v>
      </c>
      <c r="K36" s="29" t="s">
        <v>35</v>
      </c>
      <c r="L36" s="39"/>
      <c r="M36" s="31"/>
      <c r="N36" s="27" t="s">
        <v>40</v>
      </c>
      <c r="O36" s="307"/>
      <c r="P36" s="32"/>
      <c r="Q36" s="25"/>
      <c r="R36" s="27"/>
      <c r="S36" s="27"/>
      <c r="T36" s="28"/>
      <c r="V36" s="27" t="s">
        <v>159</v>
      </c>
      <c r="W36" s="28"/>
      <c r="X36" s="33"/>
      <c r="Y36" s="32"/>
      <c r="Z36" s="25"/>
      <c r="AA36" s="27"/>
      <c r="AB36" s="28"/>
      <c r="AC36" s="27"/>
      <c r="AD36" s="27"/>
      <c r="AE36" s="33"/>
      <c r="AG36" s="25"/>
      <c r="AH36" s="34"/>
      <c r="AI36" s="27">
        <v>2.5000000000000001E-2</v>
      </c>
      <c r="AJ36" s="27">
        <v>2.5000000000000001E-2</v>
      </c>
      <c r="AK36" s="27"/>
      <c r="AL36" s="25"/>
      <c r="AM36" s="34"/>
      <c r="AN36" s="27">
        <v>2.5000000000000001E-2</v>
      </c>
      <c r="AO36" s="27">
        <v>2.5000000000000001E-2</v>
      </c>
      <c r="AP36" s="36">
        <v>2.5000000000000001E-2</v>
      </c>
      <c r="AQ36" s="37"/>
      <c r="AR36" s="32"/>
      <c r="AS36" s="25" t="s">
        <v>72</v>
      </c>
      <c r="AT36" s="27" t="s">
        <v>52</v>
      </c>
      <c r="AU36" s="27"/>
      <c r="AW36" s="25"/>
      <c r="AX36" s="27"/>
      <c r="AY36" s="27"/>
      <c r="AZ36" s="32"/>
      <c r="BA36" s="41"/>
    </row>
    <row r="37" spans="1:53" s="87" customFormat="1" ht="16" thickBot="1" x14ac:dyDescent="0.25">
      <c r="A37" s="83">
        <v>30</v>
      </c>
      <c r="B37" s="26">
        <v>45047</v>
      </c>
      <c r="C37" s="83" t="s">
        <v>117</v>
      </c>
      <c r="D37" s="83"/>
      <c r="E37" s="83"/>
      <c r="F37" s="83"/>
      <c r="G37" s="83"/>
      <c r="H37" s="83"/>
      <c r="I37" s="83"/>
      <c r="J37" s="83">
        <v>1.2</v>
      </c>
      <c r="K37" s="85" t="s">
        <v>35</v>
      </c>
      <c r="L37" s="86"/>
      <c r="M37" s="86"/>
      <c r="N37" s="83" t="s">
        <v>40</v>
      </c>
      <c r="O37" s="307"/>
      <c r="Q37" s="83"/>
      <c r="R37" s="83"/>
      <c r="S37" s="83"/>
      <c r="T37" s="83"/>
      <c r="V37" s="27" t="s">
        <v>159</v>
      </c>
      <c r="W37" s="28"/>
      <c r="X37" s="83"/>
      <c r="Z37" s="83"/>
      <c r="AA37" s="83"/>
      <c r="AB37" s="83"/>
      <c r="AC37" s="83"/>
      <c r="AD37" s="83"/>
      <c r="AE37" s="83"/>
      <c r="AG37" s="83"/>
      <c r="AH37" s="83"/>
      <c r="AI37" s="83"/>
      <c r="AJ37" s="83"/>
      <c r="AK37" s="83"/>
      <c r="AL37" s="83"/>
      <c r="AM37" s="83"/>
      <c r="AN37" s="83"/>
      <c r="AO37" s="83"/>
      <c r="AP37" s="83"/>
      <c r="AS37" s="83" t="s">
        <v>72</v>
      </c>
      <c r="AT37" s="83" t="s">
        <v>52</v>
      </c>
      <c r="AU37" s="83"/>
      <c r="AW37" s="83"/>
      <c r="AX37" s="83"/>
      <c r="AY37" s="83"/>
      <c r="BA37" s="83"/>
    </row>
    <row r="38" spans="1:53" x14ac:dyDescent="0.2">
      <c r="A38" s="25">
        <v>31</v>
      </c>
      <c r="B38" s="26">
        <v>45048</v>
      </c>
      <c r="C38" s="27" t="s">
        <v>117</v>
      </c>
      <c r="D38" s="25"/>
      <c r="E38" s="28"/>
      <c r="F38" s="27"/>
      <c r="G38" s="28"/>
      <c r="H38" s="27"/>
      <c r="I38" s="28"/>
      <c r="J38" s="27">
        <v>1.2</v>
      </c>
      <c r="K38" s="29" t="s">
        <v>35</v>
      </c>
      <c r="L38" s="39"/>
      <c r="M38" s="31"/>
      <c r="N38" s="27" t="s">
        <v>76</v>
      </c>
      <c r="O38" s="307"/>
      <c r="P38" s="32"/>
      <c r="Q38" s="25"/>
      <c r="R38" s="27"/>
      <c r="S38" s="27"/>
      <c r="T38" s="28"/>
      <c r="V38" s="27" t="s">
        <v>159</v>
      </c>
      <c r="W38" s="28"/>
      <c r="X38" s="33"/>
      <c r="Y38" s="32"/>
      <c r="Z38" s="25"/>
      <c r="AA38" s="27"/>
      <c r="AB38" s="28"/>
      <c r="AC38" s="27"/>
      <c r="AD38" s="27"/>
      <c r="AE38" s="33"/>
      <c r="AG38" s="25"/>
      <c r="AH38" s="34"/>
      <c r="AI38" s="27">
        <v>0.05</v>
      </c>
      <c r="AJ38" s="27" t="s">
        <v>141</v>
      </c>
      <c r="AK38" s="27">
        <v>0.05</v>
      </c>
      <c r="AL38" s="25"/>
      <c r="AM38" s="34"/>
      <c r="AN38" s="27">
        <v>2.5000000000000001E-2</v>
      </c>
      <c r="AO38" s="27">
        <v>2.5000000000000001E-2</v>
      </c>
      <c r="AP38" s="36">
        <v>2.5000000000000001E-2</v>
      </c>
      <c r="AQ38" s="37"/>
      <c r="AR38" s="46"/>
      <c r="AS38" s="25" t="s">
        <v>72</v>
      </c>
      <c r="AT38" s="27" t="s">
        <v>52</v>
      </c>
      <c r="AU38" s="27"/>
      <c r="AW38" s="25"/>
      <c r="AX38" s="27"/>
      <c r="AY38" s="27"/>
      <c r="AZ38" s="32"/>
      <c r="BA38" s="41"/>
    </row>
    <row r="39" spans="1:53" x14ac:dyDescent="0.2">
      <c r="A39" s="25">
        <v>32</v>
      </c>
      <c r="B39" s="26">
        <v>45049</v>
      </c>
      <c r="C39" s="27" t="s">
        <v>117</v>
      </c>
      <c r="D39" s="25"/>
      <c r="E39" s="28"/>
      <c r="F39" s="27"/>
      <c r="G39" s="28"/>
      <c r="H39" s="27"/>
      <c r="I39" s="28"/>
      <c r="J39" s="27">
        <v>1.2</v>
      </c>
      <c r="K39" s="29" t="s">
        <v>35</v>
      </c>
      <c r="L39" s="39"/>
      <c r="M39" s="31"/>
      <c r="N39" s="27" t="s">
        <v>76</v>
      </c>
      <c r="O39" s="307"/>
      <c r="P39" s="32"/>
      <c r="Q39" s="25"/>
      <c r="R39" s="27"/>
      <c r="S39" s="27"/>
      <c r="T39" s="28"/>
      <c r="V39" s="27" t="s">
        <v>159</v>
      </c>
      <c r="W39" s="28"/>
      <c r="X39" s="33"/>
      <c r="Y39" s="32"/>
      <c r="Z39" s="25"/>
      <c r="AA39" s="27"/>
      <c r="AB39" s="28"/>
      <c r="AC39" s="27"/>
      <c r="AD39" s="27"/>
      <c r="AE39" s="33"/>
      <c r="AG39" s="25"/>
      <c r="AH39" s="34"/>
      <c r="AI39" s="27">
        <v>0.05</v>
      </c>
      <c r="AJ39" s="27">
        <v>0.05</v>
      </c>
      <c r="AK39" s="27">
        <v>0.05</v>
      </c>
      <c r="AL39" s="25"/>
      <c r="AM39" s="34"/>
      <c r="AN39" s="27">
        <v>2.5000000000000001E-2</v>
      </c>
      <c r="AO39" s="27">
        <v>2.5000000000000001E-2</v>
      </c>
      <c r="AP39" s="36">
        <v>2.5000000000000001E-2</v>
      </c>
      <c r="AQ39" s="37"/>
      <c r="AR39" s="32"/>
      <c r="AS39" s="25" t="s">
        <v>72</v>
      </c>
      <c r="AT39" s="27" t="s">
        <v>52</v>
      </c>
      <c r="AU39" s="27"/>
      <c r="AW39" s="25"/>
      <c r="AX39" s="27"/>
      <c r="AY39" s="27"/>
      <c r="AZ39" s="32"/>
      <c r="BA39" s="41"/>
    </row>
    <row r="40" spans="1:53" x14ac:dyDescent="0.2">
      <c r="A40" s="25">
        <v>33</v>
      </c>
      <c r="B40" s="26">
        <v>45050</v>
      </c>
      <c r="C40" s="27" t="s">
        <v>117</v>
      </c>
      <c r="D40" s="25"/>
      <c r="E40" s="28"/>
      <c r="F40" s="27"/>
      <c r="G40" s="28"/>
      <c r="H40" s="27"/>
      <c r="I40" s="28"/>
      <c r="J40" s="27">
        <v>1.2</v>
      </c>
      <c r="K40" s="29" t="s">
        <v>35</v>
      </c>
      <c r="L40" s="39"/>
      <c r="M40" s="31"/>
      <c r="N40" s="27" t="s">
        <v>76</v>
      </c>
      <c r="O40" s="307"/>
      <c r="P40" s="32"/>
      <c r="Q40" s="25"/>
      <c r="R40" s="27"/>
      <c r="S40" s="27"/>
      <c r="T40" s="28"/>
      <c r="V40" s="27" t="s">
        <v>159</v>
      </c>
      <c r="W40" s="28"/>
      <c r="X40" s="33"/>
      <c r="Y40" s="32"/>
      <c r="Z40" s="25"/>
      <c r="AA40" s="27"/>
      <c r="AB40" s="28"/>
      <c r="AC40" s="27"/>
      <c r="AD40" s="27"/>
      <c r="AE40" s="33"/>
      <c r="AG40" s="25"/>
      <c r="AH40" s="34"/>
      <c r="AI40" s="27">
        <v>0.05</v>
      </c>
      <c r="AJ40" s="27">
        <v>0.05</v>
      </c>
      <c r="AK40" s="27">
        <v>0.05</v>
      </c>
      <c r="AL40" s="25"/>
      <c r="AM40" s="34"/>
      <c r="AN40" s="27">
        <v>0.05</v>
      </c>
      <c r="AO40" s="27">
        <v>2.5000000000000001E-2</v>
      </c>
      <c r="AP40" s="36">
        <v>0.05</v>
      </c>
      <c r="AQ40" s="37"/>
      <c r="AR40" s="32"/>
      <c r="AS40" s="25" t="s">
        <v>72</v>
      </c>
      <c r="AT40" s="27" t="s">
        <v>52</v>
      </c>
      <c r="AW40" s="25"/>
      <c r="AX40" s="27"/>
      <c r="AY40" s="27"/>
      <c r="AZ40" s="32"/>
      <c r="BA40" s="41"/>
    </row>
    <row r="41" spans="1:53" ht="16" thickBot="1" x14ac:dyDescent="0.25">
      <c r="A41" s="25">
        <v>34</v>
      </c>
      <c r="B41" s="26">
        <v>45051</v>
      </c>
      <c r="C41" s="27" t="s">
        <v>117</v>
      </c>
      <c r="D41" s="25"/>
      <c r="E41" s="28"/>
      <c r="F41" s="27"/>
      <c r="G41" s="28"/>
      <c r="H41" s="27"/>
      <c r="I41" s="28"/>
      <c r="J41" s="27">
        <v>1.2</v>
      </c>
      <c r="K41" s="29" t="s">
        <v>35</v>
      </c>
      <c r="L41" s="39"/>
      <c r="M41" s="31"/>
      <c r="N41" s="27" t="s">
        <v>76</v>
      </c>
      <c r="O41" s="307"/>
      <c r="P41" s="32"/>
      <c r="Q41" s="25"/>
      <c r="R41" s="27"/>
      <c r="S41" s="27"/>
      <c r="T41" s="28"/>
      <c r="V41" s="27" t="s">
        <v>159</v>
      </c>
      <c r="W41" s="28"/>
      <c r="X41" s="33"/>
      <c r="Y41" s="32"/>
      <c r="Z41" s="25"/>
      <c r="AA41" s="27"/>
      <c r="AB41" s="28"/>
      <c r="AC41" s="27"/>
      <c r="AD41" s="27"/>
      <c r="AE41" s="33"/>
      <c r="AG41" s="25"/>
      <c r="AH41" s="34"/>
      <c r="AI41" s="27">
        <v>0.05</v>
      </c>
      <c r="AJ41" s="27">
        <v>0.05</v>
      </c>
      <c r="AK41" s="27">
        <v>0.05</v>
      </c>
      <c r="AL41" s="25"/>
      <c r="AM41" s="34"/>
      <c r="AN41" s="27">
        <v>0.05</v>
      </c>
      <c r="AO41" s="27">
        <v>2.5000000000000001E-2</v>
      </c>
      <c r="AP41" s="36">
        <v>0.5</v>
      </c>
      <c r="AQ41" s="37"/>
      <c r="AR41" s="32"/>
      <c r="AS41" s="25" t="s">
        <v>72</v>
      </c>
      <c r="AT41" s="27" t="s">
        <v>52</v>
      </c>
      <c r="AU41" s="27"/>
      <c r="AW41" s="25"/>
      <c r="AX41" s="27"/>
      <c r="AY41" s="27"/>
      <c r="AZ41" s="32"/>
      <c r="BA41" s="41"/>
    </row>
    <row r="42" spans="1:53" ht="16" thickBot="1" x14ac:dyDescent="0.25">
      <c r="A42" s="25">
        <v>35</v>
      </c>
      <c r="B42" s="26">
        <v>45052</v>
      </c>
      <c r="C42" s="27" t="s">
        <v>117</v>
      </c>
      <c r="D42" s="25"/>
      <c r="E42" s="28"/>
      <c r="F42" s="27"/>
      <c r="G42" s="28"/>
      <c r="H42" s="27"/>
      <c r="I42" s="28"/>
      <c r="J42" s="27">
        <v>1.2</v>
      </c>
      <c r="K42" s="29" t="s">
        <v>35</v>
      </c>
      <c r="L42" s="39"/>
      <c r="M42" s="31"/>
      <c r="N42" s="27" t="s">
        <v>76</v>
      </c>
      <c r="O42" s="307"/>
      <c r="P42" s="32"/>
      <c r="Q42" s="25"/>
      <c r="R42" s="27"/>
      <c r="S42" s="27"/>
      <c r="T42" s="28"/>
      <c r="V42" s="27" t="s">
        <v>159</v>
      </c>
      <c r="W42" s="28"/>
      <c r="X42" s="33"/>
      <c r="Y42" s="32"/>
      <c r="Z42" s="25"/>
      <c r="AA42" s="27"/>
      <c r="AB42" s="28"/>
      <c r="AC42" s="27"/>
      <c r="AD42" s="27"/>
      <c r="AE42" s="33"/>
      <c r="AG42" s="25"/>
      <c r="AH42" s="34"/>
      <c r="AI42" s="27">
        <v>0.05</v>
      </c>
      <c r="AJ42" s="27">
        <v>0.05</v>
      </c>
      <c r="AK42" s="27">
        <v>0.05</v>
      </c>
      <c r="AL42" s="25"/>
      <c r="AM42" s="34"/>
      <c r="AN42" s="27">
        <v>0.05</v>
      </c>
      <c r="AO42" s="27">
        <v>0.05</v>
      </c>
      <c r="AP42" s="36">
        <v>0.05</v>
      </c>
      <c r="AQ42" s="37"/>
      <c r="AR42" s="32"/>
      <c r="AS42" s="25" t="s">
        <v>72</v>
      </c>
      <c r="AT42" s="27" t="s">
        <v>52</v>
      </c>
      <c r="AU42" s="58" t="s">
        <v>77</v>
      </c>
      <c r="AW42" s="25"/>
      <c r="AX42" s="27"/>
      <c r="AY42" s="27"/>
      <c r="AZ42" s="32"/>
      <c r="BA42" s="41"/>
    </row>
    <row r="43" spans="1:53" ht="16" thickBot="1" x14ac:dyDescent="0.25">
      <c r="A43" s="25">
        <v>36</v>
      </c>
      <c r="B43" s="26">
        <v>45053</v>
      </c>
      <c r="C43" s="27"/>
      <c r="D43" s="25"/>
      <c r="E43" s="28"/>
      <c r="F43" s="27"/>
      <c r="G43" s="28"/>
      <c r="H43" s="27"/>
      <c r="I43" s="28"/>
      <c r="J43" s="27">
        <v>1.2</v>
      </c>
      <c r="K43" s="29" t="s">
        <v>35</v>
      </c>
      <c r="L43" s="53"/>
      <c r="M43" s="31"/>
      <c r="N43" s="27" t="s">
        <v>76</v>
      </c>
      <c r="O43" s="307"/>
      <c r="P43" s="32"/>
      <c r="Q43" s="25"/>
      <c r="R43" s="27"/>
      <c r="S43" s="27"/>
      <c r="T43" s="28"/>
      <c r="V43" s="27" t="s">
        <v>159</v>
      </c>
      <c r="W43" s="28"/>
      <c r="X43" s="33"/>
      <c r="Y43" s="32"/>
      <c r="Z43" s="25"/>
      <c r="AA43" s="27"/>
      <c r="AB43" s="28"/>
      <c r="AC43" s="27"/>
      <c r="AD43" s="27"/>
      <c r="AE43" s="33"/>
      <c r="AG43" s="25"/>
      <c r="AH43" s="34"/>
      <c r="AI43" s="27">
        <v>0.05</v>
      </c>
      <c r="AJ43" s="27">
        <v>0.05</v>
      </c>
      <c r="AK43" s="27">
        <v>0.05</v>
      </c>
      <c r="AL43" s="25"/>
      <c r="AM43" s="34"/>
      <c r="AN43" s="27">
        <v>0.05</v>
      </c>
      <c r="AO43" s="27">
        <v>0.05</v>
      </c>
      <c r="AP43" s="36">
        <v>0.05</v>
      </c>
      <c r="AQ43" s="37"/>
      <c r="AR43" s="32"/>
      <c r="AS43" s="25" t="s">
        <v>78</v>
      </c>
      <c r="AT43" s="27" t="s">
        <v>52</v>
      </c>
      <c r="AW43" s="25"/>
      <c r="AX43" s="27"/>
      <c r="AY43" s="27"/>
      <c r="AZ43" s="32"/>
      <c r="BA43" s="41"/>
    </row>
    <row r="44" spans="1:53" ht="16" thickBot="1" x14ac:dyDescent="0.25">
      <c r="A44" s="25">
        <v>37</v>
      </c>
      <c r="B44" s="26">
        <v>45054</v>
      </c>
      <c r="C44" s="27"/>
      <c r="D44" s="25"/>
      <c r="E44" s="28"/>
      <c r="F44" s="27"/>
      <c r="G44" s="28"/>
      <c r="H44" s="27"/>
      <c r="I44" s="28"/>
      <c r="J44" s="27">
        <v>1.2</v>
      </c>
      <c r="K44" s="29" t="s">
        <v>35</v>
      </c>
      <c r="L44" s="53"/>
      <c r="M44" s="31"/>
      <c r="N44" s="27" t="s">
        <v>76</v>
      </c>
      <c r="O44" s="307"/>
      <c r="P44" s="32"/>
      <c r="Q44" s="25"/>
      <c r="R44" s="27"/>
      <c r="S44" s="27"/>
      <c r="T44" s="28"/>
      <c r="V44" s="27" t="s">
        <v>159</v>
      </c>
      <c r="W44" s="28"/>
      <c r="X44" s="33"/>
      <c r="Y44" s="32"/>
      <c r="Z44" s="59"/>
      <c r="AA44" s="60"/>
      <c r="AB44" s="61"/>
      <c r="AC44" s="27"/>
      <c r="AD44" s="27"/>
      <c r="AE44" s="33"/>
      <c r="AG44" s="25"/>
      <c r="AH44" s="34"/>
      <c r="AI44" s="27">
        <v>0.05</v>
      </c>
      <c r="AJ44" s="27">
        <v>0.05</v>
      </c>
      <c r="AK44" s="27">
        <v>0.05</v>
      </c>
      <c r="AL44" s="25"/>
      <c r="AM44" s="34"/>
      <c r="AN44" s="27">
        <v>0.05</v>
      </c>
      <c r="AO44" s="27">
        <v>0.05</v>
      </c>
      <c r="AP44" s="36">
        <v>0.05</v>
      </c>
      <c r="AQ44" s="37"/>
      <c r="AR44" s="32"/>
      <c r="AS44" s="25" t="s">
        <v>78</v>
      </c>
      <c r="AT44" s="27" t="s">
        <v>52</v>
      </c>
      <c r="AU44" s="27"/>
      <c r="AW44" s="25"/>
      <c r="AX44" s="27"/>
      <c r="AY44" s="27"/>
      <c r="AZ44" s="32"/>
      <c r="BA44" s="41"/>
    </row>
    <row r="45" spans="1:53" x14ac:dyDescent="0.2">
      <c r="A45" s="25">
        <v>38</v>
      </c>
      <c r="B45" s="26">
        <v>45055</v>
      </c>
      <c r="C45" s="27" t="s">
        <v>117</v>
      </c>
      <c r="D45" s="25"/>
      <c r="E45" s="28"/>
      <c r="F45" s="27"/>
      <c r="G45" s="28"/>
      <c r="H45" s="27"/>
      <c r="I45" s="28"/>
      <c r="J45" s="27">
        <v>1.2</v>
      </c>
      <c r="K45" s="29" t="s">
        <v>35</v>
      </c>
      <c r="L45" s="39"/>
      <c r="M45" s="31"/>
      <c r="N45" s="27" t="s">
        <v>76</v>
      </c>
      <c r="O45" s="307"/>
      <c r="P45" s="32"/>
      <c r="Q45" s="25"/>
      <c r="R45" s="27"/>
      <c r="S45" s="27"/>
      <c r="T45" s="28"/>
      <c r="V45" s="27" t="s">
        <v>159</v>
      </c>
      <c r="W45" s="28"/>
      <c r="X45" s="33"/>
      <c r="Y45" s="32"/>
      <c r="Z45" s="25"/>
      <c r="AA45" s="27"/>
      <c r="AB45" s="28"/>
      <c r="AC45" s="27"/>
      <c r="AD45" s="27"/>
      <c r="AE45" s="33"/>
      <c r="AG45" s="25"/>
      <c r="AH45" s="34"/>
      <c r="AI45" s="27">
        <v>0.05</v>
      </c>
      <c r="AJ45" s="27">
        <v>0.05</v>
      </c>
      <c r="AK45" s="27">
        <v>0.05</v>
      </c>
      <c r="AL45" s="25"/>
      <c r="AM45" s="34"/>
      <c r="AN45" s="27">
        <v>0.05</v>
      </c>
      <c r="AO45" s="27">
        <v>0.5</v>
      </c>
      <c r="AP45" s="36">
        <v>0.05</v>
      </c>
      <c r="AQ45" s="37"/>
      <c r="AR45" s="32"/>
      <c r="AS45" s="25" t="s">
        <v>78</v>
      </c>
      <c r="AT45" s="27" t="s">
        <v>52</v>
      </c>
      <c r="AU45" s="27"/>
      <c r="AW45" s="25"/>
      <c r="AX45" s="27"/>
      <c r="AY45" s="27"/>
      <c r="AZ45" s="32"/>
      <c r="BA45" s="41"/>
    </row>
    <row r="46" spans="1:53" ht="16" thickBot="1" x14ac:dyDescent="0.25">
      <c r="A46" s="25">
        <v>39</v>
      </c>
      <c r="B46" s="26">
        <v>45056</v>
      </c>
      <c r="C46" s="27" t="s">
        <v>117</v>
      </c>
      <c r="D46" s="25"/>
      <c r="E46" s="28"/>
      <c r="F46" s="27"/>
      <c r="G46" s="28"/>
      <c r="H46" s="27"/>
      <c r="I46" s="28"/>
      <c r="J46" s="27">
        <v>1.2</v>
      </c>
      <c r="K46" s="29" t="s">
        <v>35</v>
      </c>
      <c r="M46" s="31"/>
      <c r="N46" s="27" t="s">
        <v>76</v>
      </c>
      <c r="O46" s="307"/>
      <c r="P46" s="32"/>
      <c r="Q46" s="25"/>
      <c r="R46" s="27"/>
      <c r="S46" s="27"/>
      <c r="T46" s="28"/>
      <c r="V46" s="27" t="s">
        <v>159</v>
      </c>
      <c r="W46" s="28"/>
      <c r="X46" s="33"/>
      <c r="Y46" s="32"/>
      <c r="Z46" s="25"/>
      <c r="AA46" s="27"/>
      <c r="AB46" s="28"/>
      <c r="AC46" s="27"/>
      <c r="AD46" s="27"/>
      <c r="AE46" s="33"/>
      <c r="AG46" s="25"/>
      <c r="AH46" s="34"/>
      <c r="AI46" s="27">
        <v>0.05</v>
      </c>
      <c r="AJ46" s="27">
        <v>0.05</v>
      </c>
      <c r="AK46" s="27">
        <v>0.05</v>
      </c>
      <c r="AL46" s="25"/>
      <c r="AM46" s="34"/>
      <c r="AN46" s="27">
        <v>0.05</v>
      </c>
      <c r="AO46" s="27">
        <v>0.05</v>
      </c>
      <c r="AP46" s="36">
        <v>0.05</v>
      </c>
      <c r="AQ46" s="37"/>
      <c r="AR46" s="32"/>
      <c r="AS46" s="25" t="s">
        <v>78</v>
      </c>
      <c r="AT46" s="27" t="s">
        <v>52</v>
      </c>
      <c r="AU46" s="27"/>
      <c r="AW46" s="25"/>
      <c r="AX46" s="27"/>
      <c r="AY46" s="27"/>
      <c r="AZ46" s="32"/>
      <c r="BA46" s="41"/>
    </row>
    <row r="47" spans="1:53" ht="16" thickBot="1" x14ac:dyDescent="0.25">
      <c r="A47" s="25">
        <v>40</v>
      </c>
      <c r="B47" s="26">
        <v>45057</v>
      </c>
      <c r="C47" s="27" t="s">
        <v>140</v>
      </c>
      <c r="D47" s="25"/>
      <c r="E47" s="28"/>
      <c r="F47" s="27"/>
      <c r="G47" s="28"/>
      <c r="H47" s="27"/>
      <c r="I47" s="28"/>
      <c r="J47" s="27">
        <v>1.2</v>
      </c>
      <c r="K47" s="29" t="s">
        <v>35</v>
      </c>
      <c r="L47" s="53"/>
      <c r="M47" s="31"/>
      <c r="N47" s="27" t="s">
        <v>76</v>
      </c>
      <c r="O47" s="308"/>
      <c r="Q47" s="25"/>
      <c r="R47" s="27"/>
      <c r="S47" s="27"/>
      <c r="T47" s="28"/>
      <c r="V47" s="27" t="s">
        <v>159</v>
      </c>
      <c r="W47" s="28"/>
      <c r="X47" s="33"/>
      <c r="Y47" s="32"/>
      <c r="Z47" s="59"/>
      <c r="AA47" s="60"/>
      <c r="AB47" s="61"/>
      <c r="AC47" s="27"/>
      <c r="AD47" s="27"/>
      <c r="AE47" s="33"/>
      <c r="AG47" s="25"/>
      <c r="AH47" s="34"/>
      <c r="AI47" s="27">
        <v>0.05</v>
      </c>
      <c r="AJ47" s="27">
        <v>0.05</v>
      </c>
      <c r="AK47" s="27">
        <v>0.05</v>
      </c>
      <c r="AL47" s="25"/>
      <c r="AM47" s="34"/>
      <c r="AN47" s="27">
        <v>0.05</v>
      </c>
      <c r="AO47" s="27">
        <v>0.05</v>
      </c>
      <c r="AP47" s="36">
        <v>0.05</v>
      </c>
      <c r="AQ47" s="37"/>
      <c r="AR47" s="32"/>
      <c r="AS47" s="25" t="s">
        <v>79</v>
      </c>
      <c r="AT47" s="27" t="s">
        <v>52</v>
      </c>
      <c r="AU47" s="58" t="s">
        <v>80</v>
      </c>
      <c r="AW47" s="25"/>
      <c r="AX47" s="27"/>
      <c r="AY47" s="27"/>
      <c r="AZ47" s="32"/>
      <c r="BA47" s="41"/>
    </row>
    <row r="48" spans="1:53" s="125" customFormat="1" x14ac:dyDescent="0.2">
      <c r="A48" s="108">
        <v>41</v>
      </c>
      <c r="B48" s="109">
        <v>45058</v>
      </c>
      <c r="C48" s="112" t="s">
        <v>117</v>
      </c>
      <c r="D48" s="108"/>
      <c r="E48" s="111"/>
      <c r="F48" s="112"/>
      <c r="G48" s="111"/>
      <c r="H48" s="112"/>
      <c r="I48" s="111"/>
      <c r="J48" s="112">
        <v>1.2</v>
      </c>
      <c r="K48" s="113" t="s">
        <v>35</v>
      </c>
      <c r="L48" s="125" t="s">
        <v>176</v>
      </c>
      <c r="M48" s="115"/>
      <c r="N48" s="112" t="s">
        <v>76</v>
      </c>
      <c r="O48" s="121"/>
      <c r="P48" s="116"/>
      <c r="Q48" s="108"/>
      <c r="R48" s="112"/>
      <c r="S48" s="112"/>
      <c r="T48" s="111"/>
      <c r="V48" s="112" t="s">
        <v>159</v>
      </c>
      <c r="W48" s="111"/>
      <c r="X48" s="117"/>
      <c r="Y48" s="116"/>
      <c r="Z48" s="108"/>
      <c r="AA48" s="112"/>
      <c r="AB48" s="111"/>
      <c r="AC48" s="112"/>
      <c r="AD48" s="112"/>
      <c r="AE48" s="117"/>
      <c r="AF48" s="121"/>
      <c r="AG48" s="108"/>
      <c r="AH48" s="122"/>
      <c r="AI48" s="112"/>
      <c r="AJ48" s="112"/>
      <c r="AK48" s="112"/>
      <c r="AL48" s="108"/>
      <c r="AM48" s="122"/>
      <c r="AN48" s="112"/>
      <c r="AO48" s="112"/>
      <c r="AP48" s="154"/>
      <c r="AQ48" s="123"/>
      <c r="AR48" s="116"/>
      <c r="AS48" s="108" t="s">
        <v>79</v>
      </c>
      <c r="AT48" s="112" t="s">
        <v>52</v>
      </c>
      <c r="AU48" s="112"/>
      <c r="AV48" s="121"/>
      <c r="AW48" s="108"/>
      <c r="AX48" s="112"/>
      <c r="AY48" s="112"/>
      <c r="AZ48" s="116"/>
      <c r="BA48" s="124"/>
    </row>
    <row r="49" spans="1:53" x14ac:dyDescent="0.2">
      <c r="A49" s="25">
        <v>42</v>
      </c>
      <c r="B49" s="26">
        <v>45059</v>
      </c>
      <c r="C49" s="27"/>
      <c r="D49" s="25"/>
      <c r="E49" s="28"/>
      <c r="F49" s="27"/>
      <c r="G49" s="28"/>
      <c r="H49" s="27"/>
      <c r="I49" s="28"/>
      <c r="J49" s="27">
        <v>1.2</v>
      </c>
      <c r="K49" s="29" t="s">
        <v>35</v>
      </c>
      <c r="L49" s="39"/>
      <c r="M49" s="31"/>
      <c r="N49" s="27" t="s">
        <v>76</v>
      </c>
      <c r="P49" s="32"/>
      <c r="Q49" s="25"/>
      <c r="R49" s="27"/>
      <c r="S49" s="27"/>
      <c r="T49" s="28"/>
      <c r="V49" s="27" t="s">
        <v>159</v>
      </c>
      <c r="W49" s="28"/>
      <c r="X49" s="33"/>
      <c r="Y49" s="32"/>
      <c r="Z49" s="25"/>
      <c r="AA49" s="27"/>
      <c r="AB49" s="28"/>
      <c r="AC49" s="27"/>
      <c r="AD49" s="27"/>
      <c r="AE49" s="33"/>
      <c r="AG49" s="25"/>
      <c r="AH49" s="34"/>
      <c r="AI49" s="27"/>
      <c r="AJ49" s="27"/>
      <c r="AK49" s="27"/>
      <c r="AL49" s="25"/>
      <c r="AM49" s="34"/>
      <c r="AN49" s="27"/>
      <c r="AO49" s="27"/>
      <c r="AP49" s="36"/>
      <c r="AQ49" s="37"/>
      <c r="AR49" s="32"/>
      <c r="AS49" s="25" t="s">
        <v>79</v>
      </c>
      <c r="AT49" s="27" t="s">
        <v>52</v>
      </c>
      <c r="AU49" s="27"/>
      <c r="AW49" s="25"/>
      <c r="AX49" s="27"/>
      <c r="AY49" s="27"/>
      <c r="AZ49" s="32"/>
      <c r="BA49" s="41"/>
    </row>
    <row r="50" spans="1:53" ht="16" thickBot="1" x14ac:dyDescent="0.25">
      <c r="A50" s="25">
        <v>43</v>
      </c>
      <c r="B50" s="26">
        <v>45060</v>
      </c>
      <c r="C50" s="27"/>
      <c r="D50" s="25"/>
      <c r="E50" s="28"/>
      <c r="F50" s="27"/>
      <c r="G50" s="28"/>
      <c r="H50" s="27"/>
      <c r="I50" s="28"/>
      <c r="J50" s="27">
        <v>1.2</v>
      </c>
      <c r="K50" s="29" t="s">
        <v>35</v>
      </c>
      <c r="L50" s="39"/>
      <c r="M50" s="31"/>
      <c r="N50" s="27" t="s">
        <v>76</v>
      </c>
      <c r="P50" s="32"/>
      <c r="Q50" s="25"/>
      <c r="R50" s="27"/>
      <c r="S50" s="27"/>
      <c r="T50" s="28"/>
      <c r="V50" s="27" t="s">
        <v>159</v>
      </c>
      <c r="W50" s="28"/>
      <c r="X50" s="33"/>
      <c r="Y50" s="32"/>
      <c r="Z50" s="25"/>
      <c r="AA50" s="27"/>
      <c r="AB50" s="28"/>
      <c r="AC50" s="27"/>
      <c r="AD50" s="27"/>
      <c r="AE50" s="33"/>
      <c r="AG50" s="25"/>
      <c r="AH50" s="34"/>
      <c r="AI50" s="27"/>
      <c r="AJ50" s="27"/>
      <c r="AK50" s="27"/>
      <c r="AL50" s="25"/>
      <c r="AM50" s="34"/>
      <c r="AN50" s="27"/>
      <c r="AO50" s="27"/>
      <c r="AP50" s="36"/>
      <c r="AQ50" s="37"/>
      <c r="AR50" s="32"/>
      <c r="AS50" s="25" t="s">
        <v>79</v>
      </c>
      <c r="AT50" s="27" t="s">
        <v>52</v>
      </c>
      <c r="AU50" s="27"/>
      <c r="AW50" s="25"/>
      <c r="AX50" s="27"/>
      <c r="AY50" s="27"/>
      <c r="AZ50" s="32"/>
      <c r="BA50" s="41"/>
    </row>
    <row r="51" spans="1:53" ht="16" thickBot="1" x14ac:dyDescent="0.25">
      <c r="A51" s="25">
        <v>44</v>
      </c>
      <c r="B51" s="26">
        <v>45061</v>
      </c>
      <c r="C51" s="27"/>
      <c r="D51" s="25"/>
      <c r="E51" s="28"/>
      <c r="F51" s="27"/>
      <c r="G51" s="28"/>
      <c r="H51" s="27"/>
      <c r="I51" s="28"/>
      <c r="J51" s="27">
        <v>1.2</v>
      </c>
      <c r="K51" s="29" t="s">
        <v>35</v>
      </c>
      <c r="L51" s="39"/>
      <c r="M51" s="31"/>
      <c r="N51" s="27" t="s">
        <v>76</v>
      </c>
      <c r="P51" s="32"/>
      <c r="Q51" s="27"/>
      <c r="R51" s="27"/>
      <c r="S51" s="27"/>
      <c r="T51" s="28"/>
      <c r="V51" s="27" t="s">
        <v>159</v>
      </c>
      <c r="W51" s="28"/>
      <c r="X51" s="33"/>
      <c r="Y51" s="32"/>
      <c r="Z51" s="59"/>
      <c r="AA51" s="60"/>
      <c r="AB51" s="61"/>
      <c r="AC51" s="27"/>
      <c r="AD51" s="27"/>
      <c r="AE51" s="33"/>
      <c r="AG51" s="25"/>
      <c r="AH51" s="34"/>
      <c r="AI51" s="27"/>
      <c r="AJ51" s="27"/>
      <c r="AK51" s="27"/>
      <c r="AL51" s="25"/>
      <c r="AM51" s="34"/>
      <c r="AN51" s="27"/>
      <c r="AO51" s="27"/>
      <c r="AP51" s="36"/>
      <c r="AQ51" s="37"/>
      <c r="AR51" s="32"/>
      <c r="AS51" s="25" t="s">
        <v>79</v>
      </c>
      <c r="AT51" s="27" t="s">
        <v>52</v>
      </c>
      <c r="AU51" s="58" t="s">
        <v>81</v>
      </c>
      <c r="AW51" s="25"/>
      <c r="AX51" s="27"/>
      <c r="AY51" s="27"/>
      <c r="AZ51" s="32"/>
      <c r="BA51" s="41"/>
    </row>
    <row r="52" spans="1:53" x14ac:dyDescent="0.2">
      <c r="A52" s="25">
        <v>45</v>
      </c>
      <c r="B52" s="26">
        <v>45062</v>
      </c>
      <c r="C52" s="27"/>
      <c r="D52" s="25"/>
      <c r="E52" s="28"/>
      <c r="F52" s="27"/>
      <c r="G52" s="28"/>
      <c r="H52" s="27"/>
      <c r="I52" s="28"/>
      <c r="J52" s="27">
        <v>1.2</v>
      </c>
      <c r="K52" s="29" t="s">
        <v>35</v>
      </c>
      <c r="L52" s="39"/>
      <c r="M52" s="31"/>
      <c r="N52" s="27" t="s">
        <v>76</v>
      </c>
      <c r="P52" s="32"/>
      <c r="Q52" s="25"/>
      <c r="R52" s="27"/>
      <c r="S52" s="27"/>
      <c r="T52" s="28"/>
      <c r="U52" s="27"/>
      <c r="V52" s="27" t="s">
        <v>159</v>
      </c>
      <c r="W52" s="28"/>
      <c r="X52" s="33"/>
      <c r="Y52" s="32"/>
      <c r="Z52" s="25"/>
      <c r="AA52" s="27"/>
      <c r="AB52" s="28"/>
      <c r="AC52" s="27"/>
      <c r="AD52" s="27"/>
      <c r="AE52" s="33"/>
      <c r="AG52" s="25"/>
      <c r="AH52" s="34"/>
      <c r="AI52" s="27"/>
      <c r="AJ52" s="27"/>
      <c r="AK52" s="27"/>
      <c r="AL52" s="25"/>
      <c r="AM52" s="34"/>
      <c r="AN52" s="27"/>
      <c r="AO52" s="27"/>
      <c r="AP52" s="36"/>
      <c r="AQ52" s="37"/>
      <c r="AR52" s="32"/>
      <c r="AS52" s="25" t="s">
        <v>82</v>
      </c>
      <c r="AT52" s="27" t="s">
        <v>52</v>
      </c>
      <c r="AW52" s="25"/>
      <c r="AX52" s="27"/>
      <c r="AY52" s="27"/>
      <c r="AZ52" s="32"/>
      <c r="BA52" s="41"/>
    </row>
    <row r="53" spans="1:53" x14ac:dyDescent="0.2">
      <c r="A53" s="25">
        <v>46</v>
      </c>
      <c r="B53" s="26">
        <v>45063</v>
      </c>
      <c r="C53" s="27"/>
      <c r="D53" s="25"/>
      <c r="E53" s="28"/>
      <c r="F53" s="27"/>
      <c r="G53" s="28"/>
      <c r="H53" s="27"/>
      <c r="I53" s="28"/>
      <c r="J53" s="27">
        <v>1.2</v>
      </c>
      <c r="K53" s="29" t="s">
        <v>35</v>
      </c>
      <c r="L53" s="39"/>
      <c r="M53" s="31"/>
      <c r="N53" s="27" t="s">
        <v>76</v>
      </c>
      <c r="P53" s="32"/>
      <c r="Q53" s="25"/>
      <c r="R53" s="27"/>
      <c r="S53" s="27"/>
      <c r="T53" s="28"/>
      <c r="U53" s="27"/>
      <c r="V53" s="27" t="s">
        <v>159</v>
      </c>
      <c r="W53" s="28"/>
      <c r="X53" s="33"/>
      <c r="Y53" s="32"/>
      <c r="Z53" s="25"/>
      <c r="AA53" s="27"/>
      <c r="AB53" s="28"/>
      <c r="AC53" s="27"/>
      <c r="AD53" s="27"/>
      <c r="AE53" s="33"/>
      <c r="AG53" s="25"/>
      <c r="AH53" s="34"/>
      <c r="AI53" s="27"/>
      <c r="AJ53" s="27"/>
      <c r="AK53" s="27"/>
      <c r="AL53" s="25"/>
      <c r="AM53" s="34"/>
      <c r="AN53" s="27"/>
      <c r="AO53" s="27"/>
      <c r="AP53" s="36"/>
      <c r="AQ53" s="37"/>
      <c r="AR53" s="32"/>
      <c r="AS53" s="25" t="s">
        <v>82</v>
      </c>
      <c r="AT53" s="27" t="s">
        <v>52</v>
      </c>
      <c r="AU53" s="27"/>
      <c r="AW53" s="25"/>
      <c r="AX53" s="27"/>
      <c r="AY53" s="27"/>
      <c r="AZ53" s="32"/>
      <c r="BA53" s="41"/>
    </row>
    <row r="54" spans="1:53" x14ac:dyDescent="0.2">
      <c r="A54" s="25">
        <v>47</v>
      </c>
      <c r="B54" s="26">
        <v>45064</v>
      </c>
      <c r="C54" s="27"/>
      <c r="D54" s="25"/>
      <c r="E54" s="28"/>
      <c r="F54" s="27"/>
      <c r="G54" s="28"/>
      <c r="H54" s="27"/>
      <c r="I54" s="28"/>
      <c r="J54" s="27">
        <v>1.2</v>
      </c>
      <c r="K54" s="29" t="s">
        <v>35</v>
      </c>
      <c r="L54" s="39"/>
      <c r="M54" s="31"/>
      <c r="N54" s="27" t="s">
        <v>76</v>
      </c>
      <c r="P54" s="32"/>
      <c r="Q54" s="25"/>
      <c r="R54" s="27"/>
      <c r="S54" s="27"/>
      <c r="T54" s="28"/>
      <c r="U54" s="27"/>
      <c r="V54" s="27" t="s">
        <v>159</v>
      </c>
      <c r="W54" s="28"/>
      <c r="X54" s="33"/>
      <c r="Y54" s="32"/>
      <c r="Z54" s="25"/>
      <c r="AA54" s="27"/>
      <c r="AB54" s="28"/>
      <c r="AC54" s="27"/>
      <c r="AD54" s="27"/>
      <c r="AE54" s="33"/>
      <c r="AG54" s="25"/>
      <c r="AH54" s="34"/>
      <c r="AI54" s="27"/>
      <c r="AJ54" s="27"/>
      <c r="AK54" s="27"/>
      <c r="AL54" s="25"/>
      <c r="AM54" s="34"/>
      <c r="AN54" s="27"/>
      <c r="AO54" s="27"/>
      <c r="AP54" s="36"/>
      <c r="AQ54" s="37"/>
      <c r="AR54" s="32"/>
      <c r="AS54" s="25" t="s">
        <v>82</v>
      </c>
      <c r="AT54" s="27" t="s">
        <v>52</v>
      </c>
      <c r="AU54" s="27"/>
      <c r="AW54" s="25"/>
      <c r="AX54" s="27"/>
      <c r="AY54" s="27"/>
      <c r="AZ54" s="32"/>
      <c r="BA54" s="41"/>
    </row>
    <row r="55" spans="1:53" x14ac:dyDescent="0.2">
      <c r="A55" s="25">
        <v>48</v>
      </c>
      <c r="B55" s="26">
        <v>45065</v>
      </c>
      <c r="C55" s="27"/>
      <c r="D55" s="25"/>
      <c r="E55" s="28"/>
      <c r="F55" s="27"/>
      <c r="G55" s="28"/>
      <c r="H55" s="27"/>
      <c r="I55" s="28"/>
      <c r="J55" s="27">
        <v>1.2</v>
      </c>
      <c r="K55" s="29" t="s">
        <v>35</v>
      </c>
      <c r="M55" s="31"/>
      <c r="N55" s="27" t="s">
        <v>76</v>
      </c>
      <c r="P55" s="32"/>
      <c r="Q55" s="25"/>
      <c r="R55" s="27"/>
      <c r="S55" s="27"/>
      <c r="T55" s="28"/>
      <c r="U55" s="27"/>
      <c r="V55" s="27" t="s">
        <v>159</v>
      </c>
      <c r="W55" s="28"/>
      <c r="X55" s="33"/>
      <c r="Y55" s="32"/>
      <c r="Z55" s="25"/>
      <c r="AA55" s="27"/>
      <c r="AB55" s="28"/>
      <c r="AC55" s="27"/>
      <c r="AD55" s="27"/>
      <c r="AE55" s="33"/>
      <c r="AG55" s="25"/>
      <c r="AH55" s="34"/>
      <c r="AI55" s="27"/>
      <c r="AJ55" s="27"/>
      <c r="AK55" s="27"/>
      <c r="AL55" s="25"/>
      <c r="AM55" s="34"/>
      <c r="AN55" s="27"/>
      <c r="AO55" s="27"/>
      <c r="AP55" s="36"/>
      <c r="AQ55" s="37"/>
      <c r="AR55" s="32"/>
      <c r="AS55" s="25" t="s">
        <v>82</v>
      </c>
      <c r="AT55" s="27" t="s">
        <v>52</v>
      </c>
      <c r="AU55" s="27"/>
      <c r="AW55" s="25"/>
      <c r="AX55" s="27"/>
      <c r="AY55" s="27"/>
      <c r="AZ55" s="32"/>
      <c r="BA55" s="41"/>
    </row>
    <row r="56" spans="1:53" ht="16" thickBot="1" x14ac:dyDescent="0.25">
      <c r="A56" s="25">
        <v>49</v>
      </c>
      <c r="B56" s="26">
        <v>45066</v>
      </c>
      <c r="C56" s="27"/>
      <c r="D56" s="25"/>
      <c r="E56" s="28"/>
      <c r="F56" s="27"/>
      <c r="G56" s="28"/>
      <c r="H56" s="27"/>
      <c r="I56" s="28"/>
      <c r="J56" s="27">
        <v>1.2</v>
      </c>
      <c r="K56" s="29" t="s">
        <v>35</v>
      </c>
      <c r="L56" s="39"/>
      <c r="M56" s="31"/>
      <c r="N56" s="27" t="s">
        <v>76</v>
      </c>
      <c r="P56" s="32"/>
      <c r="Q56" s="25"/>
      <c r="R56" s="27"/>
      <c r="S56" s="27"/>
      <c r="T56" s="28"/>
      <c r="U56" s="27"/>
      <c r="V56" s="27" t="s">
        <v>159</v>
      </c>
      <c r="W56" s="28"/>
      <c r="X56" s="33"/>
      <c r="Y56" s="32"/>
      <c r="Z56" s="25"/>
      <c r="AA56" s="27"/>
      <c r="AB56" s="28"/>
      <c r="AC56" s="27"/>
      <c r="AD56" s="27"/>
      <c r="AE56" s="33"/>
      <c r="AG56" s="25"/>
      <c r="AH56" s="34"/>
      <c r="AI56" s="27"/>
      <c r="AJ56" s="27"/>
      <c r="AK56" s="27"/>
      <c r="AL56" s="25"/>
      <c r="AM56" s="34"/>
      <c r="AN56" s="27"/>
      <c r="AO56" s="27"/>
      <c r="AP56" s="36"/>
      <c r="AQ56" s="37"/>
      <c r="AR56" s="32"/>
      <c r="AS56" s="25" t="s">
        <v>82</v>
      </c>
      <c r="AT56" s="27" t="s">
        <v>52</v>
      </c>
      <c r="AU56" s="27"/>
      <c r="AW56" s="25"/>
      <c r="AX56" s="27"/>
      <c r="AY56" s="27"/>
      <c r="AZ56" s="32"/>
      <c r="BA56" s="41"/>
    </row>
    <row r="57" spans="1:53" ht="16" thickBot="1" x14ac:dyDescent="0.25">
      <c r="A57" s="25">
        <v>50</v>
      </c>
      <c r="B57" s="26">
        <v>45067</v>
      </c>
      <c r="C57" s="27"/>
      <c r="D57" s="25"/>
      <c r="E57" s="28"/>
      <c r="F57" s="27"/>
      <c r="G57" s="28"/>
      <c r="H57" s="27"/>
      <c r="I57" s="28"/>
      <c r="J57" s="27">
        <v>1.2</v>
      </c>
      <c r="K57" s="29" t="s">
        <v>35</v>
      </c>
      <c r="L57" s="44" t="s">
        <v>83</v>
      </c>
      <c r="M57" s="31"/>
      <c r="N57" s="27" t="s">
        <v>76</v>
      </c>
      <c r="O57" s="45" t="s">
        <v>84</v>
      </c>
      <c r="P57" s="46" t="s">
        <v>85</v>
      </c>
      <c r="Q57" s="25"/>
      <c r="R57" s="27"/>
      <c r="S57" s="27"/>
      <c r="T57" s="28"/>
      <c r="U57" s="27"/>
      <c r="V57" s="27" t="s">
        <v>159</v>
      </c>
      <c r="W57" s="28"/>
      <c r="X57" s="33"/>
      <c r="Y57" s="32"/>
      <c r="Z57" s="25"/>
      <c r="AA57" s="27"/>
      <c r="AB57" s="28"/>
      <c r="AC57" s="27"/>
      <c r="AD57" s="27"/>
      <c r="AE57" s="33"/>
      <c r="AG57" s="25"/>
      <c r="AH57" s="34"/>
      <c r="AI57" s="27"/>
      <c r="AJ57" s="27"/>
      <c r="AK57" s="27"/>
      <c r="AL57" s="25"/>
      <c r="AM57" s="34"/>
      <c r="AN57" s="27"/>
      <c r="AO57" s="27"/>
      <c r="AP57" s="36"/>
      <c r="AQ57" s="37"/>
      <c r="AR57" s="32"/>
      <c r="AS57" s="25" t="s">
        <v>86</v>
      </c>
      <c r="AT57" s="27" t="s">
        <v>87</v>
      </c>
      <c r="AU57" s="58" t="s">
        <v>88</v>
      </c>
      <c r="AW57" s="25"/>
      <c r="AX57" s="27"/>
      <c r="AY57" s="27"/>
      <c r="AZ57" s="32"/>
      <c r="BA57" s="41"/>
    </row>
    <row r="58" spans="1:53" ht="16" thickBot="1" x14ac:dyDescent="0.25">
      <c r="A58" s="25">
        <v>51</v>
      </c>
      <c r="B58" s="26">
        <v>45068</v>
      </c>
      <c r="C58" s="27"/>
      <c r="D58" s="25"/>
      <c r="E58" s="28"/>
      <c r="F58" s="27"/>
      <c r="G58" s="28"/>
      <c r="H58" s="27"/>
      <c r="I58" s="28"/>
      <c r="J58" s="27">
        <v>2</v>
      </c>
      <c r="K58" s="29" t="s">
        <v>35</v>
      </c>
      <c r="L58" s="88" t="s">
        <v>89</v>
      </c>
      <c r="M58" s="31"/>
      <c r="N58" s="27"/>
      <c r="P58" s="46"/>
      <c r="Q58" s="27"/>
      <c r="R58" s="27"/>
      <c r="S58" s="27"/>
      <c r="T58" s="28"/>
      <c r="U58" s="27"/>
      <c r="V58" s="27" t="s">
        <v>159</v>
      </c>
      <c r="W58" s="28"/>
      <c r="X58" s="33"/>
      <c r="Y58" s="32"/>
      <c r="Z58" s="25"/>
      <c r="AA58" s="27"/>
      <c r="AB58" s="28"/>
      <c r="AC58" s="27"/>
      <c r="AD58" s="27"/>
      <c r="AE58" s="33"/>
      <c r="AG58" s="25"/>
      <c r="AH58" s="34"/>
      <c r="AI58" s="27"/>
      <c r="AJ58" s="27"/>
      <c r="AK58" s="27"/>
      <c r="AL58" s="25"/>
      <c r="AM58" s="34"/>
      <c r="AN58" s="27"/>
      <c r="AO58" s="27"/>
      <c r="AP58" s="36"/>
      <c r="AQ58" s="37"/>
      <c r="AR58" s="32"/>
      <c r="AS58" s="25" t="s">
        <v>86</v>
      </c>
      <c r="AT58" s="27" t="s">
        <v>87</v>
      </c>
      <c r="AU58" s="27"/>
      <c r="AW58" s="25"/>
      <c r="AX58" s="27"/>
      <c r="AY58" s="27"/>
      <c r="AZ58" s="32"/>
      <c r="BA58" s="41"/>
    </row>
    <row r="59" spans="1:53" ht="16" thickBot="1" x14ac:dyDescent="0.25">
      <c r="A59" s="25">
        <v>52</v>
      </c>
      <c r="B59" s="26">
        <v>45069</v>
      </c>
      <c r="C59" s="27"/>
      <c r="D59" s="25"/>
      <c r="E59" s="28"/>
      <c r="F59" s="27"/>
      <c r="G59" s="28"/>
      <c r="H59" s="27"/>
      <c r="I59" s="28"/>
      <c r="J59" s="27">
        <v>2</v>
      </c>
      <c r="K59" s="29" t="s">
        <v>35</v>
      </c>
      <c r="L59" s="39"/>
      <c r="M59" s="31"/>
      <c r="N59" s="27"/>
      <c r="P59" s="32"/>
      <c r="Q59" s="25"/>
      <c r="R59" s="27"/>
      <c r="S59" s="27"/>
      <c r="T59" s="28"/>
      <c r="U59" s="27"/>
      <c r="V59" s="27" t="s">
        <v>159</v>
      </c>
      <c r="W59" s="28"/>
      <c r="X59" s="33"/>
      <c r="Y59" s="32"/>
      <c r="Z59" s="25"/>
      <c r="AA59" s="27"/>
      <c r="AB59" s="28"/>
      <c r="AC59" s="27"/>
      <c r="AD59" s="27"/>
      <c r="AE59" s="33"/>
      <c r="AG59" s="25"/>
      <c r="AH59" s="34"/>
      <c r="AI59" s="27"/>
      <c r="AJ59" s="27"/>
      <c r="AK59" s="27"/>
      <c r="AL59" s="25"/>
      <c r="AM59" s="34"/>
      <c r="AN59" s="27"/>
      <c r="AO59" s="27"/>
      <c r="AP59" s="36"/>
      <c r="AQ59" s="37"/>
      <c r="AR59" s="32"/>
      <c r="AS59" s="25" t="s">
        <v>86</v>
      </c>
      <c r="AT59" s="27" t="s">
        <v>87</v>
      </c>
      <c r="AW59" s="25"/>
      <c r="AX59" s="27"/>
      <c r="AY59" s="27"/>
      <c r="AZ59" s="32"/>
      <c r="BA59" s="41"/>
    </row>
    <row r="60" spans="1:53" ht="16" thickBot="1" x14ac:dyDescent="0.25">
      <c r="A60" s="25">
        <v>53</v>
      </c>
      <c r="B60" s="26">
        <v>45070</v>
      </c>
      <c r="C60" s="27"/>
      <c r="D60" s="25"/>
      <c r="E60" s="28"/>
      <c r="F60" s="27"/>
      <c r="G60" s="28"/>
      <c r="H60" s="27"/>
      <c r="I60" s="28"/>
      <c r="J60" s="27">
        <v>2</v>
      </c>
      <c r="K60" s="29" t="s">
        <v>35</v>
      </c>
      <c r="L60" s="39"/>
      <c r="M60" s="31"/>
      <c r="N60" s="27"/>
      <c r="P60" s="32"/>
      <c r="Q60" s="25"/>
      <c r="R60" s="27"/>
      <c r="S60" s="27"/>
      <c r="T60" s="28"/>
      <c r="U60" s="27"/>
      <c r="V60" s="27" t="s">
        <v>159</v>
      </c>
      <c r="W60" s="28"/>
      <c r="X60" s="33"/>
      <c r="Y60" s="32"/>
      <c r="Z60" s="25"/>
      <c r="AA60" s="27"/>
      <c r="AB60" s="28"/>
      <c r="AC60" s="27"/>
      <c r="AD60" s="27"/>
      <c r="AE60" s="33"/>
      <c r="AG60" s="25"/>
      <c r="AH60" s="34"/>
      <c r="AI60" s="27"/>
      <c r="AJ60" s="27"/>
      <c r="AK60" s="27"/>
      <c r="AL60" s="25"/>
      <c r="AM60" s="34"/>
      <c r="AN60" s="27"/>
      <c r="AO60" s="27"/>
      <c r="AP60" s="36"/>
      <c r="AQ60" s="37"/>
      <c r="AR60" s="32"/>
      <c r="AS60" s="25" t="s">
        <v>86</v>
      </c>
      <c r="AT60" s="27" t="s">
        <v>87</v>
      </c>
      <c r="AU60" s="27"/>
      <c r="AW60" s="25" t="s">
        <v>90</v>
      </c>
      <c r="AX60" s="27" t="s">
        <v>91</v>
      </c>
      <c r="AY60" s="89" t="s">
        <v>92</v>
      </c>
      <c r="AZ60" s="32"/>
      <c r="BA60" s="41"/>
    </row>
    <row r="61" spans="1:53" ht="16" thickBot="1" x14ac:dyDescent="0.25">
      <c r="A61" s="25">
        <v>54</v>
      </c>
      <c r="B61" s="26">
        <v>45071</v>
      </c>
      <c r="C61" s="27"/>
      <c r="D61" s="25"/>
      <c r="E61" s="28"/>
      <c r="F61" s="27"/>
      <c r="G61" s="28"/>
      <c r="H61" s="27"/>
      <c r="I61" s="28"/>
      <c r="J61" s="27">
        <v>2</v>
      </c>
      <c r="K61" s="29" t="s">
        <v>35</v>
      </c>
      <c r="L61" s="39"/>
      <c r="M61" s="31"/>
      <c r="N61" s="27"/>
      <c r="P61" s="32"/>
      <c r="Q61" s="25"/>
      <c r="R61" s="27"/>
      <c r="S61" s="27"/>
      <c r="T61" s="28"/>
      <c r="U61" s="27"/>
      <c r="V61" s="27" t="s">
        <v>159</v>
      </c>
      <c r="W61" s="28"/>
      <c r="X61" s="33"/>
      <c r="Y61" s="32"/>
      <c r="Z61" s="25"/>
      <c r="AA61" s="27"/>
      <c r="AB61" s="28"/>
      <c r="AC61" s="27"/>
      <c r="AD61" s="27"/>
      <c r="AE61" s="33"/>
      <c r="AG61" s="25"/>
      <c r="AH61" s="34"/>
      <c r="AI61" s="27"/>
      <c r="AJ61" s="27"/>
      <c r="AK61" s="27"/>
      <c r="AL61" s="25"/>
      <c r="AM61" s="34"/>
      <c r="AN61" s="27"/>
      <c r="AO61" s="27"/>
      <c r="AP61" s="36"/>
      <c r="AQ61" s="37"/>
      <c r="AR61" s="32"/>
      <c r="AS61" s="25" t="s">
        <v>86</v>
      </c>
      <c r="AT61" s="27" t="s">
        <v>87</v>
      </c>
      <c r="AU61" s="27"/>
      <c r="AW61" s="25" t="s">
        <v>90</v>
      </c>
      <c r="AX61" s="27" t="s">
        <v>91</v>
      </c>
      <c r="AY61" s="27"/>
      <c r="AZ61" s="32"/>
      <c r="BA61" s="41"/>
    </row>
    <row r="62" spans="1:53" ht="16" thickBot="1" x14ac:dyDescent="0.25">
      <c r="A62" s="25">
        <v>55</v>
      </c>
      <c r="B62" s="26">
        <v>45072</v>
      </c>
      <c r="C62" s="27"/>
      <c r="D62" s="25"/>
      <c r="E62" s="28"/>
      <c r="F62" s="27"/>
      <c r="G62" s="28"/>
      <c r="H62" s="27"/>
      <c r="I62" s="28"/>
      <c r="J62" s="27">
        <v>2</v>
      </c>
      <c r="K62" s="29" t="s">
        <v>35</v>
      </c>
      <c r="L62" s="39"/>
      <c r="M62" s="31"/>
      <c r="N62" s="27"/>
      <c r="P62" s="32"/>
      <c r="Q62" s="25"/>
      <c r="R62" s="27"/>
      <c r="S62" s="27"/>
      <c r="T62" s="28"/>
      <c r="U62" s="27"/>
      <c r="V62" s="27" t="s">
        <v>159</v>
      </c>
      <c r="W62" s="28"/>
      <c r="X62" s="33"/>
      <c r="Y62" s="32"/>
      <c r="Z62" s="25"/>
      <c r="AA62" s="27"/>
      <c r="AB62" s="28"/>
      <c r="AC62" s="27"/>
      <c r="AD62" s="27"/>
      <c r="AE62" s="33"/>
      <c r="AG62" s="25"/>
      <c r="AH62" s="34"/>
      <c r="AI62" s="27"/>
      <c r="AJ62" s="27"/>
      <c r="AK62" s="27"/>
      <c r="AL62" s="25"/>
      <c r="AM62" s="34"/>
      <c r="AN62" s="27"/>
      <c r="AO62" s="27"/>
      <c r="AP62" s="36"/>
      <c r="AQ62" s="82" t="s">
        <v>93</v>
      </c>
      <c r="AR62" s="32"/>
      <c r="AS62" s="25" t="s">
        <v>86</v>
      </c>
      <c r="AT62" s="27" t="s">
        <v>87</v>
      </c>
      <c r="AW62" s="25" t="s">
        <v>90</v>
      </c>
      <c r="AX62" s="27" t="s">
        <v>91</v>
      </c>
      <c r="AY62" s="27"/>
      <c r="AZ62" s="32"/>
      <c r="BA62" s="41"/>
    </row>
    <row r="63" spans="1:53" x14ac:dyDescent="0.2">
      <c r="A63" s="25">
        <v>56</v>
      </c>
      <c r="B63" s="26">
        <v>45073</v>
      </c>
      <c r="C63" s="27"/>
      <c r="D63" s="25"/>
      <c r="E63" s="28"/>
      <c r="F63" s="27"/>
      <c r="G63" s="28"/>
      <c r="H63" s="27"/>
      <c r="I63" s="28"/>
      <c r="J63" s="27">
        <v>2</v>
      </c>
      <c r="K63" s="29" t="s">
        <v>35</v>
      </c>
      <c r="L63" s="39"/>
      <c r="M63" s="31"/>
      <c r="N63" s="27"/>
      <c r="P63" s="32"/>
      <c r="Q63" s="25"/>
      <c r="R63" s="27"/>
      <c r="S63" s="27"/>
      <c r="T63" s="28"/>
      <c r="U63" s="27"/>
      <c r="V63" s="27" t="s">
        <v>159</v>
      </c>
      <c r="W63" s="28"/>
      <c r="X63" s="33"/>
      <c r="Y63" s="32"/>
      <c r="Z63" s="25"/>
      <c r="AA63" s="27"/>
      <c r="AB63" s="28"/>
      <c r="AC63" s="27"/>
      <c r="AD63" s="27"/>
      <c r="AE63" s="33"/>
      <c r="AG63" s="25"/>
      <c r="AH63" s="34"/>
      <c r="AI63" s="27"/>
      <c r="AJ63" s="27"/>
      <c r="AK63" s="27"/>
      <c r="AL63" s="25"/>
      <c r="AM63" s="34"/>
      <c r="AN63" s="27"/>
      <c r="AO63" s="27"/>
      <c r="AP63" s="36"/>
      <c r="AQ63" s="37"/>
      <c r="AR63" s="32"/>
      <c r="AS63" s="25" t="s">
        <v>86</v>
      </c>
      <c r="AT63" s="27" t="s">
        <v>87</v>
      </c>
      <c r="AU63" s="27"/>
      <c r="AW63" s="25" t="s">
        <v>90</v>
      </c>
      <c r="AX63" s="27" t="s">
        <v>91</v>
      </c>
      <c r="AY63" s="27"/>
      <c r="AZ63" s="32"/>
      <c r="BA63" s="41"/>
    </row>
    <row r="64" spans="1:53" ht="16" thickBot="1" x14ac:dyDescent="0.25">
      <c r="A64" s="25">
        <v>57</v>
      </c>
      <c r="B64" s="26">
        <v>45074</v>
      </c>
      <c r="C64" s="27"/>
      <c r="D64" s="25"/>
      <c r="E64" s="28"/>
      <c r="F64" s="27"/>
      <c r="G64" s="28"/>
      <c r="H64" s="27"/>
      <c r="I64" s="28"/>
      <c r="J64" s="27">
        <v>2</v>
      </c>
      <c r="K64" s="29" t="s">
        <v>35</v>
      </c>
      <c r="L64" s="39"/>
      <c r="M64" s="31"/>
      <c r="N64" s="27"/>
      <c r="P64" s="32"/>
      <c r="Q64" s="25"/>
      <c r="R64" s="27"/>
      <c r="S64" s="27"/>
      <c r="T64" s="28"/>
      <c r="U64" s="27"/>
      <c r="V64" s="27" t="s">
        <v>159</v>
      </c>
      <c r="W64" s="28"/>
      <c r="X64" s="33"/>
      <c r="Y64" s="32"/>
      <c r="Z64" s="25"/>
      <c r="AA64" s="27"/>
      <c r="AB64" s="28"/>
      <c r="AC64" s="27"/>
      <c r="AD64" s="27"/>
      <c r="AE64" s="33"/>
      <c r="AG64" s="25"/>
      <c r="AH64" s="34"/>
      <c r="AI64" s="27"/>
      <c r="AJ64" s="27"/>
      <c r="AK64" s="27"/>
      <c r="AL64" s="25"/>
      <c r="AM64" s="34"/>
      <c r="AN64" s="27"/>
      <c r="AO64" s="27"/>
      <c r="AP64" s="36"/>
      <c r="AQ64" s="37"/>
      <c r="AR64" s="32"/>
      <c r="AS64" s="25" t="s">
        <v>86</v>
      </c>
      <c r="AT64" s="27" t="s">
        <v>87</v>
      </c>
      <c r="AU64" s="27"/>
      <c r="AW64" s="25" t="s">
        <v>90</v>
      </c>
      <c r="AX64" s="27" t="s">
        <v>91</v>
      </c>
      <c r="AY64" s="27"/>
      <c r="AZ64" s="32"/>
      <c r="BA64" s="41"/>
    </row>
    <row r="65" spans="1:53" ht="16" thickBot="1" x14ac:dyDescent="0.25">
      <c r="A65" s="25">
        <v>58</v>
      </c>
      <c r="B65" s="26">
        <v>45075</v>
      </c>
      <c r="C65" s="27"/>
      <c r="D65" s="25"/>
      <c r="E65" s="28"/>
      <c r="F65" s="27"/>
      <c r="G65" s="28"/>
      <c r="H65" s="27"/>
      <c r="I65" s="28"/>
      <c r="J65" s="27">
        <v>2</v>
      </c>
      <c r="K65" s="29" t="s">
        <v>35</v>
      </c>
      <c r="L65" s="39"/>
      <c r="M65" s="31"/>
      <c r="N65" s="27"/>
      <c r="P65" s="32"/>
      <c r="Q65" s="25"/>
      <c r="R65" s="27"/>
      <c r="S65" s="27"/>
      <c r="T65" s="28"/>
      <c r="U65" s="27"/>
      <c r="V65" s="27" t="s">
        <v>159</v>
      </c>
      <c r="W65" s="28"/>
      <c r="X65" s="33"/>
      <c r="Y65" s="32"/>
      <c r="Z65" s="25"/>
      <c r="AA65" s="27"/>
      <c r="AB65" s="28"/>
      <c r="AC65" s="27"/>
      <c r="AD65" s="27"/>
      <c r="AE65" s="33"/>
      <c r="AG65" s="25"/>
      <c r="AH65" s="34"/>
      <c r="AI65" s="27"/>
      <c r="AJ65" s="27"/>
      <c r="AK65" s="27"/>
      <c r="AL65" s="25"/>
      <c r="AM65" s="34"/>
      <c r="AN65" s="27"/>
      <c r="AO65" s="27"/>
      <c r="AP65" s="36"/>
      <c r="AQ65" s="37"/>
      <c r="AR65" s="32"/>
      <c r="AS65" s="25" t="s">
        <v>86</v>
      </c>
      <c r="AT65" s="27" t="s">
        <v>87</v>
      </c>
      <c r="AU65" s="27"/>
      <c r="AW65" s="25" t="s">
        <v>90</v>
      </c>
      <c r="AX65" s="27" t="s">
        <v>91</v>
      </c>
      <c r="AY65" s="89" t="s">
        <v>94</v>
      </c>
      <c r="AZ65" s="32"/>
      <c r="BA65" s="41"/>
    </row>
    <row r="66" spans="1:53" ht="16" thickBot="1" x14ac:dyDescent="0.25">
      <c r="A66" s="25">
        <v>59</v>
      </c>
      <c r="B66" s="26">
        <v>45076</v>
      </c>
      <c r="C66" s="27"/>
      <c r="D66" s="25"/>
      <c r="E66" s="28"/>
      <c r="F66" s="27"/>
      <c r="G66" s="28"/>
      <c r="H66" s="27"/>
      <c r="I66" s="28"/>
      <c r="J66" s="27">
        <v>2</v>
      </c>
      <c r="K66" s="29" t="s">
        <v>35</v>
      </c>
      <c r="L66" s="39"/>
      <c r="M66" s="31"/>
      <c r="N66" s="27"/>
      <c r="P66" s="32"/>
      <c r="Q66" s="25"/>
      <c r="R66" s="27"/>
      <c r="S66" s="27"/>
      <c r="T66" s="28"/>
      <c r="U66" s="27"/>
      <c r="V66" s="27" t="s">
        <v>159</v>
      </c>
      <c r="W66" s="28"/>
      <c r="X66" s="33"/>
      <c r="Y66" s="32"/>
      <c r="Z66" s="25"/>
      <c r="AA66" s="27"/>
      <c r="AB66" s="28"/>
      <c r="AC66" s="27"/>
      <c r="AD66" s="27"/>
      <c r="AE66" s="33"/>
      <c r="AG66" s="25"/>
      <c r="AH66" s="34"/>
      <c r="AI66" s="27"/>
      <c r="AJ66" s="27"/>
      <c r="AK66" s="27"/>
      <c r="AL66" s="25"/>
      <c r="AM66" s="34"/>
      <c r="AN66" s="27"/>
      <c r="AO66" s="27"/>
      <c r="AP66" s="36"/>
      <c r="AQ66" s="37"/>
      <c r="AR66" s="32"/>
      <c r="AS66" s="25" t="s">
        <v>86</v>
      </c>
      <c r="AT66" s="27" t="s">
        <v>87</v>
      </c>
      <c r="AU66" s="27"/>
      <c r="AW66" s="25" t="s">
        <v>90</v>
      </c>
      <c r="AX66" s="27" t="s">
        <v>95</v>
      </c>
      <c r="AY66" s="27"/>
      <c r="AZ66" s="32"/>
      <c r="BA66" s="41"/>
    </row>
    <row r="67" spans="1:53" ht="16" thickBot="1" x14ac:dyDescent="0.25">
      <c r="A67" s="25">
        <v>60</v>
      </c>
      <c r="B67" s="26">
        <v>45077</v>
      </c>
      <c r="C67" s="27"/>
      <c r="D67" s="25"/>
      <c r="E67" s="28"/>
      <c r="F67" s="27"/>
      <c r="G67" s="28"/>
      <c r="H67" s="27"/>
      <c r="I67" s="28"/>
      <c r="J67" s="27">
        <v>2</v>
      </c>
      <c r="K67" s="29" t="s">
        <v>35</v>
      </c>
      <c r="L67" s="39"/>
      <c r="M67" s="31"/>
      <c r="N67" s="27"/>
      <c r="P67" s="32"/>
      <c r="Q67" s="25"/>
      <c r="R67" s="27"/>
      <c r="S67" s="27"/>
      <c r="T67" s="28"/>
      <c r="U67" s="27"/>
      <c r="V67" s="27" t="s">
        <v>159</v>
      </c>
      <c r="W67" s="28"/>
      <c r="X67" s="33"/>
      <c r="Y67" s="32"/>
      <c r="Z67" s="25"/>
      <c r="AA67" s="27"/>
      <c r="AB67" s="28"/>
      <c r="AC67" s="27"/>
      <c r="AD67" s="27"/>
      <c r="AE67" s="33"/>
      <c r="AG67" s="25"/>
      <c r="AH67" s="34"/>
      <c r="AI67" s="27"/>
      <c r="AJ67" s="27"/>
      <c r="AK67" s="27"/>
      <c r="AL67" s="25"/>
      <c r="AM67" s="34"/>
      <c r="AN67" s="27"/>
      <c r="AO67" s="27"/>
      <c r="AP67" s="36"/>
      <c r="AQ67" s="37"/>
      <c r="AR67" s="32"/>
      <c r="AS67" s="25" t="s">
        <v>96</v>
      </c>
      <c r="AT67" s="27" t="s">
        <v>87</v>
      </c>
      <c r="AU67" s="58" t="s">
        <v>97</v>
      </c>
      <c r="AW67" s="25" t="s">
        <v>90</v>
      </c>
      <c r="AX67" s="27" t="s">
        <v>95</v>
      </c>
      <c r="AY67" s="27"/>
      <c r="AZ67" s="32"/>
      <c r="BA67" s="41"/>
    </row>
    <row r="68" spans="1:53" x14ac:dyDescent="0.2">
      <c r="A68" s="25">
        <v>61</v>
      </c>
      <c r="B68" s="26">
        <v>45078</v>
      </c>
      <c r="C68" s="27"/>
      <c r="D68" s="25"/>
      <c r="E68" s="28"/>
      <c r="F68" s="27"/>
      <c r="G68" s="28"/>
      <c r="H68" s="27"/>
      <c r="I68" s="28"/>
      <c r="J68" s="27">
        <v>2</v>
      </c>
      <c r="K68" s="29" t="s">
        <v>35</v>
      </c>
      <c r="L68" s="39"/>
      <c r="M68" s="31"/>
      <c r="N68" s="27"/>
      <c r="P68" s="32"/>
      <c r="Q68" s="25"/>
      <c r="R68" s="27"/>
      <c r="S68" s="27"/>
      <c r="T68" s="28"/>
      <c r="U68" s="27"/>
      <c r="V68" s="27" t="s">
        <v>159</v>
      </c>
      <c r="W68" s="28"/>
      <c r="X68" s="33"/>
      <c r="Y68" s="32"/>
      <c r="Z68" s="25"/>
      <c r="AA68" s="27"/>
      <c r="AB68" s="28"/>
      <c r="AC68" s="27"/>
      <c r="AD68" s="27"/>
      <c r="AE68" s="33"/>
      <c r="AG68" s="25"/>
      <c r="AH68" s="34"/>
      <c r="AI68" s="27"/>
      <c r="AJ68" s="27"/>
      <c r="AK68" s="27"/>
      <c r="AL68" s="25"/>
      <c r="AM68" s="34"/>
      <c r="AN68" s="27"/>
      <c r="AO68" s="27"/>
      <c r="AP68" s="36"/>
      <c r="AQ68" s="37"/>
      <c r="AR68" s="32"/>
      <c r="AS68" s="25" t="s">
        <v>96</v>
      </c>
      <c r="AT68" s="27" t="s">
        <v>87</v>
      </c>
      <c r="AU68" s="27"/>
      <c r="AW68" s="25" t="s">
        <v>90</v>
      </c>
      <c r="AX68" s="27" t="s">
        <v>95</v>
      </c>
      <c r="AY68" s="27"/>
      <c r="AZ68" s="32"/>
      <c r="BA68" s="41"/>
    </row>
    <row r="69" spans="1:53" x14ac:dyDescent="0.2">
      <c r="A69" s="25">
        <v>62</v>
      </c>
      <c r="B69" s="26">
        <v>45079</v>
      </c>
      <c r="C69" s="27"/>
      <c r="D69" s="25"/>
      <c r="E69" s="28"/>
      <c r="F69" s="27"/>
      <c r="G69" s="28"/>
      <c r="H69" s="27"/>
      <c r="I69" s="28"/>
      <c r="J69" s="27">
        <v>2</v>
      </c>
      <c r="K69" s="29" t="s">
        <v>35</v>
      </c>
      <c r="L69" s="39"/>
      <c r="M69" s="31"/>
      <c r="N69" s="27"/>
      <c r="P69" s="32"/>
      <c r="Q69" s="25"/>
      <c r="R69" s="27"/>
      <c r="S69" s="27"/>
      <c r="T69" s="28"/>
      <c r="U69" s="27"/>
      <c r="V69" s="27" t="s">
        <v>159</v>
      </c>
      <c r="W69" s="28"/>
      <c r="X69" s="33"/>
      <c r="Y69" s="32"/>
      <c r="Z69" s="25"/>
      <c r="AA69" s="27"/>
      <c r="AB69" s="28"/>
      <c r="AC69" s="27"/>
      <c r="AD69" s="27"/>
      <c r="AE69" s="33"/>
      <c r="AG69" s="25"/>
      <c r="AH69" s="34"/>
      <c r="AI69" s="27"/>
      <c r="AJ69" s="27"/>
      <c r="AK69" s="27"/>
      <c r="AL69" s="25"/>
      <c r="AM69" s="34"/>
      <c r="AN69" s="27"/>
      <c r="AO69" s="27"/>
      <c r="AP69" s="36"/>
      <c r="AQ69" s="37"/>
      <c r="AR69" s="32"/>
      <c r="AS69" s="25" t="s">
        <v>96</v>
      </c>
      <c r="AT69" s="27" t="s">
        <v>87</v>
      </c>
      <c r="AU69" s="27"/>
      <c r="AW69" s="25" t="s">
        <v>90</v>
      </c>
      <c r="AX69" s="27" t="s">
        <v>95</v>
      </c>
      <c r="AY69" s="27"/>
      <c r="AZ69" s="32"/>
      <c r="BA69" s="41"/>
    </row>
    <row r="70" spans="1:53" x14ac:dyDescent="0.2">
      <c r="A70" s="25">
        <v>63</v>
      </c>
      <c r="B70" s="26">
        <v>45080</v>
      </c>
      <c r="C70" s="27"/>
      <c r="D70" s="25"/>
      <c r="E70" s="28"/>
      <c r="F70" s="27"/>
      <c r="G70" s="28"/>
      <c r="H70" s="27"/>
      <c r="I70" s="28"/>
      <c r="J70" s="27">
        <v>2</v>
      </c>
      <c r="K70" s="29" t="s">
        <v>35</v>
      </c>
      <c r="L70" s="39"/>
      <c r="M70" s="31"/>
      <c r="N70" s="27"/>
      <c r="P70" s="32"/>
      <c r="Q70" s="25"/>
      <c r="R70" s="27"/>
      <c r="S70" s="27"/>
      <c r="T70" s="28"/>
      <c r="U70" s="27"/>
      <c r="V70" s="27" t="s">
        <v>159</v>
      </c>
      <c r="W70" s="28"/>
      <c r="X70" s="33"/>
      <c r="Y70" s="32"/>
      <c r="Z70" s="25"/>
      <c r="AA70" s="27"/>
      <c r="AB70" s="28"/>
      <c r="AC70" s="27"/>
      <c r="AD70" s="27"/>
      <c r="AE70" s="33"/>
      <c r="AG70" s="25"/>
      <c r="AH70" s="34"/>
      <c r="AI70" s="27"/>
      <c r="AJ70" s="27"/>
      <c r="AK70" s="27"/>
      <c r="AL70" s="25"/>
      <c r="AM70" s="34"/>
      <c r="AN70" s="27"/>
      <c r="AO70" s="27"/>
      <c r="AP70" s="36"/>
      <c r="AQ70" s="37"/>
      <c r="AR70" s="32"/>
      <c r="AS70" s="25" t="s">
        <v>96</v>
      </c>
      <c r="AT70" s="27" t="s">
        <v>87</v>
      </c>
      <c r="AU70" s="27"/>
      <c r="AW70" s="25" t="s">
        <v>90</v>
      </c>
      <c r="AX70" s="27" t="s">
        <v>95</v>
      </c>
      <c r="AY70" s="27"/>
      <c r="AZ70" s="32"/>
      <c r="BA70" s="41"/>
    </row>
    <row r="71" spans="1:53" x14ac:dyDescent="0.2">
      <c r="A71" s="25">
        <v>64</v>
      </c>
      <c r="B71" s="26">
        <v>45081</v>
      </c>
      <c r="C71" s="27"/>
      <c r="D71" s="25"/>
      <c r="E71" s="28"/>
      <c r="F71" s="27"/>
      <c r="G71" s="28"/>
      <c r="H71" s="27"/>
      <c r="I71" s="28"/>
      <c r="J71" s="27">
        <v>2</v>
      </c>
      <c r="K71" s="29" t="s">
        <v>35</v>
      </c>
      <c r="L71" s="39"/>
      <c r="M71" s="31"/>
      <c r="N71" s="27"/>
      <c r="P71" s="32"/>
      <c r="Q71" s="25"/>
      <c r="R71" s="27"/>
      <c r="S71" s="27"/>
      <c r="T71" s="28"/>
      <c r="U71" s="27"/>
      <c r="V71" s="27" t="s">
        <v>159</v>
      </c>
      <c r="W71" s="28"/>
      <c r="X71" s="33"/>
      <c r="Y71" s="32"/>
      <c r="Z71" s="25"/>
      <c r="AA71" s="27"/>
      <c r="AB71" s="28"/>
      <c r="AC71" s="27"/>
      <c r="AD71" s="27"/>
      <c r="AE71" s="33"/>
      <c r="AG71" s="25"/>
      <c r="AH71" s="34"/>
      <c r="AI71" s="27"/>
      <c r="AJ71" s="27"/>
      <c r="AK71" s="27"/>
      <c r="AL71" s="25"/>
      <c r="AM71" s="34"/>
      <c r="AN71" s="27"/>
      <c r="AO71" s="27"/>
      <c r="AP71" s="36"/>
      <c r="AQ71" s="37"/>
      <c r="AR71" s="32"/>
      <c r="AS71" s="25" t="s">
        <v>96</v>
      </c>
      <c r="AT71" s="27" t="s">
        <v>87</v>
      </c>
      <c r="AU71" s="27"/>
      <c r="AW71" s="25" t="s">
        <v>90</v>
      </c>
      <c r="AX71" s="27" t="s">
        <v>95</v>
      </c>
      <c r="AY71" s="27"/>
      <c r="AZ71" s="32"/>
      <c r="BA71" s="41"/>
    </row>
    <row r="72" spans="1:53" x14ac:dyDescent="0.2">
      <c r="A72" s="25">
        <v>65</v>
      </c>
      <c r="B72" s="26">
        <v>45082</v>
      </c>
      <c r="C72" s="27"/>
      <c r="D72" s="25"/>
      <c r="E72" s="28"/>
      <c r="F72" s="27"/>
      <c r="G72" s="28"/>
      <c r="H72" s="27"/>
      <c r="I72" s="28"/>
      <c r="J72" s="27">
        <v>2</v>
      </c>
      <c r="K72" s="29" t="s">
        <v>35</v>
      </c>
      <c r="L72" s="39"/>
      <c r="M72" s="31"/>
      <c r="N72" s="27"/>
      <c r="P72" s="32"/>
      <c r="Q72" s="25"/>
      <c r="R72" s="27"/>
      <c r="S72" s="27"/>
      <c r="T72" s="28"/>
      <c r="U72" s="27"/>
      <c r="V72" s="27" t="s">
        <v>159</v>
      </c>
      <c r="W72" s="28"/>
      <c r="X72" s="33"/>
      <c r="Y72" s="32"/>
      <c r="Z72" s="25"/>
      <c r="AA72" s="27"/>
      <c r="AB72" s="28"/>
      <c r="AC72" s="27"/>
      <c r="AD72" s="27"/>
      <c r="AE72" s="33"/>
      <c r="AG72" s="25"/>
      <c r="AH72" s="34"/>
      <c r="AI72" s="27"/>
      <c r="AJ72" s="27"/>
      <c r="AK72" s="27"/>
      <c r="AL72" s="25"/>
      <c r="AM72" s="34"/>
      <c r="AN72" s="27"/>
      <c r="AO72" s="27"/>
      <c r="AP72" s="36"/>
      <c r="AQ72" s="37"/>
      <c r="AR72" s="32"/>
      <c r="AS72" s="25" t="s">
        <v>96</v>
      </c>
      <c r="AT72" s="27" t="s">
        <v>87</v>
      </c>
      <c r="AU72" s="27"/>
      <c r="AW72" s="25" t="s">
        <v>90</v>
      </c>
      <c r="AX72" s="27" t="s">
        <v>95</v>
      </c>
      <c r="AY72" s="27"/>
      <c r="AZ72" s="32"/>
      <c r="BA72" s="41"/>
    </row>
    <row r="73" spans="1:53" x14ac:dyDescent="0.2">
      <c r="A73" s="25">
        <v>66</v>
      </c>
      <c r="B73" s="26">
        <v>45083</v>
      </c>
      <c r="C73" s="27"/>
      <c r="D73" s="25"/>
      <c r="E73" s="28"/>
      <c r="F73" s="27"/>
      <c r="G73" s="28"/>
      <c r="H73" s="27"/>
      <c r="I73" s="28"/>
      <c r="J73" s="27">
        <v>2</v>
      </c>
      <c r="K73" s="29" t="s">
        <v>35</v>
      </c>
      <c r="L73" s="39"/>
      <c r="M73" s="31"/>
      <c r="N73" s="27"/>
      <c r="P73" s="32"/>
      <c r="Q73" s="25"/>
      <c r="R73" s="27"/>
      <c r="S73" s="27"/>
      <c r="T73" s="28"/>
      <c r="U73" s="27"/>
      <c r="V73" s="27" t="s">
        <v>159</v>
      </c>
      <c r="W73" s="28"/>
      <c r="X73" s="33"/>
      <c r="Y73" s="32"/>
      <c r="Z73" s="25"/>
      <c r="AA73" s="27"/>
      <c r="AB73" s="28"/>
      <c r="AC73" s="27"/>
      <c r="AD73" s="27"/>
      <c r="AE73" s="33"/>
      <c r="AG73" s="25"/>
      <c r="AH73" s="34"/>
      <c r="AI73" s="27"/>
      <c r="AJ73" s="27"/>
      <c r="AK73" s="27"/>
      <c r="AL73" s="25"/>
      <c r="AM73" s="34"/>
      <c r="AN73" s="27"/>
      <c r="AO73" s="27"/>
      <c r="AP73" s="36"/>
      <c r="AQ73" s="37"/>
      <c r="AR73" s="32"/>
      <c r="AS73" s="25" t="s">
        <v>96</v>
      </c>
      <c r="AT73" s="27" t="s">
        <v>87</v>
      </c>
      <c r="AU73" s="27"/>
      <c r="AW73" s="25" t="s">
        <v>90</v>
      </c>
      <c r="AX73" s="27" t="s">
        <v>95</v>
      </c>
      <c r="AY73" s="27"/>
      <c r="AZ73" s="32"/>
      <c r="BA73" s="41"/>
    </row>
    <row r="74" spans="1:53" x14ac:dyDescent="0.2">
      <c r="A74" s="25">
        <v>67</v>
      </c>
      <c r="B74" s="26">
        <v>45084</v>
      </c>
      <c r="C74" s="27"/>
      <c r="D74" s="25"/>
      <c r="E74" s="28"/>
      <c r="F74" s="27"/>
      <c r="G74" s="28"/>
      <c r="H74" s="27"/>
      <c r="I74" s="28"/>
      <c r="J74" s="27">
        <v>2</v>
      </c>
      <c r="K74" s="29" t="s">
        <v>35</v>
      </c>
      <c r="L74" s="39"/>
      <c r="M74" s="31"/>
      <c r="N74" s="27"/>
      <c r="P74" s="32"/>
      <c r="Q74" s="25"/>
      <c r="R74" s="27"/>
      <c r="S74" s="27"/>
      <c r="T74" s="28"/>
      <c r="U74" s="27"/>
      <c r="V74" s="27" t="s">
        <v>159</v>
      </c>
      <c r="W74" s="28"/>
      <c r="X74" s="33"/>
      <c r="Y74" s="32"/>
      <c r="Z74" s="25"/>
      <c r="AA74" s="27"/>
      <c r="AB74" s="28"/>
      <c r="AC74" s="27"/>
      <c r="AD74" s="27"/>
      <c r="AE74" s="33"/>
      <c r="AG74" s="25"/>
      <c r="AH74" s="34"/>
      <c r="AI74" s="27"/>
      <c r="AJ74" s="27"/>
      <c r="AK74" s="27"/>
      <c r="AL74" s="25"/>
      <c r="AM74" s="34"/>
      <c r="AN74" s="27"/>
      <c r="AO74" s="27"/>
      <c r="AP74" s="36"/>
      <c r="AQ74" s="37"/>
      <c r="AR74" s="32"/>
      <c r="AS74" s="25" t="s">
        <v>96</v>
      </c>
      <c r="AT74" s="27" t="s">
        <v>87</v>
      </c>
      <c r="AU74" s="27"/>
      <c r="AW74" s="25" t="s">
        <v>90</v>
      </c>
      <c r="AX74" s="27" t="s">
        <v>95</v>
      </c>
      <c r="AY74" s="27"/>
      <c r="AZ74" s="32"/>
      <c r="BA74" s="41"/>
    </row>
    <row r="75" spans="1:53" x14ac:dyDescent="0.2">
      <c r="A75" s="25">
        <v>68</v>
      </c>
      <c r="B75" s="26">
        <v>45085</v>
      </c>
      <c r="C75" s="27"/>
      <c r="D75" s="25"/>
      <c r="E75" s="28"/>
      <c r="F75" s="27"/>
      <c r="G75" s="28"/>
      <c r="H75" s="27"/>
      <c r="I75" s="28"/>
      <c r="J75" s="27">
        <v>2</v>
      </c>
      <c r="K75" s="29" t="s">
        <v>35</v>
      </c>
      <c r="L75" s="39"/>
      <c r="M75" s="31"/>
      <c r="N75" s="27"/>
      <c r="P75" s="32"/>
      <c r="Q75" s="25"/>
      <c r="R75" s="27"/>
      <c r="S75" s="27"/>
      <c r="T75" s="28"/>
      <c r="U75" s="27"/>
      <c r="V75" s="27" t="s">
        <v>159</v>
      </c>
      <c r="W75" s="28"/>
      <c r="X75" s="33"/>
      <c r="Y75" s="32"/>
      <c r="Z75" s="25"/>
      <c r="AA75" s="27"/>
      <c r="AB75" s="28"/>
      <c r="AC75" s="27"/>
      <c r="AD75" s="27"/>
      <c r="AE75" s="33"/>
      <c r="AG75" s="25"/>
      <c r="AH75" s="34"/>
      <c r="AI75" s="27"/>
      <c r="AJ75" s="27"/>
      <c r="AK75" s="27"/>
      <c r="AL75" s="25"/>
      <c r="AM75" s="34"/>
      <c r="AN75" s="27"/>
      <c r="AO75" s="27"/>
      <c r="AP75" s="36"/>
      <c r="AQ75" s="37"/>
      <c r="AR75" s="32"/>
      <c r="AS75" s="25" t="s">
        <v>96</v>
      </c>
      <c r="AT75" s="27" t="s">
        <v>87</v>
      </c>
      <c r="AU75" s="27"/>
      <c r="AW75" s="25" t="s">
        <v>90</v>
      </c>
      <c r="AX75" s="27" t="s">
        <v>95</v>
      </c>
      <c r="AY75" s="27"/>
      <c r="AZ75" s="32"/>
      <c r="BA75" s="41"/>
    </row>
    <row r="76" spans="1:53" x14ac:dyDescent="0.2">
      <c r="A76" s="25">
        <v>69</v>
      </c>
      <c r="B76" s="26">
        <v>45086</v>
      </c>
      <c r="C76" s="27"/>
      <c r="D76" s="25"/>
      <c r="E76" s="28"/>
      <c r="F76" s="27"/>
      <c r="G76" s="28"/>
      <c r="H76" s="27"/>
      <c r="I76" s="28"/>
      <c r="J76" s="27">
        <v>2</v>
      </c>
      <c r="K76" s="29" t="s">
        <v>35</v>
      </c>
      <c r="L76" s="39"/>
      <c r="M76" s="31"/>
      <c r="N76" s="27"/>
      <c r="P76" s="32"/>
      <c r="Q76" s="25"/>
      <c r="R76" s="27"/>
      <c r="S76" s="27"/>
      <c r="T76" s="28"/>
      <c r="U76" s="27"/>
      <c r="V76" s="27" t="s">
        <v>159</v>
      </c>
      <c r="W76" s="28"/>
      <c r="X76" s="33"/>
      <c r="Y76" s="32"/>
      <c r="Z76" s="25"/>
      <c r="AA76" s="27"/>
      <c r="AB76" s="28"/>
      <c r="AC76" s="27"/>
      <c r="AD76" s="27"/>
      <c r="AE76" s="33"/>
      <c r="AG76" s="25"/>
      <c r="AH76" s="34"/>
      <c r="AI76" s="27"/>
      <c r="AJ76" s="27"/>
      <c r="AK76" s="27"/>
      <c r="AL76" s="25"/>
      <c r="AM76" s="34"/>
      <c r="AN76" s="27"/>
      <c r="AO76" s="27"/>
      <c r="AP76" s="36"/>
      <c r="AQ76" s="37"/>
      <c r="AR76" s="32"/>
      <c r="AS76" s="25" t="s">
        <v>96</v>
      </c>
      <c r="AT76" s="27" t="s">
        <v>87</v>
      </c>
      <c r="AU76" s="27"/>
      <c r="AW76" s="25" t="s">
        <v>90</v>
      </c>
      <c r="AX76" s="27" t="s">
        <v>95</v>
      </c>
      <c r="AY76" s="27"/>
      <c r="AZ76" s="32"/>
      <c r="BA76" s="41"/>
    </row>
    <row r="77" spans="1:53" x14ac:dyDescent="0.2">
      <c r="A77" s="25">
        <v>70</v>
      </c>
      <c r="B77" s="26">
        <v>45087</v>
      </c>
      <c r="C77" s="27"/>
      <c r="D77" s="25"/>
      <c r="E77" s="28"/>
      <c r="F77" s="27"/>
      <c r="G77" s="28"/>
      <c r="H77" s="27"/>
      <c r="I77" s="28"/>
      <c r="J77" s="27">
        <v>2</v>
      </c>
      <c r="K77" s="29" t="s">
        <v>35</v>
      </c>
      <c r="L77" s="39"/>
      <c r="M77" s="31"/>
      <c r="N77" s="27"/>
      <c r="P77" s="32"/>
      <c r="Q77" s="25"/>
      <c r="R77" s="27"/>
      <c r="S77" s="27"/>
      <c r="T77" s="28"/>
      <c r="U77" s="27"/>
      <c r="V77" s="27" t="s">
        <v>159</v>
      </c>
      <c r="W77" s="28"/>
      <c r="X77" s="33"/>
      <c r="Y77" s="32"/>
      <c r="Z77" s="25"/>
      <c r="AA77" s="27"/>
      <c r="AB77" s="28"/>
      <c r="AC77" s="27"/>
      <c r="AD77" s="27"/>
      <c r="AE77" s="33"/>
      <c r="AG77" s="25"/>
      <c r="AH77" s="34"/>
      <c r="AI77" s="27"/>
      <c r="AJ77" s="27"/>
      <c r="AK77" s="27"/>
      <c r="AL77" s="25"/>
      <c r="AM77" s="34"/>
      <c r="AN77" s="27"/>
      <c r="AO77" s="27"/>
      <c r="AP77" s="36"/>
      <c r="AQ77" s="37"/>
      <c r="AR77" s="32"/>
      <c r="AS77" s="25" t="s">
        <v>96</v>
      </c>
      <c r="AT77" s="27" t="s">
        <v>87</v>
      </c>
      <c r="AU77" s="27"/>
      <c r="AW77" s="25" t="s">
        <v>90</v>
      </c>
      <c r="AX77" s="27" t="s">
        <v>95</v>
      </c>
      <c r="AY77" s="27"/>
      <c r="AZ77" s="32"/>
      <c r="BA77" s="41"/>
    </row>
    <row r="78" spans="1:53" x14ac:dyDescent="0.2">
      <c r="A78" s="25">
        <v>71</v>
      </c>
      <c r="B78" s="26">
        <v>45088</v>
      </c>
      <c r="C78" s="27"/>
      <c r="D78" s="25"/>
      <c r="E78" s="28"/>
      <c r="F78" s="27"/>
      <c r="G78" s="28"/>
      <c r="H78" s="27"/>
      <c r="I78" s="28"/>
      <c r="J78" s="27">
        <v>2</v>
      </c>
      <c r="K78" s="29" t="s">
        <v>35</v>
      </c>
      <c r="L78" s="39"/>
      <c r="M78" s="31"/>
      <c r="N78" s="27"/>
      <c r="P78" s="32"/>
      <c r="Q78" s="25"/>
      <c r="R78" s="27"/>
      <c r="S78" s="27"/>
      <c r="T78" s="28"/>
      <c r="U78" s="27"/>
      <c r="V78" s="27" t="s">
        <v>159</v>
      </c>
      <c r="W78" s="28"/>
      <c r="X78" s="33"/>
      <c r="Y78" s="32"/>
      <c r="Z78" s="25"/>
      <c r="AA78" s="27"/>
      <c r="AB78" s="28"/>
      <c r="AC78" s="27"/>
      <c r="AD78" s="27"/>
      <c r="AE78" s="33"/>
      <c r="AF78" s="32"/>
      <c r="AG78" s="90"/>
      <c r="AH78" s="91"/>
      <c r="AI78" s="27"/>
      <c r="AJ78" s="27"/>
      <c r="AK78" s="28"/>
      <c r="AL78" s="27"/>
      <c r="AM78" s="27"/>
      <c r="AN78" s="27"/>
      <c r="AO78" s="27"/>
      <c r="AP78" s="36"/>
      <c r="AQ78" s="37"/>
      <c r="AS78" s="25"/>
      <c r="AT78" s="27"/>
      <c r="AU78" s="27"/>
      <c r="AW78" s="25" t="s">
        <v>90</v>
      </c>
      <c r="AX78" s="27" t="s">
        <v>95</v>
      </c>
      <c r="AY78" s="27"/>
      <c r="AZ78" s="32"/>
      <c r="BA78" s="41"/>
    </row>
    <row r="79" spans="1:53" x14ac:dyDescent="0.2">
      <c r="A79" s="25">
        <v>72</v>
      </c>
      <c r="B79" s="26">
        <v>45089</v>
      </c>
      <c r="C79" s="27"/>
      <c r="D79" s="25"/>
      <c r="E79" s="28"/>
      <c r="F79" s="27"/>
      <c r="G79" s="28"/>
      <c r="H79" s="27"/>
      <c r="I79" s="28"/>
      <c r="J79" s="27">
        <v>2</v>
      </c>
      <c r="K79" s="29" t="s">
        <v>35</v>
      </c>
      <c r="L79" s="39"/>
      <c r="M79" s="31"/>
      <c r="N79" s="27"/>
      <c r="P79" s="32"/>
      <c r="Q79" s="25"/>
      <c r="R79" s="27"/>
      <c r="S79" s="27"/>
      <c r="T79" s="28"/>
      <c r="U79" s="27"/>
      <c r="V79" s="27" t="s">
        <v>159</v>
      </c>
      <c r="W79" s="28"/>
      <c r="X79" s="33"/>
      <c r="Y79" s="32"/>
      <c r="Z79" s="25"/>
      <c r="AA79" s="27"/>
      <c r="AB79" s="28"/>
      <c r="AC79" s="27"/>
      <c r="AD79" s="27"/>
      <c r="AE79" s="33"/>
      <c r="AF79" s="32"/>
      <c r="AG79" s="90"/>
      <c r="AH79" s="91"/>
      <c r="AI79" s="27"/>
      <c r="AJ79" s="27"/>
      <c r="AK79" s="28"/>
      <c r="AL79" s="27"/>
      <c r="AM79" s="27"/>
      <c r="AN79" s="27"/>
      <c r="AO79" s="27"/>
      <c r="AP79" s="36"/>
      <c r="AQ79" s="37"/>
      <c r="AS79" s="25"/>
      <c r="AT79" s="27"/>
      <c r="AU79" s="27"/>
      <c r="AW79" s="25"/>
      <c r="AX79" s="27"/>
      <c r="AY79" s="27"/>
      <c r="AZ79" s="32"/>
      <c r="BA79" s="41"/>
    </row>
    <row r="80" spans="1:53" x14ac:dyDescent="0.2">
      <c r="A80" s="25">
        <v>73</v>
      </c>
      <c r="B80" s="26">
        <v>45090</v>
      </c>
      <c r="C80" s="27"/>
      <c r="D80" s="25"/>
      <c r="E80" s="28"/>
      <c r="F80" s="27"/>
      <c r="G80" s="28"/>
      <c r="H80" s="27"/>
      <c r="I80" s="28"/>
      <c r="J80" s="27">
        <v>2</v>
      </c>
      <c r="K80" s="29" t="s">
        <v>35</v>
      </c>
      <c r="L80" s="39"/>
      <c r="M80" s="31"/>
      <c r="N80" s="27"/>
      <c r="P80" s="32"/>
      <c r="Q80" s="25"/>
      <c r="R80" s="27"/>
      <c r="S80" s="27"/>
      <c r="T80" s="28"/>
      <c r="U80" s="27"/>
      <c r="V80" s="27" t="s">
        <v>159</v>
      </c>
      <c r="W80" s="28"/>
      <c r="X80" s="33"/>
      <c r="Y80" s="32"/>
      <c r="Z80" s="25"/>
      <c r="AA80" s="27"/>
      <c r="AB80" s="28"/>
      <c r="AC80" s="27"/>
      <c r="AD80" s="27"/>
      <c r="AE80" s="33"/>
      <c r="AF80" s="32"/>
      <c r="AG80" s="90"/>
      <c r="AH80" s="91"/>
      <c r="AI80" s="27"/>
      <c r="AJ80" s="27"/>
      <c r="AK80" s="28"/>
      <c r="AL80" s="27"/>
      <c r="AM80" s="27"/>
      <c r="AN80" s="27"/>
      <c r="AO80" s="27"/>
      <c r="AP80" s="36"/>
      <c r="AQ80" s="37"/>
      <c r="AS80" s="25"/>
      <c r="AT80" s="27"/>
      <c r="AU80" s="27"/>
      <c r="AW80" s="25"/>
      <c r="AX80" s="27"/>
      <c r="AY80" s="27"/>
      <c r="AZ80" s="32"/>
      <c r="BA80" s="41"/>
    </row>
    <row r="81" spans="1:53" x14ac:dyDescent="0.2">
      <c r="A81" s="25">
        <v>74</v>
      </c>
      <c r="B81" s="26">
        <v>45091</v>
      </c>
      <c r="C81" s="27"/>
      <c r="D81" s="25"/>
      <c r="E81" s="28"/>
      <c r="F81" s="27"/>
      <c r="G81" s="28"/>
      <c r="H81" s="27"/>
      <c r="I81" s="28"/>
      <c r="J81" s="27">
        <v>2</v>
      </c>
      <c r="K81" s="29" t="s">
        <v>35</v>
      </c>
      <c r="L81" s="39"/>
      <c r="M81" s="31"/>
      <c r="N81" s="27"/>
      <c r="P81" s="32"/>
      <c r="Q81" s="25"/>
      <c r="R81" s="27"/>
      <c r="S81" s="27"/>
      <c r="T81" s="28"/>
      <c r="U81" s="27"/>
      <c r="V81" s="27" t="s">
        <v>159</v>
      </c>
      <c r="W81" s="28"/>
      <c r="X81" s="33"/>
      <c r="Y81" s="32"/>
      <c r="Z81" s="25"/>
      <c r="AA81" s="27"/>
      <c r="AB81" s="28"/>
      <c r="AC81" s="27"/>
      <c r="AD81" s="27"/>
      <c r="AE81" s="33"/>
      <c r="AF81" s="32"/>
      <c r="AG81" s="90"/>
      <c r="AH81" s="91"/>
      <c r="AI81" s="27"/>
      <c r="AJ81" s="27"/>
      <c r="AK81" s="28"/>
      <c r="AL81" s="27"/>
      <c r="AM81" s="27"/>
      <c r="AN81" s="27"/>
      <c r="AO81" s="27"/>
      <c r="AP81" s="36"/>
      <c r="AQ81" s="37"/>
      <c r="AS81" s="25"/>
      <c r="AT81" s="27"/>
      <c r="AU81" s="27"/>
      <c r="AW81" s="25"/>
      <c r="AX81" s="27"/>
      <c r="AY81" s="27"/>
      <c r="AZ81" s="32"/>
      <c r="BA81" s="41"/>
    </row>
    <row r="82" spans="1:53" x14ac:dyDescent="0.2">
      <c r="A82" s="25">
        <v>75</v>
      </c>
      <c r="B82" s="26">
        <v>45092</v>
      </c>
      <c r="C82" s="27"/>
      <c r="D82" s="25"/>
      <c r="E82" s="28"/>
      <c r="F82" s="27"/>
      <c r="G82" s="28"/>
      <c r="H82" s="27"/>
      <c r="I82" s="28"/>
      <c r="J82" s="27">
        <v>2</v>
      </c>
      <c r="K82" s="29" t="s">
        <v>35</v>
      </c>
      <c r="L82" s="39"/>
      <c r="M82" s="31"/>
      <c r="N82" s="27"/>
      <c r="P82" s="32"/>
      <c r="Q82" s="25"/>
      <c r="R82" s="27"/>
      <c r="S82" s="27"/>
      <c r="T82" s="28"/>
      <c r="U82" s="27"/>
      <c r="V82" s="27" t="s">
        <v>159</v>
      </c>
      <c r="W82" s="28"/>
      <c r="X82" s="33"/>
      <c r="Y82" s="32"/>
      <c r="Z82" s="25"/>
      <c r="AA82" s="27"/>
      <c r="AB82" s="28"/>
      <c r="AC82" s="27"/>
      <c r="AD82" s="27"/>
      <c r="AE82" s="33"/>
      <c r="AF82" s="32"/>
      <c r="AG82" s="90"/>
      <c r="AH82" s="91"/>
      <c r="AI82" s="27"/>
      <c r="AJ82" s="27"/>
      <c r="AK82" s="28"/>
      <c r="AL82" s="27"/>
      <c r="AM82" s="27"/>
      <c r="AN82" s="27"/>
      <c r="AO82" s="27"/>
      <c r="AP82" s="36"/>
      <c r="AQ82" s="37"/>
      <c r="AR82" s="32"/>
      <c r="AS82" s="25"/>
      <c r="AT82" s="27"/>
      <c r="AU82" s="27"/>
      <c r="AW82" s="25"/>
      <c r="AX82" s="27"/>
      <c r="AY82" s="27"/>
      <c r="AZ82" s="32"/>
      <c r="BA82" s="41"/>
    </row>
    <row r="83" spans="1:53" x14ac:dyDescent="0.2">
      <c r="A83" s="25">
        <v>76</v>
      </c>
      <c r="B83" s="26">
        <v>45093</v>
      </c>
      <c r="C83" s="27"/>
      <c r="D83" s="25"/>
      <c r="E83" s="28"/>
      <c r="F83" s="27"/>
      <c r="G83" s="28"/>
      <c r="H83" s="27"/>
      <c r="I83" s="28"/>
      <c r="J83" s="27">
        <v>2</v>
      </c>
      <c r="K83" s="29" t="s">
        <v>35</v>
      </c>
      <c r="L83" s="39"/>
      <c r="M83" s="31"/>
      <c r="N83" s="27"/>
      <c r="P83" s="32"/>
      <c r="Q83" s="25"/>
      <c r="R83" s="27"/>
      <c r="S83" s="27"/>
      <c r="T83" s="28"/>
      <c r="U83" s="27"/>
      <c r="V83" s="27" t="s">
        <v>159</v>
      </c>
      <c r="W83" s="28"/>
      <c r="X83" s="33"/>
      <c r="Y83" s="32"/>
      <c r="Z83" s="25"/>
      <c r="AA83" s="27"/>
      <c r="AB83" s="28"/>
      <c r="AC83" s="27"/>
      <c r="AD83" s="27"/>
      <c r="AE83" s="33"/>
      <c r="AF83" s="32"/>
      <c r="AG83" s="90"/>
      <c r="AH83" s="91"/>
      <c r="AI83" s="27"/>
      <c r="AJ83" s="27"/>
      <c r="AK83" s="28"/>
      <c r="AL83" s="27"/>
      <c r="AM83" s="27"/>
      <c r="AN83" s="27"/>
      <c r="AO83" s="27"/>
      <c r="AP83" s="36"/>
      <c r="AQ83" s="37"/>
      <c r="AR83" s="32"/>
      <c r="AS83" s="25"/>
      <c r="AT83" s="27"/>
      <c r="AU83" s="27"/>
      <c r="AW83" s="25"/>
      <c r="AX83" s="27"/>
      <c r="AY83" s="27"/>
      <c r="AZ83" s="32"/>
      <c r="BA83" s="41"/>
    </row>
    <row r="84" spans="1:53" x14ac:dyDescent="0.2">
      <c r="A84" s="25">
        <v>77</v>
      </c>
      <c r="B84" s="26">
        <v>45094</v>
      </c>
      <c r="C84" s="27"/>
      <c r="D84" s="25"/>
      <c r="E84" s="28"/>
      <c r="F84" s="27"/>
      <c r="G84" s="28"/>
      <c r="H84" s="27"/>
      <c r="I84" s="28"/>
      <c r="J84" s="27">
        <v>2</v>
      </c>
      <c r="K84" s="29" t="s">
        <v>35</v>
      </c>
      <c r="L84" s="39"/>
      <c r="M84" s="31"/>
      <c r="N84" s="27"/>
      <c r="P84" s="32"/>
      <c r="Q84" s="25"/>
      <c r="R84" s="27"/>
      <c r="S84" s="27"/>
      <c r="T84" s="28"/>
      <c r="U84" s="27"/>
      <c r="V84" s="27" t="s">
        <v>159</v>
      </c>
      <c r="W84" s="28"/>
      <c r="X84" s="33"/>
      <c r="Y84" s="32"/>
      <c r="Z84" s="25"/>
      <c r="AA84" s="27"/>
      <c r="AB84" s="28"/>
      <c r="AC84" s="27"/>
      <c r="AD84" s="27"/>
      <c r="AE84" s="33"/>
      <c r="AF84" s="32"/>
      <c r="AG84" s="90"/>
      <c r="AH84" s="91"/>
      <c r="AI84" s="27"/>
      <c r="AJ84" s="27"/>
      <c r="AK84" s="28"/>
      <c r="AL84" s="27"/>
      <c r="AM84" s="27"/>
      <c r="AN84" s="27"/>
      <c r="AO84" s="27"/>
      <c r="AP84" s="36"/>
      <c r="AQ84" s="37"/>
      <c r="AR84" s="32"/>
      <c r="AS84" s="25"/>
      <c r="AT84" s="27"/>
      <c r="AU84" s="27"/>
      <c r="AW84" s="25"/>
      <c r="AX84" s="27"/>
      <c r="AY84" s="27"/>
      <c r="AZ84" s="32"/>
      <c r="BA84" s="41"/>
    </row>
    <row r="85" spans="1:53" x14ac:dyDescent="0.2">
      <c r="A85" s="25">
        <v>78</v>
      </c>
      <c r="B85" s="26">
        <v>45095</v>
      </c>
      <c r="C85" s="27"/>
      <c r="D85" s="25"/>
      <c r="E85" s="28"/>
      <c r="F85" s="27"/>
      <c r="G85" s="28"/>
      <c r="H85" s="27"/>
      <c r="I85" s="28"/>
      <c r="J85" s="27">
        <v>2</v>
      </c>
      <c r="K85" s="29" t="s">
        <v>35</v>
      </c>
      <c r="L85" s="39"/>
      <c r="M85" s="31"/>
      <c r="N85" s="27"/>
      <c r="P85" s="32"/>
      <c r="Q85" s="25"/>
      <c r="R85" s="27"/>
      <c r="S85" s="27"/>
      <c r="T85" s="28"/>
      <c r="U85" s="27"/>
      <c r="V85" s="27" t="s">
        <v>159</v>
      </c>
      <c r="W85" s="28"/>
      <c r="X85" s="33"/>
      <c r="Y85" s="32"/>
      <c r="Z85" s="25"/>
      <c r="AA85" s="27"/>
      <c r="AB85" s="28"/>
      <c r="AC85" s="27"/>
      <c r="AD85" s="27"/>
      <c r="AE85" s="33"/>
      <c r="AF85" s="32"/>
      <c r="AG85" s="90"/>
      <c r="AH85" s="91"/>
      <c r="AI85" s="27"/>
      <c r="AJ85" s="27"/>
      <c r="AK85" s="28"/>
      <c r="AL85" s="27"/>
      <c r="AM85" s="27"/>
      <c r="AN85" s="27"/>
      <c r="AO85" s="27"/>
      <c r="AP85" s="36"/>
      <c r="AQ85" s="37"/>
      <c r="AR85" s="32"/>
      <c r="AS85" s="25"/>
      <c r="AT85" s="27"/>
      <c r="AU85" s="27"/>
      <c r="AW85" s="25"/>
      <c r="AX85" s="27"/>
      <c r="AY85" s="27"/>
      <c r="AZ85" s="32"/>
      <c r="BA85" s="41"/>
    </row>
    <row r="86" spans="1:53" x14ac:dyDescent="0.2">
      <c r="A86" s="25">
        <v>79</v>
      </c>
      <c r="B86" s="26">
        <v>45096</v>
      </c>
      <c r="C86" s="27"/>
      <c r="D86" s="25"/>
      <c r="E86" s="28"/>
      <c r="F86" s="27"/>
      <c r="G86" s="28"/>
      <c r="H86" s="27"/>
      <c r="I86" s="28"/>
      <c r="J86" s="27">
        <v>2</v>
      </c>
      <c r="K86" s="29" t="s">
        <v>35</v>
      </c>
      <c r="L86" s="39"/>
      <c r="M86" s="31"/>
      <c r="N86" s="27"/>
      <c r="P86" s="32"/>
      <c r="Q86" s="25"/>
      <c r="R86" s="27"/>
      <c r="S86" s="27"/>
      <c r="T86" s="28"/>
      <c r="U86" s="27"/>
      <c r="V86" s="27" t="s">
        <v>159</v>
      </c>
      <c r="W86" s="28"/>
      <c r="X86" s="33"/>
      <c r="Y86" s="32"/>
      <c r="Z86" s="25"/>
      <c r="AA86" s="27"/>
      <c r="AB86" s="28"/>
      <c r="AC86" s="27"/>
      <c r="AD86" s="27"/>
      <c r="AE86" s="33"/>
      <c r="AF86" s="32"/>
      <c r="AG86" s="90"/>
      <c r="AH86" s="91"/>
      <c r="AI86" s="27"/>
      <c r="AJ86" s="27"/>
      <c r="AK86" s="28"/>
      <c r="AL86" s="27"/>
      <c r="AM86" s="27"/>
      <c r="AN86" s="27"/>
      <c r="AO86" s="27"/>
      <c r="AP86" s="36"/>
      <c r="AQ86" s="37"/>
      <c r="AR86" s="32"/>
      <c r="AS86" s="25"/>
      <c r="AT86" s="27"/>
      <c r="AU86" s="27"/>
      <c r="AW86" s="25"/>
      <c r="AX86" s="27"/>
      <c r="AY86" s="27"/>
      <c r="AZ86" s="32"/>
      <c r="BA86" s="41"/>
    </row>
    <row r="87" spans="1:53" x14ac:dyDescent="0.2">
      <c r="A87" s="25">
        <v>80</v>
      </c>
      <c r="B87" s="26">
        <v>45097</v>
      </c>
      <c r="C87" s="27"/>
      <c r="D87" s="25"/>
      <c r="E87" s="28"/>
      <c r="F87" s="27"/>
      <c r="G87" s="28"/>
      <c r="H87" s="27"/>
      <c r="I87" s="28"/>
      <c r="J87" s="27">
        <v>2</v>
      </c>
      <c r="K87" s="29" t="s">
        <v>35</v>
      </c>
      <c r="L87" s="39"/>
      <c r="M87" s="31"/>
      <c r="N87" s="27"/>
      <c r="P87" s="32"/>
      <c r="Q87" s="25"/>
      <c r="R87" s="27"/>
      <c r="S87" s="27"/>
      <c r="T87" s="28"/>
      <c r="U87" s="27"/>
      <c r="V87" s="27" t="s">
        <v>159</v>
      </c>
      <c r="W87" s="28"/>
      <c r="X87" s="33"/>
      <c r="Y87" s="32"/>
      <c r="Z87" s="25"/>
      <c r="AA87" s="27"/>
      <c r="AB87" s="28"/>
      <c r="AC87" s="27"/>
      <c r="AD87" s="27"/>
      <c r="AE87" s="33"/>
      <c r="AF87" s="32"/>
      <c r="AG87" s="90"/>
      <c r="AH87" s="91"/>
      <c r="AI87" s="27"/>
      <c r="AJ87" s="27"/>
      <c r="AK87" s="28"/>
      <c r="AL87" s="27"/>
      <c r="AM87" s="27"/>
      <c r="AN87" s="27"/>
      <c r="AO87" s="27"/>
      <c r="AP87" s="36"/>
      <c r="AQ87" s="37"/>
      <c r="AR87" s="32"/>
      <c r="AS87" s="25"/>
      <c r="AT87" s="27"/>
      <c r="AU87" s="27"/>
      <c r="AW87" s="25"/>
      <c r="AX87" s="27"/>
      <c r="AY87" s="27"/>
      <c r="AZ87" s="32"/>
      <c r="BA87" s="41"/>
    </row>
    <row r="88" spans="1:53" x14ac:dyDescent="0.2">
      <c r="A88" s="25">
        <v>81</v>
      </c>
      <c r="B88" s="26">
        <v>45098</v>
      </c>
      <c r="C88" s="27"/>
      <c r="D88" s="25"/>
      <c r="E88" s="28"/>
      <c r="F88" s="27"/>
      <c r="G88" s="28"/>
      <c r="H88" s="27"/>
      <c r="I88" s="28"/>
      <c r="J88" s="27">
        <v>2</v>
      </c>
      <c r="K88" s="29" t="s">
        <v>35</v>
      </c>
      <c r="L88" s="39"/>
      <c r="M88" s="31"/>
      <c r="N88" s="27"/>
      <c r="P88" s="32"/>
      <c r="Q88" s="25"/>
      <c r="R88" s="27"/>
      <c r="S88" s="27"/>
      <c r="T88" s="28"/>
      <c r="U88" s="27"/>
      <c r="V88" s="27" t="s">
        <v>159</v>
      </c>
      <c r="W88" s="28"/>
      <c r="X88" s="33"/>
      <c r="Y88" s="32"/>
      <c r="Z88" s="25"/>
      <c r="AA88" s="27"/>
      <c r="AB88" s="28"/>
      <c r="AC88" s="27"/>
      <c r="AD88" s="27"/>
      <c r="AE88" s="33"/>
      <c r="AF88" s="32"/>
      <c r="AG88" s="90"/>
      <c r="AH88" s="91"/>
      <c r="AI88" s="27"/>
      <c r="AJ88" s="27"/>
      <c r="AK88" s="28"/>
      <c r="AL88" s="27"/>
      <c r="AM88" s="27"/>
      <c r="AN88" s="27"/>
      <c r="AO88" s="27"/>
      <c r="AP88" s="36"/>
      <c r="AQ88" s="37"/>
      <c r="AR88" s="32"/>
      <c r="AS88" s="25"/>
      <c r="AT88" s="27"/>
      <c r="AU88" s="27"/>
      <c r="AW88" s="25"/>
      <c r="AX88" s="27"/>
      <c r="AY88" s="27"/>
      <c r="AZ88" s="32"/>
      <c r="BA88" s="41"/>
    </row>
    <row r="89" spans="1:53" x14ac:dyDescent="0.2">
      <c r="A89" s="25">
        <v>82</v>
      </c>
      <c r="B89" s="26">
        <v>45099</v>
      </c>
      <c r="C89" s="27"/>
      <c r="D89" s="25"/>
      <c r="E89" s="28"/>
      <c r="F89" s="27"/>
      <c r="G89" s="28"/>
      <c r="H89" s="27"/>
      <c r="I89" s="28"/>
      <c r="J89" s="27">
        <v>2</v>
      </c>
      <c r="K89" s="29" t="s">
        <v>35</v>
      </c>
      <c r="L89" s="39"/>
      <c r="M89" s="31"/>
      <c r="N89" s="27"/>
      <c r="P89" s="32"/>
      <c r="Q89" s="25"/>
      <c r="R89" s="27"/>
      <c r="S89" s="27"/>
      <c r="T89" s="28"/>
      <c r="U89" s="27"/>
      <c r="V89" s="27" t="s">
        <v>159</v>
      </c>
      <c r="W89" s="28"/>
      <c r="X89" s="33"/>
      <c r="Y89" s="32"/>
      <c r="Z89" s="25"/>
      <c r="AA89" s="27"/>
      <c r="AB89" s="28"/>
      <c r="AC89" s="27"/>
      <c r="AD89" s="27"/>
      <c r="AE89" s="33"/>
      <c r="AF89" s="32"/>
      <c r="AG89" s="90"/>
      <c r="AH89" s="91"/>
      <c r="AI89" s="27"/>
      <c r="AJ89" s="27"/>
      <c r="AK89" s="28"/>
      <c r="AL89" s="27"/>
      <c r="AM89" s="27"/>
      <c r="AN89" s="27"/>
      <c r="AO89" s="27"/>
      <c r="AP89" s="36"/>
      <c r="AQ89" s="37"/>
      <c r="AR89" s="32"/>
      <c r="AS89" s="25"/>
      <c r="AT89" s="27"/>
      <c r="AU89" s="27"/>
      <c r="AW89" s="25"/>
      <c r="AX89" s="27"/>
      <c r="AY89" s="27"/>
      <c r="AZ89" s="32"/>
      <c r="BA89" s="41"/>
    </row>
    <row r="90" spans="1:53" x14ac:dyDescent="0.2">
      <c r="A90" s="25">
        <v>83</v>
      </c>
      <c r="B90" s="26">
        <v>45100</v>
      </c>
      <c r="C90" s="27"/>
      <c r="D90" s="25"/>
      <c r="E90" s="28"/>
      <c r="F90" s="27"/>
      <c r="G90" s="28"/>
      <c r="H90" s="27"/>
      <c r="I90" s="28"/>
      <c r="J90" s="27">
        <v>2</v>
      </c>
      <c r="K90" s="29" t="s">
        <v>35</v>
      </c>
      <c r="L90" s="39"/>
      <c r="M90" s="31"/>
      <c r="N90" s="27"/>
      <c r="P90" s="32"/>
      <c r="Q90" s="25"/>
      <c r="R90" s="27"/>
      <c r="S90" s="27"/>
      <c r="T90" s="28"/>
      <c r="U90" s="27"/>
      <c r="V90" s="27" t="s">
        <v>159</v>
      </c>
      <c r="W90" s="28"/>
      <c r="X90" s="33"/>
      <c r="Y90" s="32"/>
      <c r="Z90" s="25"/>
      <c r="AA90" s="27"/>
      <c r="AB90" s="28"/>
      <c r="AC90" s="27"/>
      <c r="AD90" s="27"/>
      <c r="AE90" s="33"/>
      <c r="AF90" s="32"/>
      <c r="AG90" s="90"/>
      <c r="AH90" s="91"/>
      <c r="AI90" s="27"/>
      <c r="AJ90" s="27"/>
      <c r="AK90" s="28"/>
      <c r="AL90" s="27"/>
      <c r="AM90" s="27"/>
      <c r="AN90" s="27"/>
      <c r="AO90" s="27"/>
      <c r="AP90" s="36"/>
      <c r="AQ90" s="37"/>
      <c r="AR90" s="32"/>
      <c r="AS90" s="25"/>
      <c r="AT90" s="27"/>
      <c r="AU90" s="27"/>
      <c r="AW90" s="25"/>
      <c r="AX90" s="27"/>
      <c r="AY90" s="27"/>
      <c r="AZ90" s="32"/>
      <c r="BA90" s="41"/>
    </row>
    <row r="91" spans="1:53" x14ac:dyDescent="0.2">
      <c r="A91" s="25">
        <v>84</v>
      </c>
      <c r="B91" s="26">
        <v>45101</v>
      </c>
      <c r="C91" s="27"/>
      <c r="D91" s="25"/>
      <c r="E91" s="28"/>
      <c r="F91" s="27"/>
      <c r="G91" s="28"/>
      <c r="H91" s="27"/>
      <c r="I91" s="28"/>
      <c r="J91" s="27">
        <v>2</v>
      </c>
      <c r="K91" s="29" t="s">
        <v>35</v>
      </c>
      <c r="L91" s="39"/>
      <c r="M91" s="31"/>
      <c r="N91" s="27"/>
      <c r="P91" s="32"/>
      <c r="Q91" s="25"/>
      <c r="R91" s="27"/>
      <c r="S91" s="27"/>
      <c r="T91" s="28"/>
      <c r="U91" s="27"/>
      <c r="V91" s="27" t="s">
        <v>159</v>
      </c>
      <c r="W91" s="28"/>
      <c r="X91" s="33"/>
      <c r="Y91" s="32"/>
      <c r="Z91" s="25"/>
      <c r="AA91" s="27"/>
      <c r="AB91" s="28"/>
      <c r="AC91" s="27"/>
      <c r="AD91" s="27"/>
      <c r="AE91" s="33"/>
      <c r="AF91" s="32"/>
      <c r="AG91" s="90"/>
      <c r="AH91" s="91"/>
      <c r="AI91" s="27"/>
      <c r="AJ91" s="27"/>
      <c r="AK91" s="28"/>
      <c r="AL91" s="27"/>
      <c r="AM91" s="27"/>
      <c r="AN91" s="27"/>
      <c r="AO91" s="27"/>
      <c r="AP91" s="36"/>
      <c r="AQ91" s="37"/>
      <c r="AR91" s="32"/>
      <c r="AS91" s="25"/>
      <c r="AT91" s="27"/>
      <c r="AU91" s="27"/>
      <c r="AW91" s="25"/>
      <c r="AX91" s="27"/>
      <c r="AY91" s="27"/>
      <c r="AZ91" s="32"/>
      <c r="BA91" s="41"/>
    </row>
    <row r="92" spans="1:53" x14ac:dyDescent="0.2">
      <c r="A92" s="25">
        <v>85</v>
      </c>
      <c r="B92" s="26">
        <v>45102</v>
      </c>
      <c r="C92" s="27"/>
      <c r="D92" s="25"/>
      <c r="E92" s="28"/>
      <c r="F92" s="27"/>
      <c r="G92" s="28"/>
      <c r="H92" s="27"/>
      <c r="I92" s="28"/>
      <c r="J92" s="27">
        <v>2</v>
      </c>
      <c r="K92" s="29" t="s">
        <v>35</v>
      </c>
      <c r="L92" s="39"/>
      <c r="M92" s="31"/>
      <c r="N92" s="27"/>
      <c r="P92" s="32"/>
      <c r="Q92" s="25"/>
      <c r="R92" s="27"/>
      <c r="S92" s="27"/>
      <c r="T92" s="28"/>
      <c r="U92" s="27"/>
      <c r="V92" s="27" t="s">
        <v>159</v>
      </c>
      <c r="W92" s="28"/>
      <c r="X92" s="33"/>
      <c r="Y92" s="32"/>
      <c r="Z92" s="25"/>
      <c r="AA92" s="27"/>
      <c r="AB92" s="28"/>
      <c r="AC92" s="27"/>
      <c r="AD92" s="27"/>
      <c r="AE92" s="33"/>
      <c r="AF92" s="32"/>
      <c r="AG92" s="90"/>
      <c r="AH92" s="91"/>
      <c r="AI92" s="27"/>
      <c r="AJ92" s="27"/>
      <c r="AK92" s="28"/>
      <c r="AL92" s="27"/>
      <c r="AM92" s="27"/>
      <c r="AN92" s="27"/>
      <c r="AO92" s="27"/>
      <c r="AP92" s="36"/>
      <c r="AQ92" s="37"/>
      <c r="AR92" s="32"/>
      <c r="AS92" s="25"/>
      <c r="AT92" s="27"/>
      <c r="AU92" s="27"/>
      <c r="AW92" s="25"/>
      <c r="AX92" s="27"/>
      <c r="AY92" s="27"/>
      <c r="AZ92" s="32"/>
      <c r="BA92" s="41"/>
    </row>
    <row r="93" spans="1:53" x14ac:dyDescent="0.2">
      <c r="A93" s="25">
        <v>86</v>
      </c>
      <c r="B93" s="26">
        <v>45103</v>
      </c>
      <c r="C93" s="27"/>
      <c r="D93" s="25"/>
      <c r="E93" s="28"/>
      <c r="F93" s="27"/>
      <c r="G93" s="28"/>
      <c r="H93" s="27"/>
      <c r="I93" s="28"/>
      <c r="J93" s="27">
        <v>2</v>
      </c>
      <c r="K93" s="29" t="s">
        <v>35</v>
      </c>
      <c r="L93" s="39"/>
      <c r="M93" s="31"/>
      <c r="N93" s="27"/>
      <c r="P93" s="32"/>
      <c r="Q93" s="25"/>
      <c r="R93" s="27"/>
      <c r="S93" s="27"/>
      <c r="T93" s="28"/>
      <c r="U93" s="27"/>
      <c r="V93" s="27" t="s">
        <v>159</v>
      </c>
      <c r="W93" s="28"/>
      <c r="X93" s="33"/>
      <c r="Y93" s="32"/>
      <c r="Z93" s="25"/>
      <c r="AA93" s="27"/>
      <c r="AB93" s="28"/>
      <c r="AC93" s="27"/>
      <c r="AD93" s="27"/>
      <c r="AE93" s="33"/>
      <c r="AF93" s="32"/>
      <c r="AG93" s="90"/>
      <c r="AH93" s="91"/>
      <c r="AI93" s="27"/>
      <c r="AJ93" s="27"/>
      <c r="AK93" s="28"/>
      <c r="AL93" s="27"/>
      <c r="AM93" s="27"/>
      <c r="AN93" s="27"/>
      <c r="AO93" s="27"/>
      <c r="AP93" s="36"/>
      <c r="AQ93" s="37"/>
      <c r="AR93" s="32"/>
      <c r="AS93" s="25"/>
      <c r="AT93" s="27"/>
      <c r="AU93" s="27"/>
      <c r="AW93" s="25"/>
      <c r="AX93" s="27"/>
      <c r="AY93" s="27"/>
      <c r="AZ93" s="32"/>
      <c r="BA93" s="41"/>
    </row>
    <row r="94" spans="1:53" x14ac:dyDescent="0.2">
      <c r="A94" s="25">
        <v>87</v>
      </c>
      <c r="B94" s="26">
        <v>45104</v>
      </c>
      <c r="C94" s="27"/>
      <c r="D94" s="25"/>
      <c r="E94" s="28"/>
      <c r="F94" s="27"/>
      <c r="G94" s="28"/>
      <c r="H94" s="27"/>
      <c r="I94" s="28"/>
      <c r="J94" s="27">
        <v>2</v>
      </c>
      <c r="K94" s="29" t="s">
        <v>35</v>
      </c>
      <c r="L94" s="39"/>
      <c r="M94" s="31"/>
      <c r="N94" s="27"/>
      <c r="P94" s="32"/>
      <c r="Q94" s="25"/>
      <c r="R94" s="27"/>
      <c r="S94" s="27"/>
      <c r="T94" s="28"/>
      <c r="U94" s="27"/>
      <c r="V94" s="27" t="s">
        <v>159</v>
      </c>
      <c r="W94" s="28"/>
      <c r="X94" s="33"/>
      <c r="Y94" s="32"/>
      <c r="Z94" s="25"/>
      <c r="AA94" s="27"/>
      <c r="AB94" s="28"/>
      <c r="AC94" s="27"/>
      <c r="AD94" s="27"/>
      <c r="AE94" s="33"/>
      <c r="AF94" s="32"/>
      <c r="AG94" s="90"/>
      <c r="AH94" s="91"/>
      <c r="AI94" s="27"/>
      <c r="AJ94" s="27"/>
      <c r="AK94" s="28"/>
      <c r="AL94" s="27"/>
      <c r="AM94" s="27"/>
      <c r="AN94" s="27"/>
      <c r="AO94" s="27"/>
      <c r="AP94" s="36"/>
      <c r="AQ94" s="37"/>
      <c r="AR94" s="32"/>
      <c r="AS94" s="25"/>
      <c r="AT94" s="27"/>
      <c r="AU94" s="27"/>
      <c r="AW94" s="25"/>
      <c r="AX94" s="27"/>
      <c r="AY94" s="27"/>
      <c r="AZ94" s="32"/>
      <c r="BA94" s="41"/>
    </row>
    <row r="95" spans="1:53" x14ac:dyDescent="0.2">
      <c r="A95" s="25">
        <v>88</v>
      </c>
      <c r="B95" s="26">
        <v>45105</v>
      </c>
      <c r="C95" s="27"/>
      <c r="D95" s="25"/>
      <c r="E95" s="28"/>
      <c r="F95" s="27"/>
      <c r="G95" s="28"/>
      <c r="H95" s="27"/>
      <c r="I95" s="28"/>
      <c r="J95" s="27">
        <v>2</v>
      </c>
      <c r="K95" s="29" t="s">
        <v>35</v>
      </c>
      <c r="L95" s="39"/>
      <c r="M95" s="31"/>
      <c r="N95" s="27"/>
      <c r="P95" s="32"/>
      <c r="Q95" s="25"/>
      <c r="R95" s="27"/>
      <c r="S95" s="27"/>
      <c r="T95" s="28"/>
      <c r="U95" s="27"/>
      <c r="V95" s="27" t="s">
        <v>159</v>
      </c>
      <c r="W95" s="28"/>
      <c r="X95" s="33"/>
      <c r="Y95" s="32"/>
      <c r="Z95" s="25"/>
      <c r="AA95" s="27"/>
      <c r="AB95" s="28"/>
      <c r="AC95" s="27"/>
      <c r="AD95" s="27"/>
      <c r="AE95" s="33"/>
      <c r="AF95" s="32"/>
      <c r="AG95" s="90"/>
      <c r="AH95" s="91"/>
      <c r="AI95" s="27"/>
      <c r="AJ95" s="27"/>
      <c r="AK95" s="28"/>
      <c r="AL95" s="27"/>
      <c r="AM95" s="27"/>
      <c r="AN95" s="27"/>
      <c r="AO95" s="27"/>
      <c r="AP95" s="36"/>
      <c r="AQ95" s="37"/>
      <c r="AR95" s="32"/>
      <c r="AS95" s="25"/>
      <c r="AT95" s="27"/>
      <c r="AU95" s="27"/>
      <c r="AW95" s="25"/>
      <c r="AX95" s="27"/>
      <c r="AY95" s="27"/>
      <c r="AZ95" s="32"/>
      <c r="BA95" s="41"/>
    </row>
    <row r="96" spans="1:53" x14ac:dyDescent="0.2">
      <c r="A96" s="25">
        <v>89</v>
      </c>
      <c r="B96" s="26">
        <v>45106</v>
      </c>
      <c r="C96" s="27"/>
      <c r="D96" s="25"/>
      <c r="E96" s="28"/>
      <c r="F96" s="27"/>
      <c r="G96" s="28"/>
      <c r="H96" s="27"/>
      <c r="I96" s="28"/>
      <c r="J96" s="27">
        <v>2</v>
      </c>
      <c r="K96" s="29" t="s">
        <v>35</v>
      </c>
      <c r="L96" s="39"/>
      <c r="M96" s="31"/>
      <c r="N96" s="27"/>
      <c r="P96" s="32"/>
      <c r="Q96" s="25"/>
      <c r="R96" s="27"/>
      <c r="S96" s="27"/>
      <c r="T96" s="28"/>
      <c r="U96" s="27"/>
      <c r="V96" s="27" t="s">
        <v>159</v>
      </c>
      <c r="W96" s="28"/>
      <c r="X96" s="33"/>
      <c r="Y96" s="32"/>
      <c r="Z96" s="25"/>
      <c r="AA96" s="27"/>
      <c r="AB96" s="28"/>
      <c r="AC96" s="27"/>
      <c r="AD96" s="27"/>
      <c r="AE96" s="33"/>
      <c r="AF96" s="32"/>
      <c r="AG96" s="90"/>
      <c r="AH96" s="91"/>
      <c r="AI96" s="27"/>
      <c r="AJ96" s="27"/>
      <c r="AK96" s="28"/>
      <c r="AL96" s="27"/>
      <c r="AM96" s="27"/>
      <c r="AN96" s="27"/>
      <c r="AO96" s="27"/>
      <c r="AP96" s="36"/>
      <c r="AQ96" s="37"/>
      <c r="AR96" s="32"/>
      <c r="AS96" s="25"/>
      <c r="AT96" s="27"/>
      <c r="AU96" s="27"/>
      <c r="AW96" s="25"/>
      <c r="AX96" s="27"/>
      <c r="AY96" s="27"/>
      <c r="AZ96" s="32"/>
      <c r="BA96" s="41"/>
    </row>
    <row r="97" spans="1:53" x14ac:dyDescent="0.2">
      <c r="A97" s="25">
        <v>90</v>
      </c>
      <c r="B97" s="26">
        <v>45107</v>
      </c>
      <c r="C97" s="27"/>
      <c r="D97" s="25"/>
      <c r="E97" s="28"/>
      <c r="F97" s="27"/>
      <c r="G97" s="28"/>
      <c r="H97" s="27"/>
      <c r="I97" s="28"/>
      <c r="J97" s="27">
        <v>2</v>
      </c>
      <c r="K97" s="29" t="s">
        <v>35</v>
      </c>
      <c r="L97" s="39"/>
      <c r="M97" s="31"/>
      <c r="N97" s="27"/>
      <c r="P97" s="32"/>
      <c r="Q97" s="25"/>
      <c r="R97" s="27"/>
      <c r="S97" s="27"/>
      <c r="T97" s="28"/>
      <c r="U97" s="27"/>
      <c r="V97" s="27" t="s">
        <v>159</v>
      </c>
      <c r="W97" s="28"/>
      <c r="X97" s="33"/>
      <c r="Y97" s="32"/>
      <c r="Z97" s="25"/>
      <c r="AA97" s="27"/>
      <c r="AB97" s="28"/>
      <c r="AC97" s="27"/>
      <c r="AD97" s="27"/>
      <c r="AE97" s="33"/>
      <c r="AF97" s="32"/>
      <c r="AG97" s="90"/>
      <c r="AH97" s="91"/>
      <c r="AI97" s="27"/>
      <c r="AJ97" s="27"/>
      <c r="AK97" s="28"/>
      <c r="AL97" s="27"/>
      <c r="AM97" s="27"/>
      <c r="AN97" s="27"/>
      <c r="AO97" s="27"/>
      <c r="AP97" s="36"/>
      <c r="AQ97" s="37"/>
      <c r="AR97" s="32"/>
      <c r="AS97" s="25"/>
      <c r="AT97" s="27"/>
      <c r="AU97" s="27"/>
      <c r="AW97" s="25"/>
      <c r="AX97" s="27"/>
      <c r="AY97" s="27"/>
      <c r="AZ97" s="32"/>
      <c r="BA97" s="41"/>
    </row>
    <row r="98" spans="1:53" x14ac:dyDescent="0.2">
      <c r="B98" s="26"/>
    </row>
  </sheetData>
  <mergeCells count="52">
    <mergeCell ref="X11:X18"/>
    <mergeCell ref="AV4:AV6"/>
    <mergeCell ref="AW4:AW6"/>
    <mergeCell ref="AG4:AG5"/>
    <mergeCell ref="X4:X6"/>
    <mergeCell ref="O27:O47"/>
    <mergeCell ref="AR4:AR6"/>
    <mergeCell ref="AS4:AS6"/>
    <mergeCell ref="AT4:AT6"/>
    <mergeCell ref="AU4:AU6"/>
    <mergeCell ref="AH4:AH6"/>
    <mergeCell ref="AI4:AK5"/>
    <mergeCell ref="AL4:AL6"/>
    <mergeCell ref="AM4:AM5"/>
    <mergeCell ref="AN4:AP5"/>
    <mergeCell ref="AQ4:AQ6"/>
    <mergeCell ref="Y4:Y6"/>
    <mergeCell ref="Z4:AB5"/>
    <mergeCell ref="AC4:AD5"/>
    <mergeCell ref="AE4:AE6"/>
    <mergeCell ref="AF4:AF6"/>
    <mergeCell ref="H4:I5"/>
    <mergeCell ref="J4:J6"/>
    <mergeCell ref="K4:K6"/>
    <mergeCell ref="L4:L6"/>
    <mergeCell ref="M4:M6"/>
    <mergeCell ref="N4:N6"/>
    <mergeCell ref="AS1:AV3"/>
    <mergeCell ref="AW1:AZ3"/>
    <mergeCell ref="BA1:BA3"/>
    <mergeCell ref="AG3:AK3"/>
    <mergeCell ref="AM3:AP3"/>
    <mergeCell ref="AG1:AP2"/>
    <mergeCell ref="O4:O6"/>
    <mergeCell ref="P4:P6"/>
    <mergeCell ref="Q4:Q6"/>
    <mergeCell ref="R4:T5"/>
    <mergeCell ref="U4:W5"/>
    <mergeCell ref="AX4:AX6"/>
    <mergeCell ref="AY4:AY6"/>
    <mergeCell ref="AZ4:AZ6"/>
    <mergeCell ref="BA4:BA6"/>
    <mergeCell ref="A4:A6"/>
    <mergeCell ref="B4:B6"/>
    <mergeCell ref="C4:C6"/>
    <mergeCell ref="D4:E5"/>
    <mergeCell ref="F4:G5"/>
    <mergeCell ref="A1:C3"/>
    <mergeCell ref="D1:M3"/>
    <mergeCell ref="N1:P3"/>
    <mergeCell ref="Q1:Y3"/>
    <mergeCell ref="Z1:AF3"/>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S117"/>
  <sheetViews>
    <sheetView zoomScale="80" zoomScaleNormal="80" workbookViewId="0">
      <pane xSplit="1" ySplit="2" topLeftCell="B3" activePane="bottomRight" state="frozen"/>
      <selection activeCell="C36" sqref="C36"/>
      <selection pane="topRight" activeCell="C36" sqref="C36"/>
      <selection pane="bottomLeft" activeCell="C36" sqref="C36"/>
      <selection pane="bottomRight" activeCell="B24" sqref="B24"/>
    </sheetView>
  </sheetViews>
  <sheetFormatPr baseColWidth="10" defaultColWidth="8.83203125" defaultRowHeight="15" x14ac:dyDescent="0.2"/>
  <cols>
    <col min="1" max="1" width="18.83203125" customWidth="1"/>
    <col min="2" max="2" width="18.33203125" customWidth="1"/>
    <col min="3" max="3" width="17.5" bestFit="1" customWidth="1"/>
    <col min="4" max="9" width="9.1640625" hidden="1" customWidth="1"/>
    <col min="10" max="10" width="9.1640625" customWidth="1"/>
    <col min="11" max="11" width="10.33203125" style="92" customWidth="1"/>
    <col min="12" max="12" width="71.5" bestFit="1" customWidth="1"/>
    <col min="13" max="13" width="40.5" customWidth="1"/>
    <col min="14" max="14" width="18.1640625" bestFit="1" customWidth="1"/>
    <col min="15" max="15" width="47.83203125" bestFit="1" customWidth="1"/>
    <col min="16" max="16" width="36" customWidth="1"/>
    <col min="17" max="17" width="11.5" hidden="1" customWidth="1"/>
    <col min="18" max="19" width="0" hidden="1" customWidth="1"/>
    <col min="20" max="20" width="10.6640625" hidden="1" customWidth="1"/>
    <col min="22" max="22" width="0" hidden="1" customWidth="1"/>
    <col min="24" max="24" width="33.6640625" customWidth="1"/>
    <col min="25" max="25" width="36.5" customWidth="1"/>
    <col min="26" max="28" width="0" hidden="1" customWidth="1"/>
    <col min="29" max="29" width="18" customWidth="1"/>
    <col min="30" max="30" width="0" hidden="1" customWidth="1"/>
    <col min="31" max="31" width="44.5" bestFit="1" customWidth="1"/>
    <col min="32" max="32" width="40.83203125" customWidth="1"/>
    <col min="43" max="43" width="46.6640625" customWidth="1"/>
    <col min="44" max="44" width="61" customWidth="1"/>
    <col min="45" max="45" width="13.5" customWidth="1"/>
    <col min="46" max="46" width="12.83203125" customWidth="1"/>
    <col min="47" max="47" width="26.5" customWidth="1"/>
    <col min="48" max="48" width="46.33203125" customWidth="1"/>
    <col min="49" max="49" width="12.1640625" customWidth="1"/>
    <col min="50" max="50" width="12.83203125" customWidth="1"/>
    <col min="51" max="51" width="69.1640625" customWidth="1"/>
    <col min="52" max="52" width="35" customWidth="1"/>
    <col min="53" max="53" width="18.1640625" customWidth="1"/>
    <col min="71" max="71" width="20.5" customWidth="1"/>
  </cols>
  <sheetData>
    <row r="1" spans="1:44" ht="16.5" customHeight="1" x14ac:dyDescent="0.2">
      <c r="A1" s="402" t="s">
        <v>98</v>
      </c>
      <c r="B1" s="402"/>
      <c r="C1" s="402"/>
    </row>
    <row r="2" spans="1:44" ht="16.5" customHeight="1" x14ac:dyDescent="0.2">
      <c r="A2" s="402"/>
      <c r="B2" s="402"/>
      <c r="C2" s="402"/>
    </row>
    <row r="3" spans="1:44" ht="16" thickBot="1" x14ac:dyDescent="0.25"/>
    <row r="4" spans="1:44" ht="25" thickBot="1" x14ac:dyDescent="0.25">
      <c r="A4" s="93" t="s">
        <v>99</v>
      </c>
      <c r="B4" s="403"/>
      <c r="C4" s="404"/>
      <c r="D4" s="404"/>
      <c r="E4" s="404"/>
      <c r="F4" s="404"/>
      <c r="G4" s="404"/>
      <c r="H4" s="404"/>
      <c r="I4" s="404"/>
      <c r="J4" s="404"/>
      <c r="K4" s="405"/>
    </row>
    <row r="6" spans="1:44" x14ac:dyDescent="0.2">
      <c r="B6" s="94" t="s">
        <v>100</v>
      </c>
      <c r="C6" s="95"/>
    </row>
    <row r="7" spans="1:44" x14ac:dyDescent="0.2">
      <c r="B7" s="94" t="s">
        <v>101</v>
      </c>
      <c r="C7" s="95">
        <v>28200</v>
      </c>
      <c r="J7">
        <v>7200</v>
      </c>
    </row>
    <row r="8" spans="1:44" x14ac:dyDescent="0.2">
      <c r="B8" s="94" t="s">
        <v>102</v>
      </c>
      <c r="C8" s="96"/>
      <c r="J8">
        <v>31</v>
      </c>
    </row>
    <row r="9" spans="1:44" x14ac:dyDescent="0.2">
      <c r="B9" s="94" t="s">
        <v>103</v>
      </c>
      <c r="C9" s="96">
        <f>(C8/C7)*100</f>
        <v>0</v>
      </c>
      <c r="D9" s="96" t="e">
        <f t="shared" ref="D9:J9" si="0">(D8/D7)*100</f>
        <v>#DIV/0!</v>
      </c>
      <c r="E9" s="96" t="e">
        <f t="shared" si="0"/>
        <v>#DIV/0!</v>
      </c>
      <c r="F9" s="96" t="e">
        <f t="shared" si="0"/>
        <v>#DIV/0!</v>
      </c>
      <c r="G9" s="96" t="e">
        <f t="shared" si="0"/>
        <v>#DIV/0!</v>
      </c>
      <c r="H9" s="96" t="e">
        <f t="shared" si="0"/>
        <v>#DIV/0!</v>
      </c>
      <c r="I9" s="96" t="e">
        <f t="shared" si="0"/>
        <v>#DIV/0!</v>
      </c>
      <c r="J9" s="96">
        <f t="shared" si="0"/>
        <v>0.43055555555555558</v>
      </c>
    </row>
    <row r="10" spans="1:44" x14ac:dyDescent="0.2">
      <c r="B10" s="94" t="s">
        <v>104</v>
      </c>
      <c r="C10" s="96" t="s">
        <v>105</v>
      </c>
    </row>
    <row r="11" spans="1:44" ht="15" customHeight="1" x14ac:dyDescent="0.2">
      <c r="B11" s="94" t="s">
        <v>106</v>
      </c>
      <c r="C11" s="96" t="s">
        <v>107</v>
      </c>
    </row>
    <row r="12" spans="1:44" x14ac:dyDescent="0.2">
      <c r="Q12" s="406"/>
      <c r="R12" s="406"/>
      <c r="S12" s="406"/>
      <c r="T12" s="406"/>
      <c r="U12" s="406"/>
      <c r="V12" s="406"/>
      <c r="W12" s="406"/>
      <c r="X12" s="406"/>
      <c r="Y12" s="406"/>
      <c r="Z12" s="408"/>
      <c r="AA12" s="408"/>
      <c r="AB12" s="408"/>
      <c r="AC12" s="408"/>
      <c r="AD12" s="408"/>
      <c r="AE12" s="408"/>
      <c r="AF12" s="408"/>
      <c r="AG12" s="406"/>
      <c r="AH12" s="406"/>
      <c r="AI12" s="406"/>
      <c r="AJ12" s="406"/>
      <c r="AK12" s="406"/>
      <c r="AL12" s="406"/>
      <c r="AM12" s="406"/>
      <c r="AN12" s="406"/>
      <c r="AO12" s="406"/>
      <c r="AP12" s="406"/>
      <c r="AQ12" s="406"/>
      <c r="AR12" s="406"/>
    </row>
    <row r="13" spans="1:44" ht="24" x14ac:dyDescent="0.2">
      <c r="B13" s="97" t="s">
        <v>108</v>
      </c>
      <c r="L13">
        <v>21</v>
      </c>
      <c r="Q13" s="406"/>
      <c r="R13" s="406"/>
      <c r="S13" s="406"/>
      <c r="T13" s="406"/>
      <c r="U13" s="406"/>
      <c r="V13" s="406"/>
      <c r="W13" s="406"/>
      <c r="X13" s="406"/>
      <c r="Y13" s="406"/>
      <c r="Z13" s="408"/>
      <c r="AA13" s="408"/>
      <c r="AB13" s="408"/>
      <c r="AC13" s="408"/>
      <c r="AD13" s="408"/>
      <c r="AE13" s="408"/>
      <c r="AF13" s="408"/>
      <c r="AG13" s="406"/>
      <c r="AH13" s="406"/>
      <c r="AI13" s="406"/>
      <c r="AJ13" s="406"/>
      <c r="AK13" s="406"/>
      <c r="AL13" s="406"/>
      <c r="AM13" s="406"/>
      <c r="AN13" s="406"/>
      <c r="AO13" s="406"/>
      <c r="AP13" s="406"/>
      <c r="AQ13" s="406"/>
      <c r="AR13" s="406"/>
    </row>
    <row r="14" spans="1:44" ht="15" customHeight="1" x14ac:dyDescent="0.2">
      <c r="B14" s="94" t="s">
        <v>109</v>
      </c>
      <c r="Q14" s="406"/>
      <c r="R14" s="406"/>
      <c r="S14" s="406"/>
      <c r="T14" s="406"/>
      <c r="U14" s="406"/>
      <c r="V14" s="406"/>
      <c r="W14" s="406"/>
      <c r="X14" s="406"/>
      <c r="Y14" s="406"/>
      <c r="Z14" s="408"/>
      <c r="AA14" s="408"/>
      <c r="AB14" s="408"/>
      <c r="AC14" s="408"/>
      <c r="AD14" s="408"/>
      <c r="AE14" s="408"/>
      <c r="AF14" s="408"/>
      <c r="AG14" s="406"/>
      <c r="AH14" s="406"/>
      <c r="AI14" s="406"/>
      <c r="AJ14" s="406"/>
      <c r="AK14" s="406"/>
      <c r="AL14" s="406"/>
      <c r="AM14" s="406"/>
      <c r="AN14" s="406"/>
      <c r="AO14" s="406"/>
      <c r="AP14" s="406"/>
      <c r="AQ14" s="406"/>
      <c r="AR14" s="406"/>
    </row>
    <row r="15" spans="1:44" ht="15" customHeight="1" x14ac:dyDescent="0.2">
      <c r="A15" s="94"/>
      <c r="B15" s="95"/>
      <c r="Q15" s="406"/>
      <c r="R15" s="406"/>
      <c r="S15" s="406"/>
      <c r="T15" s="406"/>
      <c r="U15" s="406"/>
      <c r="V15" s="406"/>
      <c r="W15" s="406"/>
      <c r="X15" s="406"/>
      <c r="Y15" s="406"/>
      <c r="Z15" s="408"/>
      <c r="AA15" s="408"/>
      <c r="AB15" s="408"/>
      <c r="AC15" s="408"/>
      <c r="AD15" s="408"/>
      <c r="AE15" s="408"/>
      <c r="AF15" s="408"/>
      <c r="AG15" s="406"/>
      <c r="AH15" s="406"/>
      <c r="AI15" s="406"/>
      <c r="AJ15" s="406"/>
      <c r="AK15" s="406"/>
      <c r="AL15" s="406"/>
      <c r="AM15" s="406"/>
      <c r="AN15" s="406"/>
      <c r="AO15" s="406"/>
      <c r="AP15" s="406"/>
      <c r="AQ15" s="406"/>
      <c r="AR15" s="406"/>
    </row>
    <row r="16" spans="1:44" ht="15" customHeight="1" x14ac:dyDescent="0.2">
      <c r="A16" s="94"/>
      <c r="B16" s="95"/>
      <c r="Q16" s="406"/>
      <c r="R16" s="406"/>
      <c r="S16" s="406"/>
      <c r="T16" s="406"/>
      <c r="U16" s="406"/>
      <c r="V16" s="406"/>
      <c r="W16" s="406"/>
      <c r="X16" s="406"/>
      <c r="Y16" s="406"/>
      <c r="Z16" s="408"/>
      <c r="AA16" s="408"/>
      <c r="AB16" s="408"/>
      <c r="AC16" s="408"/>
      <c r="AD16" s="408"/>
      <c r="AE16" s="408"/>
      <c r="AF16" s="408"/>
      <c r="AG16" s="406"/>
      <c r="AH16" s="406"/>
      <c r="AI16" s="406"/>
      <c r="AJ16" s="406"/>
      <c r="AK16" s="406"/>
      <c r="AL16" s="406"/>
      <c r="AM16" s="406"/>
      <c r="AN16" s="406"/>
      <c r="AO16" s="406"/>
      <c r="AP16" s="406"/>
      <c r="AQ16" s="406"/>
      <c r="AR16" s="406"/>
    </row>
    <row r="17" spans="1:53" ht="15.75" customHeight="1" thickBot="1" x14ac:dyDescent="0.25">
      <c r="Q17" s="407"/>
      <c r="R17" s="407"/>
      <c r="S17" s="407"/>
      <c r="T17" s="407"/>
      <c r="U17" s="407"/>
      <c r="V17" s="407"/>
      <c r="W17" s="407"/>
      <c r="X17" s="407"/>
      <c r="Y17" s="407"/>
      <c r="Z17" s="409"/>
      <c r="AA17" s="409"/>
      <c r="AB17" s="409"/>
      <c r="AC17" s="409"/>
      <c r="AD17" s="409"/>
      <c r="AE17" s="409"/>
      <c r="AF17" s="409"/>
      <c r="AG17" s="407"/>
      <c r="AH17" s="407"/>
      <c r="AI17" s="407"/>
      <c r="AJ17" s="407"/>
      <c r="AK17" s="407"/>
      <c r="AL17" s="407"/>
      <c r="AM17" s="407"/>
      <c r="AN17" s="407"/>
      <c r="AO17" s="407"/>
      <c r="AP17" s="407"/>
      <c r="AQ17" s="407"/>
      <c r="AR17" s="407"/>
    </row>
    <row r="18" spans="1:53" ht="15" customHeight="1" x14ac:dyDescent="0.2">
      <c r="A18" s="209" t="s">
        <v>0</v>
      </c>
      <c r="B18" s="210"/>
      <c r="C18" s="210"/>
      <c r="D18" s="215" t="s">
        <v>1</v>
      </c>
      <c r="E18" s="215"/>
      <c r="F18" s="215"/>
      <c r="G18" s="215"/>
      <c r="H18" s="215"/>
      <c r="I18" s="215"/>
      <c r="J18" s="215"/>
      <c r="K18" s="215"/>
      <c r="L18" s="215"/>
      <c r="M18" s="215"/>
      <c r="N18" s="218" t="s">
        <v>2</v>
      </c>
      <c r="O18" s="218"/>
      <c r="P18" s="219"/>
      <c r="Q18" s="224" t="s">
        <v>3</v>
      </c>
      <c r="R18" s="225"/>
      <c r="S18" s="225"/>
      <c r="T18" s="225"/>
      <c r="U18" s="225"/>
      <c r="V18" s="225"/>
      <c r="W18" s="225"/>
      <c r="X18" s="225"/>
      <c r="Y18" s="226"/>
      <c r="Z18" s="230" t="s">
        <v>4</v>
      </c>
      <c r="AA18" s="231"/>
      <c r="AB18" s="231"/>
      <c r="AC18" s="231"/>
      <c r="AD18" s="231"/>
      <c r="AE18" s="231"/>
      <c r="AF18" s="232"/>
      <c r="AG18" s="271" t="s">
        <v>5</v>
      </c>
      <c r="AH18" s="271"/>
      <c r="AI18" s="271"/>
      <c r="AJ18" s="271"/>
      <c r="AK18" s="271"/>
      <c r="AL18" s="271"/>
      <c r="AM18" s="271"/>
      <c r="AN18" s="271"/>
      <c r="AO18" s="271"/>
      <c r="AP18" s="271"/>
      <c r="AQ18" s="1"/>
      <c r="AR18" s="2"/>
      <c r="AS18" s="251" t="s">
        <v>6</v>
      </c>
      <c r="AT18" s="252"/>
      <c r="AU18" s="252"/>
      <c r="AV18" s="252"/>
      <c r="AW18" s="257" t="s">
        <v>7</v>
      </c>
      <c r="AX18" s="258"/>
      <c r="AY18" s="258"/>
      <c r="AZ18" s="259"/>
      <c r="BA18" s="266" t="s">
        <v>8</v>
      </c>
    </row>
    <row r="19" spans="1:53" ht="15" customHeight="1" x14ac:dyDescent="0.2">
      <c r="A19" s="211"/>
      <c r="B19" s="212"/>
      <c r="C19" s="212"/>
      <c r="D19" s="216"/>
      <c r="E19" s="216"/>
      <c r="F19" s="216"/>
      <c r="G19" s="216"/>
      <c r="H19" s="216"/>
      <c r="I19" s="216"/>
      <c r="J19" s="216"/>
      <c r="K19" s="216"/>
      <c r="L19" s="216"/>
      <c r="M19" s="216"/>
      <c r="N19" s="220"/>
      <c r="O19" s="220"/>
      <c r="P19" s="221"/>
      <c r="Q19" s="227"/>
      <c r="R19" s="228"/>
      <c r="S19" s="228"/>
      <c r="T19" s="228"/>
      <c r="U19" s="228"/>
      <c r="V19" s="228"/>
      <c r="W19" s="228"/>
      <c r="X19" s="228"/>
      <c r="Y19" s="229"/>
      <c r="Z19" s="233"/>
      <c r="AA19" s="234"/>
      <c r="AB19" s="234"/>
      <c r="AC19" s="234"/>
      <c r="AD19" s="234"/>
      <c r="AE19" s="234"/>
      <c r="AF19" s="235"/>
      <c r="AG19" s="272"/>
      <c r="AH19" s="272"/>
      <c r="AI19" s="272"/>
      <c r="AJ19" s="272"/>
      <c r="AK19" s="272"/>
      <c r="AL19" s="272"/>
      <c r="AM19" s="272"/>
      <c r="AN19" s="272"/>
      <c r="AO19" s="272"/>
      <c r="AP19" s="272"/>
      <c r="AQ19" s="3"/>
      <c r="AR19" s="4"/>
      <c r="AS19" s="253"/>
      <c r="AT19" s="254"/>
      <c r="AU19" s="254"/>
      <c r="AV19" s="254"/>
      <c r="AW19" s="260"/>
      <c r="AX19" s="261"/>
      <c r="AY19" s="261"/>
      <c r="AZ19" s="262"/>
      <c r="BA19" s="267"/>
    </row>
    <row r="20" spans="1:53" ht="15" customHeight="1" thickBot="1" x14ac:dyDescent="0.25">
      <c r="A20" s="213"/>
      <c r="B20" s="214"/>
      <c r="C20" s="214"/>
      <c r="D20" s="217"/>
      <c r="E20" s="217"/>
      <c r="F20" s="217"/>
      <c r="G20" s="217"/>
      <c r="H20" s="217"/>
      <c r="I20" s="217"/>
      <c r="J20" s="217"/>
      <c r="K20" s="217"/>
      <c r="L20" s="217"/>
      <c r="M20" s="217"/>
      <c r="N20" s="222"/>
      <c r="O20" s="222"/>
      <c r="P20" s="223"/>
      <c r="Q20" s="227"/>
      <c r="R20" s="228"/>
      <c r="S20" s="228"/>
      <c r="T20" s="228"/>
      <c r="U20" s="228"/>
      <c r="V20" s="228"/>
      <c r="W20" s="228"/>
      <c r="X20" s="228"/>
      <c r="Y20" s="229"/>
      <c r="Z20" s="233"/>
      <c r="AA20" s="234"/>
      <c r="AB20" s="234"/>
      <c r="AC20" s="234"/>
      <c r="AD20" s="234"/>
      <c r="AE20" s="234"/>
      <c r="AF20" s="235"/>
      <c r="AG20" s="269" t="s">
        <v>9</v>
      </c>
      <c r="AH20" s="269"/>
      <c r="AI20" s="269"/>
      <c r="AJ20" s="269"/>
      <c r="AK20" s="270"/>
      <c r="AL20" s="5"/>
      <c r="AM20" s="269" t="s">
        <v>10</v>
      </c>
      <c r="AN20" s="269"/>
      <c r="AO20" s="269"/>
      <c r="AP20" s="270"/>
      <c r="AQ20" s="6"/>
      <c r="AR20" s="7"/>
      <c r="AS20" s="255"/>
      <c r="AT20" s="256"/>
      <c r="AU20" s="256"/>
      <c r="AV20" s="256"/>
      <c r="AW20" s="263"/>
      <c r="AX20" s="264"/>
      <c r="AY20" s="264"/>
      <c r="AZ20" s="265"/>
      <c r="BA20" s="268"/>
    </row>
    <row r="21" spans="1:53" ht="15" customHeight="1" x14ac:dyDescent="0.2">
      <c r="A21" s="236" t="s">
        <v>11</v>
      </c>
      <c r="B21" s="239" t="s">
        <v>12</v>
      </c>
      <c r="C21" s="239" t="s">
        <v>13</v>
      </c>
      <c r="D21" s="242" t="s">
        <v>14</v>
      </c>
      <c r="E21" s="243"/>
      <c r="F21" s="246" t="s">
        <v>15</v>
      </c>
      <c r="G21" s="243"/>
      <c r="H21" s="292" t="s">
        <v>16</v>
      </c>
      <c r="I21" s="293"/>
      <c r="J21" s="296" t="s">
        <v>17</v>
      </c>
      <c r="K21" s="299" t="s">
        <v>18</v>
      </c>
      <c r="L21" s="292" t="s">
        <v>19</v>
      </c>
      <c r="M21" s="303" t="s">
        <v>20</v>
      </c>
      <c r="N21" s="248" t="s">
        <v>21</v>
      </c>
      <c r="O21" s="248" t="s">
        <v>19</v>
      </c>
      <c r="P21" s="248" t="s">
        <v>20</v>
      </c>
      <c r="Q21" s="273" t="s">
        <v>22</v>
      </c>
      <c r="R21" s="276" t="s">
        <v>23</v>
      </c>
      <c r="S21" s="276"/>
      <c r="T21" s="277"/>
      <c r="U21" s="280" t="s">
        <v>24</v>
      </c>
      <c r="V21" s="280"/>
      <c r="W21" s="281"/>
      <c r="X21" s="353" t="s">
        <v>19</v>
      </c>
      <c r="Y21" s="330" t="s">
        <v>20</v>
      </c>
      <c r="Z21" s="333" t="s">
        <v>23</v>
      </c>
      <c r="AA21" s="334"/>
      <c r="AB21" s="335"/>
      <c r="AC21" s="339" t="s">
        <v>24</v>
      </c>
      <c r="AD21" s="339"/>
      <c r="AE21" s="339" t="s">
        <v>19</v>
      </c>
      <c r="AF21" s="342" t="s">
        <v>20</v>
      </c>
      <c r="AG21" s="351" t="s">
        <v>25</v>
      </c>
      <c r="AH21" s="318" t="s">
        <v>26</v>
      </c>
      <c r="AI21" s="321" t="s">
        <v>24</v>
      </c>
      <c r="AJ21" s="321"/>
      <c r="AK21" s="321"/>
      <c r="AL21" s="323" t="s">
        <v>27</v>
      </c>
      <c r="AM21" s="325" t="s">
        <v>25</v>
      </c>
      <c r="AN21" s="321" t="s">
        <v>24</v>
      </c>
      <c r="AO21" s="321"/>
      <c r="AP21" s="309"/>
      <c r="AQ21" s="327" t="s">
        <v>19</v>
      </c>
      <c r="AR21" s="309" t="s">
        <v>20</v>
      </c>
      <c r="AS21" s="312" t="s">
        <v>28</v>
      </c>
      <c r="AT21" s="315" t="s">
        <v>29</v>
      </c>
      <c r="AU21" s="315" t="s">
        <v>19</v>
      </c>
      <c r="AV21" s="315" t="s">
        <v>20</v>
      </c>
      <c r="AW21" s="348" t="s">
        <v>30</v>
      </c>
      <c r="AX21" s="284" t="s">
        <v>29</v>
      </c>
      <c r="AY21" s="284" t="s">
        <v>19</v>
      </c>
      <c r="AZ21" s="287" t="s">
        <v>20</v>
      </c>
      <c r="BA21" s="290" t="s">
        <v>31</v>
      </c>
    </row>
    <row r="22" spans="1:53" x14ac:dyDescent="0.2">
      <c r="A22" s="237"/>
      <c r="B22" s="240"/>
      <c r="C22" s="240"/>
      <c r="D22" s="244"/>
      <c r="E22" s="245"/>
      <c r="F22" s="247"/>
      <c r="G22" s="245"/>
      <c r="H22" s="294"/>
      <c r="I22" s="295"/>
      <c r="J22" s="297"/>
      <c r="K22" s="300"/>
      <c r="L22" s="294"/>
      <c r="M22" s="304"/>
      <c r="N22" s="249"/>
      <c r="O22" s="249"/>
      <c r="P22" s="249"/>
      <c r="Q22" s="274"/>
      <c r="R22" s="278"/>
      <c r="S22" s="278"/>
      <c r="T22" s="279"/>
      <c r="U22" s="282"/>
      <c r="V22" s="282"/>
      <c r="W22" s="283"/>
      <c r="X22" s="354"/>
      <c r="Y22" s="331"/>
      <c r="Z22" s="336"/>
      <c r="AA22" s="337"/>
      <c r="AB22" s="338"/>
      <c r="AC22" s="340"/>
      <c r="AD22" s="340"/>
      <c r="AE22" s="340"/>
      <c r="AF22" s="343"/>
      <c r="AG22" s="352"/>
      <c r="AH22" s="319"/>
      <c r="AI22" s="322"/>
      <c r="AJ22" s="322"/>
      <c r="AK22" s="322"/>
      <c r="AL22" s="324"/>
      <c r="AM22" s="326"/>
      <c r="AN22" s="322"/>
      <c r="AO22" s="322"/>
      <c r="AP22" s="310"/>
      <c r="AQ22" s="328"/>
      <c r="AR22" s="310"/>
      <c r="AS22" s="313"/>
      <c r="AT22" s="316"/>
      <c r="AU22" s="316"/>
      <c r="AV22" s="316"/>
      <c r="AW22" s="349"/>
      <c r="AX22" s="285"/>
      <c r="AY22" s="285"/>
      <c r="AZ22" s="288"/>
      <c r="BA22" s="290"/>
    </row>
    <row r="23" spans="1:53" ht="20.25" customHeight="1" thickBot="1" x14ac:dyDescent="0.25">
      <c r="A23" s="238"/>
      <c r="B23" s="241"/>
      <c r="C23" s="241"/>
      <c r="D23" s="8" t="s">
        <v>32</v>
      </c>
      <c r="E23" s="9" t="s">
        <v>33</v>
      </c>
      <c r="F23" s="10" t="s">
        <v>32</v>
      </c>
      <c r="G23" s="9" t="s">
        <v>33</v>
      </c>
      <c r="H23" s="11" t="s">
        <v>32</v>
      </c>
      <c r="I23" s="12" t="s">
        <v>33</v>
      </c>
      <c r="J23" s="298"/>
      <c r="K23" s="301"/>
      <c r="L23" s="302"/>
      <c r="M23" s="305"/>
      <c r="N23" s="250"/>
      <c r="O23" s="250"/>
      <c r="P23" s="250"/>
      <c r="Q23" s="275"/>
      <c r="R23" s="13" t="s">
        <v>32</v>
      </c>
      <c r="S23" s="13" t="s">
        <v>34</v>
      </c>
      <c r="T23" s="14" t="s">
        <v>33</v>
      </c>
      <c r="U23" s="15" t="s">
        <v>32</v>
      </c>
      <c r="V23" s="15" t="s">
        <v>34</v>
      </c>
      <c r="W23" s="16" t="s">
        <v>33</v>
      </c>
      <c r="X23" s="355"/>
      <c r="Y23" s="332"/>
      <c r="Z23" s="17" t="s">
        <v>32</v>
      </c>
      <c r="AA23" s="18" t="s">
        <v>34</v>
      </c>
      <c r="AB23" s="19" t="s">
        <v>33</v>
      </c>
      <c r="AC23" s="20" t="s">
        <v>32</v>
      </c>
      <c r="AD23" s="20" t="s">
        <v>34</v>
      </c>
      <c r="AE23" s="341"/>
      <c r="AF23" s="344"/>
      <c r="AG23" s="21" t="s">
        <v>34</v>
      </c>
      <c r="AH23" s="320"/>
      <c r="AI23" s="22" t="s">
        <v>32</v>
      </c>
      <c r="AJ23" s="22" t="s">
        <v>34</v>
      </c>
      <c r="AK23" s="22" t="s">
        <v>33</v>
      </c>
      <c r="AL23" s="324"/>
      <c r="AM23" s="23" t="s">
        <v>33</v>
      </c>
      <c r="AN23" s="22" t="s">
        <v>32</v>
      </c>
      <c r="AO23" s="22" t="s">
        <v>34</v>
      </c>
      <c r="AP23" s="24" t="s">
        <v>33</v>
      </c>
      <c r="AQ23" s="329"/>
      <c r="AR23" s="311"/>
      <c r="AS23" s="314"/>
      <c r="AT23" s="317"/>
      <c r="AU23" s="317"/>
      <c r="AV23" s="317"/>
      <c r="AW23" s="350"/>
      <c r="AX23" s="286"/>
      <c r="AY23" s="286"/>
      <c r="AZ23" s="289"/>
      <c r="BA23" s="291"/>
    </row>
    <row r="24" spans="1:53" ht="16" thickBot="1" x14ac:dyDescent="0.25">
      <c r="A24" s="25">
        <v>0</v>
      </c>
      <c r="B24" s="26" t="s">
        <v>110</v>
      </c>
      <c r="C24" s="98">
        <v>44920</v>
      </c>
      <c r="D24" s="25"/>
      <c r="E24" s="28"/>
      <c r="F24" s="27"/>
      <c r="G24" s="28"/>
      <c r="H24" s="27"/>
      <c r="I24" s="28"/>
      <c r="J24" s="27">
        <v>4</v>
      </c>
      <c r="K24" s="29" t="s">
        <v>35</v>
      </c>
      <c r="L24" s="30" t="s">
        <v>111</v>
      </c>
      <c r="M24" s="31"/>
      <c r="N24" s="27"/>
      <c r="P24" s="32"/>
      <c r="Q24" s="25"/>
      <c r="R24" s="27"/>
      <c r="S24" s="27"/>
      <c r="T24" s="28"/>
      <c r="U24" s="27"/>
      <c r="V24" s="27"/>
      <c r="W24" s="28"/>
      <c r="X24" s="33"/>
      <c r="Y24" s="32"/>
      <c r="Z24" s="25"/>
      <c r="AA24" s="27"/>
      <c r="AB24" s="28"/>
      <c r="AC24" s="27"/>
      <c r="AD24" s="27"/>
      <c r="AE24" s="33"/>
      <c r="AG24" s="25"/>
      <c r="AH24" s="34"/>
      <c r="AI24" s="27"/>
      <c r="AJ24" s="27"/>
      <c r="AK24" s="27"/>
      <c r="AL24" s="25"/>
      <c r="AM24" s="35"/>
      <c r="AN24" s="27"/>
      <c r="AO24" s="27"/>
      <c r="AP24" s="36"/>
      <c r="AQ24" s="37"/>
      <c r="AR24" s="32"/>
      <c r="AS24" s="25"/>
      <c r="AT24" s="27"/>
      <c r="AU24" s="27"/>
      <c r="AW24" s="25"/>
      <c r="AX24" s="27"/>
      <c r="AY24" s="27"/>
      <c r="AZ24" s="32"/>
      <c r="BA24" s="41"/>
    </row>
    <row r="25" spans="1:53" ht="16" thickBot="1" x14ac:dyDescent="0.25">
      <c r="A25" s="25">
        <v>1</v>
      </c>
      <c r="B25" s="26" t="s">
        <v>110</v>
      </c>
      <c r="C25" s="98">
        <v>44921</v>
      </c>
      <c r="D25" s="25"/>
      <c r="E25" s="28"/>
      <c r="F25" s="27"/>
      <c r="G25" s="28"/>
      <c r="H25" s="27"/>
      <c r="I25" s="28"/>
      <c r="J25" s="27">
        <v>4</v>
      </c>
      <c r="K25" s="29" t="s">
        <v>35</v>
      </c>
      <c r="L25" s="39"/>
      <c r="M25" s="31"/>
      <c r="N25" s="27"/>
      <c r="P25" s="32"/>
      <c r="Q25" s="40"/>
      <c r="R25" s="27"/>
      <c r="S25" s="27"/>
      <c r="T25" s="28"/>
      <c r="U25" s="27"/>
      <c r="V25" s="27"/>
      <c r="W25" s="28"/>
      <c r="X25" s="33"/>
      <c r="Y25" s="32"/>
      <c r="Z25" s="25"/>
      <c r="AA25" s="27"/>
      <c r="AB25" s="28"/>
      <c r="AC25" s="27"/>
      <c r="AD25" s="27"/>
      <c r="AE25" s="33"/>
      <c r="AG25" s="25"/>
      <c r="AH25" s="34"/>
      <c r="AI25" s="27"/>
      <c r="AJ25" s="27"/>
      <c r="AK25" s="27"/>
      <c r="AL25" s="25"/>
      <c r="AM25" s="34"/>
      <c r="AN25" s="27"/>
      <c r="AO25" s="27"/>
      <c r="AP25" s="36"/>
      <c r="AQ25" s="37"/>
      <c r="AR25" s="32"/>
      <c r="AS25" s="25"/>
      <c r="AT25" s="27"/>
      <c r="AU25" s="27"/>
      <c r="AW25" s="25"/>
      <c r="AX25" s="27"/>
      <c r="AY25" s="27"/>
      <c r="AZ25" s="32"/>
      <c r="BA25" s="41"/>
    </row>
    <row r="26" spans="1:53" ht="16" thickBot="1" x14ac:dyDescent="0.25">
      <c r="A26" s="25">
        <v>2</v>
      </c>
      <c r="B26" s="26" t="s">
        <v>112</v>
      </c>
      <c r="C26" s="98">
        <v>44922</v>
      </c>
      <c r="D26" s="25"/>
      <c r="E26" s="28"/>
      <c r="F26" s="27"/>
      <c r="G26" s="28"/>
      <c r="H26" s="27"/>
      <c r="I26" s="28"/>
      <c r="J26" s="27">
        <v>4</v>
      </c>
      <c r="K26" s="29" t="s">
        <v>35</v>
      </c>
      <c r="L26" s="39"/>
      <c r="M26" s="31"/>
      <c r="N26" s="27"/>
      <c r="O26" s="42"/>
      <c r="Q26" s="43" t="s">
        <v>37</v>
      </c>
      <c r="R26" s="27"/>
      <c r="S26" s="27"/>
      <c r="T26" s="28"/>
      <c r="U26" s="27"/>
      <c r="V26" s="27"/>
      <c r="W26" s="28"/>
      <c r="X26" s="33"/>
      <c r="Y26" s="32"/>
      <c r="Z26" s="25"/>
      <c r="AA26" s="27"/>
      <c r="AB26" s="28"/>
      <c r="AC26" s="27"/>
      <c r="AD26" s="27"/>
      <c r="AE26" s="33"/>
      <c r="AG26" s="25"/>
      <c r="AH26" s="34"/>
      <c r="AI26" s="27"/>
      <c r="AJ26" s="27"/>
      <c r="AK26" s="27"/>
      <c r="AL26" s="25"/>
      <c r="AM26" s="34"/>
      <c r="AN26" s="27"/>
      <c r="AO26" s="27"/>
      <c r="AP26" s="36"/>
      <c r="AQ26" s="37"/>
      <c r="AR26" s="32"/>
      <c r="AS26" s="25"/>
      <c r="AT26" s="27"/>
      <c r="AU26" s="27"/>
      <c r="AW26" s="25"/>
      <c r="AX26" s="27"/>
      <c r="AY26" s="27"/>
      <c r="AZ26" s="32"/>
      <c r="BA26" s="41"/>
    </row>
    <row r="27" spans="1:53" ht="16" thickBot="1" x14ac:dyDescent="0.25">
      <c r="A27" s="25">
        <v>3</v>
      </c>
      <c r="B27" s="26" t="s">
        <v>113</v>
      </c>
      <c r="C27" s="98">
        <v>44923</v>
      </c>
      <c r="D27" s="25"/>
      <c r="E27" s="28"/>
      <c r="F27" s="27"/>
      <c r="G27" s="28"/>
      <c r="H27" s="27"/>
      <c r="I27" s="28"/>
      <c r="J27" s="27">
        <v>6</v>
      </c>
      <c r="K27" s="29" t="s">
        <v>35</v>
      </c>
      <c r="L27" s="99" t="s">
        <v>114</v>
      </c>
      <c r="M27" s="31"/>
      <c r="N27" s="27" t="s">
        <v>40</v>
      </c>
      <c r="O27" s="45" t="s">
        <v>41</v>
      </c>
      <c r="P27" s="46" t="s">
        <v>115</v>
      </c>
      <c r="Q27" s="25"/>
      <c r="R27" s="27"/>
      <c r="S27" s="27"/>
      <c r="T27" s="28"/>
      <c r="U27" s="27">
        <v>5</v>
      </c>
      <c r="V27" s="27"/>
      <c r="W27" s="28">
        <v>5</v>
      </c>
      <c r="X27" s="47" t="s">
        <v>43</v>
      </c>
      <c r="Y27" s="32"/>
      <c r="Z27" s="25"/>
      <c r="AA27" s="27"/>
      <c r="AB27" s="28"/>
      <c r="AC27" s="27"/>
      <c r="AD27" s="27"/>
      <c r="AE27" s="33"/>
      <c r="AG27" s="25"/>
      <c r="AH27" s="34"/>
      <c r="AI27" s="27"/>
      <c r="AJ27" s="27"/>
      <c r="AK27" s="27"/>
      <c r="AL27" s="25"/>
      <c r="AM27" s="34"/>
      <c r="AN27" s="27"/>
      <c r="AO27" s="27"/>
      <c r="AP27" s="36"/>
      <c r="AQ27" s="37"/>
      <c r="AR27" s="32"/>
      <c r="AS27" s="25"/>
      <c r="AT27" s="27"/>
      <c r="AU27" s="27"/>
      <c r="AW27" s="25"/>
      <c r="AX27" s="27"/>
      <c r="AY27" s="27"/>
      <c r="AZ27" s="32"/>
      <c r="BA27" s="41"/>
    </row>
    <row r="28" spans="1:53" x14ac:dyDescent="0.2">
      <c r="A28" s="25">
        <v>4</v>
      </c>
      <c r="B28" s="26" t="s">
        <v>113</v>
      </c>
      <c r="C28" s="98">
        <v>44924</v>
      </c>
      <c r="D28" s="25"/>
      <c r="E28" s="28"/>
      <c r="F28" s="27"/>
      <c r="G28" s="28"/>
      <c r="H28" s="27"/>
      <c r="I28" s="28"/>
      <c r="J28" s="27">
        <v>6</v>
      </c>
      <c r="K28" s="29" t="s">
        <v>35</v>
      </c>
      <c r="L28" s="39"/>
      <c r="M28" s="31"/>
      <c r="N28" s="27" t="s">
        <v>40</v>
      </c>
      <c r="P28" s="32"/>
      <c r="Q28" s="25"/>
      <c r="R28" s="27"/>
      <c r="S28" s="27"/>
      <c r="T28" s="28"/>
      <c r="U28" s="27">
        <v>5</v>
      </c>
      <c r="V28" s="27"/>
      <c r="W28" s="28">
        <v>5</v>
      </c>
      <c r="X28" s="345" t="s">
        <v>47</v>
      </c>
      <c r="Y28" s="32"/>
      <c r="Z28" s="25"/>
      <c r="AA28" s="27"/>
      <c r="AB28" s="28"/>
      <c r="AC28" s="27"/>
      <c r="AD28" s="27"/>
      <c r="AE28" s="33"/>
      <c r="AG28" s="25"/>
      <c r="AH28" s="34"/>
      <c r="AI28" s="27"/>
      <c r="AJ28" s="27"/>
      <c r="AK28" s="27"/>
      <c r="AL28" s="25"/>
      <c r="AM28" s="34"/>
      <c r="AN28" s="27"/>
      <c r="AO28" s="27"/>
      <c r="AP28" s="36"/>
      <c r="AQ28" s="37"/>
      <c r="AR28" s="32"/>
      <c r="AS28" s="25"/>
      <c r="AT28" s="27"/>
      <c r="AU28" s="27"/>
      <c r="AW28" s="25"/>
      <c r="AX28" s="27"/>
      <c r="AY28" s="27"/>
      <c r="AZ28" s="32"/>
      <c r="BA28" s="41"/>
    </row>
    <row r="29" spans="1:53" x14ac:dyDescent="0.2">
      <c r="A29" s="25">
        <v>5</v>
      </c>
      <c r="B29" s="26" t="s">
        <v>116</v>
      </c>
      <c r="C29" s="98">
        <v>44925</v>
      </c>
      <c r="D29" s="25"/>
      <c r="E29" s="28"/>
      <c r="F29" s="27"/>
      <c r="G29" s="28"/>
      <c r="H29" s="27"/>
      <c r="I29" s="28"/>
      <c r="J29" s="27">
        <v>6</v>
      </c>
      <c r="K29" s="29" t="s">
        <v>35</v>
      </c>
      <c r="L29" s="39"/>
      <c r="M29" s="31"/>
      <c r="N29" s="27" t="s">
        <v>40</v>
      </c>
      <c r="P29" s="32"/>
      <c r="Q29" s="25"/>
      <c r="R29" s="27"/>
      <c r="S29" s="27"/>
      <c r="T29" s="28"/>
      <c r="U29" s="27">
        <v>5</v>
      </c>
      <c r="V29" s="27"/>
      <c r="W29" s="28">
        <v>5</v>
      </c>
      <c r="X29" s="346"/>
      <c r="Y29" s="32"/>
      <c r="Z29" s="25"/>
      <c r="AA29" s="27"/>
      <c r="AB29" s="28"/>
      <c r="AC29" s="27"/>
      <c r="AD29" s="27"/>
      <c r="AE29" s="33"/>
      <c r="AG29" s="25"/>
      <c r="AH29" s="34"/>
      <c r="AI29" s="27"/>
      <c r="AJ29" s="27"/>
      <c r="AK29" s="27"/>
      <c r="AL29" s="25"/>
      <c r="AM29" s="34"/>
      <c r="AN29" s="27"/>
      <c r="AO29" s="27"/>
      <c r="AP29" s="36"/>
      <c r="AQ29" s="37"/>
      <c r="AR29" s="32"/>
      <c r="AS29" s="25"/>
      <c r="AT29" s="27"/>
      <c r="AU29" s="27"/>
      <c r="AW29" s="25"/>
      <c r="AX29" s="27"/>
      <c r="AY29" s="27"/>
      <c r="AZ29" s="32"/>
      <c r="BA29" s="41"/>
    </row>
    <row r="30" spans="1:53" x14ac:dyDescent="0.2">
      <c r="A30" s="25">
        <v>6</v>
      </c>
      <c r="B30" s="26" t="s">
        <v>110</v>
      </c>
      <c r="C30" s="98">
        <v>44926</v>
      </c>
      <c r="D30" s="25"/>
      <c r="E30" s="28"/>
      <c r="F30" s="27"/>
      <c r="G30" s="28"/>
      <c r="H30" s="27"/>
      <c r="I30" s="28"/>
      <c r="J30" s="27">
        <v>6</v>
      </c>
      <c r="K30" s="29" t="s">
        <v>35</v>
      </c>
      <c r="L30" s="39"/>
      <c r="M30" s="31"/>
      <c r="N30" s="27" t="s">
        <v>40</v>
      </c>
      <c r="P30" s="32"/>
      <c r="Q30" s="25"/>
      <c r="R30" s="27"/>
      <c r="S30" s="27"/>
      <c r="T30" s="28"/>
      <c r="U30" s="27">
        <v>5</v>
      </c>
      <c r="V30" s="27"/>
      <c r="W30" s="28">
        <v>5</v>
      </c>
      <c r="X30" s="346"/>
      <c r="Y30" s="32"/>
      <c r="Z30" s="25"/>
      <c r="AA30" s="27"/>
      <c r="AB30" s="28"/>
      <c r="AC30" s="27"/>
      <c r="AD30" s="27"/>
      <c r="AE30" s="33"/>
      <c r="AG30" s="25"/>
      <c r="AH30" s="34"/>
      <c r="AI30" s="27"/>
      <c r="AJ30" s="27"/>
      <c r="AK30" s="27"/>
      <c r="AL30" s="25"/>
      <c r="AM30" s="34"/>
      <c r="AN30" s="27"/>
      <c r="AO30" s="27"/>
      <c r="AP30" s="36"/>
      <c r="AQ30" s="37"/>
      <c r="AR30" s="32"/>
      <c r="AS30" s="25"/>
      <c r="AT30" s="27"/>
      <c r="AU30" s="27"/>
      <c r="AW30" s="25"/>
      <c r="AX30" s="27"/>
      <c r="AY30" s="27"/>
      <c r="AZ30" s="32"/>
      <c r="BA30" s="41"/>
    </row>
    <row r="31" spans="1:53" x14ac:dyDescent="0.2">
      <c r="A31" s="25">
        <v>7</v>
      </c>
      <c r="B31" s="26"/>
      <c r="C31" s="98">
        <v>44927</v>
      </c>
      <c r="D31" s="25"/>
      <c r="E31" s="28"/>
      <c r="F31" s="27"/>
      <c r="G31" s="28"/>
      <c r="H31" s="27"/>
      <c r="I31" s="28"/>
      <c r="J31" s="27">
        <v>6</v>
      </c>
      <c r="K31" s="29" t="s">
        <v>35</v>
      </c>
      <c r="L31" s="39"/>
      <c r="M31" s="31"/>
      <c r="N31" s="27" t="s">
        <v>40</v>
      </c>
      <c r="P31" s="32"/>
      <c r="Q31" s="25"/>
      <c r="R31" s="27"/>
      <c r="S31" s="27"/>
      <c r="T31" s="28"/>
      <c r="U31" s="27"/>
      <c r="V31" s="27"/>
      <c r="W31" s="28"/>
      <c r="X31" s="346"/>
      <c r="Y31" s="32"/>
      <c r="Z31" s="25"/>
      <c r="AA31" s="27"/>
      <c r="AB31" s="28"/>
      <c r="AC31" s="27"/>
      <c r="AD31" s="27"/>
      <c r="AE31" s="33"/>
      <c r="AG31" s="25"/>
      <c r="AH31" s="34"/>
      <c r="AI31" s="27"/>
      <c r="AJ31" s="27"/>
      <c r="AK31" s="27"/>
      <c r="AL31" s="25"/>
      <c r="AM31" s="34"/>
      <c r="AN31" s="27"/>
      <c r="AO31" s="27"/>
      <c r="AP31" s="36"/>
      <c r="AQ31" s="37"/>
      <c r="AR31" s="32"/>
      <c r="AS31" s="25"/>
      <c r="AT31" s="27"/>
      <c r="AU31" s="27"/>
      <c r="AW31" s="25"/>
      <c r="AX31" s="27"/>
      <c r="AY31" s="27"/>
      <c r="AZ31" s="32"/>
      <c r="BA31" s="41"/>
    </row>
    <row r="32" spans="1:53" x14ac:dyDescent="0.2">
      <c r="A32" s="25">
        <v>8</v>
      </c>
      <c r="B32" s="26" t="s">
        <v>117</v>
      </c>
      <c r="C32" s="98">
        <v>44928</v>
      </c>
      <c r="D32" s="25"/>
      <c r="E32" s="28"/>
      <c r="F32" s="27"/>
      <c r="G32" s="28"/>
      <c r="H32" s="27"/>
      <c r="I32" s="28"/>
      <c r="J32" s="27">
        <v>6</v>
      </c>
      <c r="K32" s="29" t="s">
        <v>35</v>
      </c>
      <c r="L32" s="39"/>
      <c r="M32" s="31"/>
      <c r="N32" s="27" t="s">
        <v>40</v>
      </c>
      <c r="P32" s="32"/>
      <c r="Q32" s="25"/>
      <c r="R32" s="27"/>
      <c r="S32" s="27"/>
      <c r="T32" s="28"/>
      <c r="U32" s="27">
        <v>5</v>
      </c>
      <c r="V32" s="27"/>
      <c r="W32" s="28">
        <v>5</v>
      </c>
      <c r="X32" s="346"/>
      <c r="Y32" s="32"/>
      <c r="Z32" s="25"/>
      <c r="AA32" s="27"/>
      <c r="AB32" s="28"/>
      <c r="AC32" s="27"/>
      <c r="AD32" s="27"/>
      <c r="AE32" s="33"/>
      <c r="AG32" s="25"/>
      <c r="AH32" s="34"/>
      <c r="AI32" s="27"/>
      <c r="AJ32" s="27"/>
      <c r="AK32" s="27"/>
      <c r="AL32" s="25"/>
      <c r="AM32" s="34"/>
      <c r="AN32" s="27"/>
      <c r="AO32" s="27"/>
      <c r="AP32" s="36"/>
      <c r="AQ32" s="37"/>
      <c r="AR32" s="32"/>
      <c r="AS32" s="25"/>
      <c r="AT32" s="27"/>
      <c r="AU32" s="27"/>
      <c r="AW32" s="25"/>
      <c r="AX32" s="27"/>
      <c r="AY32" s="27"/>
      <c r="AZ32" s="32"/>
      <c r="BA32" s="41"/>
    </row>
    <row r="33" spans="1:71" ht="16" thickBot="1" x14ac:dyDescent="0.25">
      <c r="A33" s="25">
        <v>9</v>
      </c>
      <c r="B33" s="26" t="s">
        <v>117</v>
      </c>
      <c r="C33" s="98">
        <v>44929</v>
      </c>
      <c r="D33" s="25"/>
      <c r="E33" s="28"/>
      <c r="F33" s="27"/>
      <c r="G33" s="28"/>
      <c r="H33" s="27"/>
      <c r="I33" s="28"/>
      <c r="J33" s="27">
        <v>6</v>
      </c>
      <c r="K33" s="29" t="s">
        <v>35</v>
      </c>
      <c r="L33" s="39"/>
      <c r="M33" s="31"/>
      <c r="N33" s="27" t="s">
        <v>40</v>
      </c>
      <c r="P33" s="32"/>
      <c r="Q33" s="25"/>
      <c r="R33" s="27"/>
      <c r="S33" s="27"/>
      <c r="T33" s="28"/>
      <c r="U33" s="27">
        <v>5</v>
      </c>
      <c r="V33" s="27"/>
      <c r="W33" s="28">
        <v>5</v>
      </c>
      <c r="X33" s="346"/>
      <c r="Y33" s="32"/>
      <c r="Z33" s="25"/>
      <c r="AA33" s="27"/>
      <c r="AB33" s="28"/>
      <c r="AC33" s="27"/>
      <c r="AD33" s="27"/>
      <c r="AE33" s="33"/>
      <c r="AG33" s="25"/>
      <c r="AH33" s="34"/>
      <c r="AI33" s="27"/>
      <c r="AJ33" s="27"/>
      <c r="AK33" s="27"/>
      <c r="AL33" s="25"/>
      <c r="AM33" s="34"/>
      <c r="AN33" s="27"/>
      <c r="AO33" s="27"/>
      <c r="AP33" s="36"/>
      <c r="AQ33" s="37"/>
      <c r="AR33" s="32"/>
      <c r="AS33" s="25"/>
      <c r="AT33" s="27"/>
      <c r="AU33" s="27"/>
      <c r="AW33" s="25"/>
      <c r="AX33" s="27"/>
      <c r="AY33" s="27"/>
      <c r="AZ33" s="32"/>
      <c r="BA33" s="41"/>
    </row>
    <row r="34" spans="1:71" ht="16" thickBot="1" x14ac:dyDescent="0.25">
      <c r="A34" s="25">
        <v>10</v>
      </c>
      <c r="B34" s="26" t="s">
        <v>117</v>
      </c>
      <c r="C34" s="98">
        <v>44930</v>
      </c>
      <c r="D34" s="25"/>
      <c r="E34" s="28"/>
      <c r="F34" s="27"/>
      <c r="G34" s="28"/>
      <c r="H34" s="27"/>
      <c r="I34" s="28"/>
      <c r="J34" s="27">
        <v>6</v>
      </c>
      <c r="K34" s="29" t="s">
        <v>35</v>
      </c>
      <c r="L34" s="39"/>
      <c r="M34" s="31"/>
      <c r="N34" s="27" t="s">
        <v>40</v>
      </c>
      <c r="O34" s="49"/>
      <c r="P34" s="32"/>
      <c r="Q34" s="25"/>
      <c r="R34" s="27"/>
      <c r="S34" s="27"/>
      <c r="T34" s="28"/>
      <c r="U34" s="27">
        <v>5</v>
      </c>
      <c r="V34" s="27"/>
      <c r="W34" s="28">
        <v>5</v>
      </c>
      <c r="X34" s="346"/>
      <c r="Y34" s="32"/>
      <c r="Z34" s="25"/>
      <c r="AA34" s="27"/>
      <c r="AB34" s="28"/>
      <c r="AC34" s="27">
        <v>15</v>
      </c>
      <c r="AD34" s="27"/>
      <c r="AE34" s="50" t="s">
        <v>118</v>
      </c>
      <c r="AF34" s="51" t="s">
        <v>119</v>
      </c>
      <c r="AG34" s="25"/>
      <c r="AH34" s="34"/>
      <c r="AI34" s="27"/>
      <c r="AJ34" s="27"/>
      <c r="AK34" s="27"/>
      <c r="AL34" s="25"/>
      <c r="AM34" s="34"/>
      <c r="AN34" s="27"/>
      <c r="AO34" s="27"/>
      <c r="AP34" s="36"/>
      <c r="AQ34" s="37"/>
      <c r="AR34" s="32"/>
      <c r="AS34" s="25"/>
      <c r="AT34" s="27"/>
      <c r="AU34" s="27"/>
      <c r="AW34" s="25"/>
      <c r="AX34" s="27"/>
      <c r="AY34" s="27"/>
      <c r="AZ34" s="32"/>
      <c r="BA34" s="41"/>
    </row>
    <row r="35" spans="1:71" ht="16" thickBot="1" x14ac:dyDescent="0.25">
      <c r="A35" s="25">
        <v>11</v>
      </c>
      <c r="B35" s="26" t="s">
        <v>117</v>
      </c>
      <c r="C35" s="98">
        <v>44931</v>
      </c>
      <c r="D35" s="25"/>
      <c r="E35" s="28"/>
      <c r="F35" s="27"/>
      <c r="G35" s="28"/>
      <c r="H35" s="27"/>
      <c r="I35" s="28"/>
      <c r="J35" s="27">
        <v>6</v>
      </c>
      <c r="K35" s="29" t="s">
        <v>35</v>
      </c>
      <c r="L35" s="100" t="s">
        <v>120</v>
      </c>
      <c r="M35" s="31"/>
      <c r="N35" s="27" t="s">
        <v>40</v>
      </c>
      <c r="P35" s="32"/>
      <c r="Q35" s="25"/>
      <c r="R35" s="27"/>
      <c r="S35" s="27"/>
      <c r="T35" s="28"/>
      <c r="U35" s="27">
        <v>5</v>
      </c>
      <c r="V35" s="27"/>
      <c r="W35" s="28">
        <v>5</v>
      </c>
      <c r="X35" s="347"/>
      <c r="Y35" s="32"/>
      <c r="Z35" s="25"/>
      <c r="AA35" s="27"/>
      <c r="AB35" s="28"/>
      <c r="AC35" s="27">
        <v>15</v>
      </c>
      <c r="AD35" s="27"/>
      <c r="AE35" s="33"/>
      <c r="AF35" s="46" t="s">
        <v>121</v>
      </c>
      <c r="AG35" s="25"/>
      <c r="AH35" s="34"/>
      <c r="AI35" s="27"/>
      <c r="AJ35" s="27"/>
      <c r="AK35" s="27"/>
      <c r="AL35" s="25"/>
      <c r="AM35" s="34"/>
      <c r="AN35" s="27"/>
      <c r="AO35" s="27"/>
      <c r="AP35" s="36"/>
      <c r="AQ35" s="37"/>
      <c r="AR35" s="32"/>
      <c r="AS35" s="25"/>
      <c r="AT35" s="27"/>
      <c r="AU35" s="27"/>
      <c r="AW35" s="25"/>
      <c r="AX35" s="27"/>
      <c r="AY35" s="27"/>
      <c r="AZ35" s="32"/>
      <c r="BA35" s="41"/>
    </row>
    <row r="36" spans="1:71" ht="16" thickBot="1" x14ac:dyDescent="0.25">
      <c r="A36" s="25">
        <v>12</v>
      </c>
      <c r="B36" s="26" t="s">
        <v>122</v>
      </c>
      <c r="C36" s="98">
        <v>44932</v>
      </c>
      <c r="D36" s="25"/>
      <c r="E36" s="28"/>
      <c r="F36" s="27"/>
      <c r="G36" s="28"/>
      <c r="H36" s="27"/>
      <c r="I36" s="28"/>
      <c r="J36" s="27">
        <v>6</v>
      </c>
      <c r="K36" s="29" t="s">
        <v>35</v>
      </c>
      <c r="L36" s="53"/>
      <c r="M36" s="31"/>
      <c r="N36" s="27" t="s">
        <v>40</v>
      </c>
      <c r="P36" s="32"/>
      <c r="Q36" s="25"/>
      <c r="R36" s="27"/>
      <c r="S36" s="27"/>
      <c r="T36" s="28"/>
      <c r="U36" s="27">
        <v>5</v>
      </c>
      <c r="V36" s="27"/>
      <c r="W36" s="28">
        <v>5</v>
      </c>
      <c r="X36" s="54" t="s">
        <v>49</v>
      </c>
      <c r="Y36" s="32"/>
      <c r="Z36" s="25"/>
      <c r="AA36" s="27"/>
      <c r="AB36" s="28"/>
      <c r="AC36" s="27">
        <v>15</v>
      </c>
      <c r="AD36" s="27"/>
      <c r="AE36" s="33"/>
      <c r="AG36" s="25"/>
      <c r="AH36" s="34"/>
      <c r="AI36" s="27"/>
      <c r="AJ36" s="27"/>
      <c r="AK36" s="27"/>
      <c r="AL36" s="25"/>
      <c r="AM36" s="34"/>
      <c r="AN36" s="27"/>
      <c r="AO36" s="27"/>
      <c r="AP36" s="36"/>
      <c r="AQ36" s="37"/>
      <c r="AR36" s="32"/>
      <c r="AS36" s="25"/>
      <c r="AT36" s="27"/>
      <c r="AU36" s="27"/>
      <c r="AW36" s="25"/>
      <c r="AX36" s="27"/>
      <c r="AY36" s="27"/>
      <c r="AZ36" s="32"/>
      <c r="BA36" s="41"/>
    </row>
    <row r="37" spans="1:71" ht="16" thickBot="1" x14ac:dyDescent="0.25">
      <c r="A37" s="25">
        <v>13</v>
      </c>
      <c r="B37" s="26"/>
      <c r="C37" s="98">
        <v>44933</v>
      </c>
      <c r="D37" s="25"/>
      <c r="E37" s="28"/>
      <c r="F37" s="27"/>
      <c r="G37" s="28"/>
      <c r="H37" s="27"/>
      <c r="I37" s="28"/>
      <c r="J37" s="27">
        <v>6</v>
      </c>
      <c r="K37" s="29" t="s">
        <v>35</v>
      </c>
      <c r="L37" s="39"/>
      <c r="M37" s="31"/>
      <c r="N37" s="27" t="s">
        <v>40</v>
      </c>
      <c r="P37" s="32"/>
      <c r="Q37" s="25"/>
      <c r="R37" s="27"/>
      <c r="S37" s="27"/>
      <c r="T37" s="28"/>
      <c r="U37" s="27"/>
      <c r="V37" s="27"/>
      <c r="W37" s="28"/>
      <c r="X37" s="33"/>
      <c r="Y37" s="32"/>
      <c r="Z37" s="55"/>
      <c r="AA37" s="56"/>
      <c r="AB37" s="57"/>
      <c r="AC37" s="27">
        <v>15</v>
      </c>
      <c r="AD37" s="27"/>
      <c r="AE37" s="33"/>
      <c r="AG37" s="25"/>
      <c r="AH37" s="34"/>
      <c r="AI37" s="27"/>
      <c r="AJ37" s="27"/>
      <c r="AK37" s="27"/>
      <c r="AL37" s="25"/>
      <c r="AM37" s="34"/>
      <c r="AN37" s="27"/>
      <c r="AO37" s="27"/>
      <c r="AP37" s="36"/>
      <c r="AQ37" s="37"/>
      <c r="AR37" s="32"/>
      <c r="AS37" s="25" t="s">
        <v>51</v>
      </c>
      <c r="AT37" s="27" t="s">
        <v>52</v>
      </c>
      <c r="AU37" s="58" t="s">
        <v>53</v>
      </c>
      <c r="AW37" s="25"/>
      <c r="AX37" s="27"/>
      <c r="AY37" s="27"/>
      <c r="AZ37" s="32"/>
      <c r="BA37" s="41"/>
      <c r="BS37" t="s">
        <v>123</v>
      </c>
    </row>
    <row r="38" spans="1:71" ht="16" thickBot="1" x14ac:dyDescent="0.25">
      <c r="A38" s="25">
        <v>14</v>
      </c>
      <c r="B38" s="26" t="s">
        <v>117</v>
      </c>
      <c r="C38" s="98">
        <v>44934</v>
      </c>
      <c r="D38" s="25"/>
      <c r="E38" s="28"/>
      <c r="F38" s="27"/>
      <c r="G38" s="28"/>
      <c r="H38" s="27"/>
      <c r="I38" s="28"/>
      <c r="J38" s="27">
        <v>6</v>
      </c>
      <c r="K38" s="29" t="s">
        <v>35</v>
      </c>
      <c r="L38" s="39"/>
      <c r="M38" s="31"/>
      <c r="N38" s="27" t="s">
        <v>40</v>
      </c>
      <c r="P38" s="32"/>
      <c r="Q38" s="25"/>
      <c r="R38" s="27"/>
      <c r="S38" s="27"/>
      <c r="T38" s="28"/>
      <c r="U38" s="27">
        <v>1</v>
      </c>
      <c r="V38" s="27"/>
      <c r="W38" s="27">
        <v>1</v>
      </c>
      <c r="X38" s="33"/>
      <c r="Y38" s="32"/>
      <c r="Z38" s="59"/>
      <c r="AA38" s="60"/>
      <c r="AB38" s="61"/>
      <c r="AC38" s="27">
        <v>15</v>
      </c>
      <c r="AD38" s="27"/>
      <c r="AE38" s="33"/>
      <c r="AG38" s="25"/>
      <c r="AH38" s="34"/>
      <c r="AI38" s="27"/>
      <c r="AJ38" s="27"/>
      <c r="AK38" s="27"/>
      <c r="AL38" s="25"/>
      <c r="AM38" s="34"/>
      <c r="AN38" s="27"/>
      <c r="AO38" s="27"/>
      <c r="AP38" s="36"/>
      <c r="AQ38" s="37"/>
      <c r="AR38" s="32"/>
      <c r="AS38" s="25" t="s">
        <v>51</v>
      </c>
      <c r="AT38" s="27" t="s">
        <v>52</v>
      </c>
      <c r="AW38" s="25"/>
      <c r="AX38" s="27"/>
      <c r="AY38" s="27"/>
      <c r="AZ38" s="32"/>
      <c r="BS38">
        <f>[1]Sheet1!B2</f>
        <v>16.100000000000001</v>
      </c>
    </row>
    <row r="39" spans="1:71" ht="16" thickBot="1" x14ac:dyDescent="0.25">
      <c r="A39" s="25">
        <v>15</v>
      </c>
      <c r="B39" s="26" t="s">
        <v>117</v>
      </c>
      <c r="C39" s="98">
        <v>44935</v>
      </c>
      <c r="D39" s="25"/>
      <c r="E39" s="28"/>
      <c r="F39" s="27"/>
      <c r="G39" s="28"/>
      <c r="H39" s="27"/>
      <c r="I39" s="28"/>
      <c r="J39" s="27">
        <v>6</v>
      </c>
      <c r="K39" s="29" t="s">
        <v>35</v>
      </c>
      <c r="L39" s="39"/>
      <c r="M39" s="31"/>
      <c r="N39" s="27" t="s">
        <v>40</v>
      </c>
      <c r="P39" s="32"/>
      <c r="Q39" s="25"/>
      <c r="R39" s="27"/>
      <c r="S39" s="27"/>
      <c r="T39" s="28"/>
      <c r="U39" s="27">
        <v>1</v>
      </c>
      <c r="V39" s="27"/>
      <c r="W39" s="28">
        <v>1</v>
      </c>
      <c r="X39" s="33"/>
      <c r="Y39" s="32"/>
      <c r="Z39" s="25"/>
      <c r="AA39" s="27"/>
      <c r="AB39" s="28"/>
      <c r="AC39" s="27">
        <v>15</v>
      </c>
      <c r="AD39" s="27"/>
      <c r="AE39" s="33"/>
      <c r="AG39" s="25"/>
      <c r="AH39" s="34"/>
      <c r="AI39" s="27"/>
      <c r="AJ39" s="27"/>
      <c r="AK39" s="27"/>
      <c r="AL39" s="25"/>
      <c r="AM39" s="34"/>
      <c r="AN39" s="27"/>
      <c r="AO39" s="27"/>
      <c r="AP39" s="36"/>
      <c r="AQ39" s="37"/>
      <c r="AR39" s="46" t="s">
        <v>124</v>
      </c>
      <c r="AS39" s="25" t="s">
        <v>57</v>
      </c>
      <c r="AT39" s="27" t="s">
        <v>52</v>
      </c>
      <c r="AU39" s="58" t="s">
        <v>58</v>
      </c>
      <c r="AW39" s="25"/>
      <c r="AX39" s="27"/>
      <c r="AY39" s="27"/>
      <c r="AZ39" s="32"/>
      <c r="BA39" s="80" t="s">
        <v>68</v>
      </c>
      <c r="BS39">
        <f>[1]Sheet1!B3</f>
        <v>17.09375</v>
      </c>
    </row>
    <row r="40" spans="1:71" ht="16" thickBot="1" x14ac:dyDescent="0.25">
      <c r="A40" s="25">
        <v>16</v>
      </c>
      <c r="B40" s="26" t="s">
        <v>117</v>
      </c>
      <c r="C40" s="98">
        <v>44936</v>
      </c>
      <c r="D40" s="25"/>
      <c r="E40" s="28"/>
      <c r="F40" s="27"/>
      <c r="G40" s="28"/>
      <c r="H40" s="27"/>
      <c r="I40" s="28"/>
      <c r="J40" s="27">
        <v>6</v>
      </c>
      <c r="K40" s="29" t="s">
        <v>35</v>
      </c>
      <c r="L40" s="39"/>
      <c r="M40" s="31"/>
      <c r="N40" s="27" t="s">
        <v>40</v>
      </c>
      <c r="P40" s="32"/>
      <c r="Q40" s="25"/>
      <c r="R40" s="27"/>
      <c r="S40" s="27"/>
      <c r="T40" s="28"/>
      <c r="U40" s="27">
        <v>1</v>
      </c>
      <c r="V40" s="27"/>
      <c r="W40" s="28">
        <v>1</v>
      </c>
      <c r="X40" s="63" t="s">
        <v>60</v>
      </c>
      <c r="Y40" s="46" t="s">
        <v>61</v>
      </c>
      <c r="AB40" s="28"/>
      <c r="AC40" s="27">
        <v>15</v>
      </c>
      <c r="AD40" s="27"/>
      <c r="AE40" s="33"/>
      <c r="AG40" s="25"/>
      <c r="AH40" s="34"/>
      <c r="AI40" s="27"/>
      <c r="AJ40" s="27"/>
      <c r="AK40" s="27"/>
      <c r="AL40" s="25"/>
      <c r="AM40" s="34"/>
      <c r="AN40" s="27"/>
      <c r="AO40" s="27"/>
      <c r="AP40" s="36"/>
      <c r="AQ40" s="64"/>
      <c r="AR40" s="65"/>
      <c r="AS40" s="25" t="s">
        <v>57</v>
      </c>
      <c r="AT40" s="27" t="s">
        <v>52</v>
      </c>
      <c r="AU40" s="27"/>
      <c r="AW40" s="25"/>
      <c r="AX40" s="27"/>
      <c r="AY40" s="27"/>
      <c r="AZ40" s="32"/>
      <c r="BA40" s="41">
        <v>14</v>
      </c>
      <c r="BS40">
        <f>[1]Sheet1!B4</f>
        <v>38.861111111111114</v>
      </c>
    </row>
    <row r="41" spans="1:71" x14ac:dyDescent="0.2">
      <c r="A41" s="25">
        <v>17</v>
      </c>
      <c r="B41" s="26" t="s">
        <v>117</v>
      </c>
      <c r="C41" s="98">
        <v>44937</v>
      </c>
      <c r="D41" s="25"/>
      <c r="E41" s="28"/>
      <c r="F41" s="27"/>
      <c r="G41" s="28"/>
      <c r="H41" s="27"/>
      <c r="I41" s="28"/>
      <c r="J41" s="27">
        <v>6</v>
      </c>
      <c r="K41" s="29" t="s">
        <v>35</v>
      </c>
      <c r="L41" s="39"/>
      <c r="M41" s="31"/>
      <c r="N41" s="27" t="s">
        <v>40</v>
      </c>
      <c r="P41" s="32"/>
      <c r="Q41" s="25"/>
      <c r="R41" s="27"/>
      <c r="S41" s="27"/>
      <c r="T41" s="28"/>
      <c r="U41" s="27">
        <v>1</v>
      </c>
      <c r="V41" s="27"/>
      <c r="W41" s="28">
        <v>1</v>
      </c>
      <c r="X41" s="33"/>
      <c r="Y41" s="32"/>
      <c r="Z41" s="25"/>
      <c r="AA41" s="27"/>
      <c r="AB41" s="28"/>
      <c r="AC41" s="27">
        <v>15</v>
      </c>
      <c r="AD41" s="27"/>
      <c r="AE41" s="33"/>
      <c r="AG41" s="25"/>
      <c r="AH41" s="34"/>
      <c r="AI41" s="27"/>
      <c r="AJ41" s="27"/>
      <c r="AK41" s="27"/>
      <c r="AL41" s="25"/>
      <c r="AM41" s="34"/>
      <c r="AN41" s="27"/>
      <c r="AO41" s="27"/>
      <c r="AP41" s="36"/>
      <c r="AQ41" s="37"/>
      <c r="AR41" s="32"/>
      <c r="AS41" s="25" t="s">
        <v>57</v>
      </c>
      <c r="AT41" s="27" t="s">
        <v>52</v>
      </c>
      <c r="AU41" s="27"/>
      <c r="AW41" s="25"/>
      <c r="AX41" s="27"/>
      <c r="AY41" s="27"/>
      <c r="AZ41" s="32"/>
      <c r="BA41" s="41">
        <v>36</v>
      </c>
      <c r="BS41">
        <f>[1]Sheet1!B5</f>
        <v>19.86046511627907</v>
      </c>
    </row>
    <row r="42" spans="1:71" ht="16" thickBot="1" x14ac:dyDescent="0.25">
      <c r="A42" s="25">
        <v>18</v>
      </c>
      <c r="B42" s="26" t="s">
        <v>117</v>
      </c>
      <c r="C42" s="98">
        <v>44938</v>
      </c>
      <c r="D42" s="25"/>
      <c r="E42" s="28"/>
      <c r="F42" s="27"/>
      <c r="G42" s="28"/>
      <c r="H42" s="27"/>
      <c r="I42" s="28"/>
      <c r="J42" s="27">
        <v>6</v>
      </c>
      <c r="K42" s="29" t="s">
        <v>35</v>
      </c>
      <c r="L42" s="101" t="s">
        <v>125</v>
      </c>
      <c r="M42" s="31" t="s">
        <v>126</v>
      </c>
      <c r="N42" s="27" t="s">
        <v>40</v>
      </c>
      <c r="P42" s="66"/>
      <c r="Q42" s="25"/>
      <c r="R42" s="27"/>
      <c r="S42" s="27"/>
      <c r="T42" s="28"/>
      <c r="U42" s="27"/>
      <c r="V42" s="27"/>
      <c r="W42" s="28"/>
      <c r="X42" s="33"/>
      <c r="Y42" s="32"/>
      <c r="Z42" s="25"/>
      <c r="AA42" s="27"/>
      <c r="AB42" s="28"/>
      <c r="AC42" s="27">
        <v>15</v>
      </c>
      <c r="AD42" s="27"/>
      <c r="AE42" s="33"/>
      <c r="AG42" s="25"/>
      <c r="AH42" s="34"/>
      <c r="AI42" s="27">
        <v>2.5000000000000001E-2</v>
      </c>
      <c r="AJ42" s="27"/>
      <c r="AK42" s="36">
        <v>2.5000000000000001E-2</v>
      </c>
      <c r="AL42" s="25"/>
      <c r="AM42" s="34"/>
      <c r="AQ42" s="67" t="s">
        <v>127</v>
      </c>
      <c r="AR42" s="46" t="s">
        <v>128</v>
      </c>
      <c r="AS42" s="25" t="s">
        <v>57</v>
      </c>
      <c r="AT42" s="27" t="s">
        <v>52</v>
      </c>
      <c r="AW42" s="25"/>
      <c r="AX42" s="27"/>
      <c r="AY42" s="27"/>
      <c r="AZ42" s="32"/>
      <c r="BA42" s="41">
        <v>72</v>
      </c>
      <c r="BS42">
        <f>[1]Sheet1!B6</f>
        <v>30.34090909090909</v>
      </c>
    </row>
    <row r="43" spans="1:71" ht="16" thickBot="1" x14ac:dyDescent="0.25">
      <c r="A43" s="25">
        <v>19</v>
      </c>
      <c r="B43" s="26"/>
      <c r="C43" s="98">
        <v>44939</v>
      </c>
      <c r="D43" s="25"/>
      <c r="E43" s="28"/>
      <c r="F43" s="27"/>
      <c r="G43" s="28"/>
      <c r="H43" s="27"/>
      <c r="I43" s="28"/>
      <c r="J43" s="27">
        <v>6</v>
      </c>
      <c r="K43" s="29" t="s">
        <v>35</v>
      </c>
      <c r="M43" s="31"/>
      <c r="N43" s="27" t="s">
        <v>40</v>
      </c>
      <c r="P43" s="32"/>
      <c r="Q43" s="25"/>
      <c r="R43" s="27"/>
      <c r="S43" s="27"/>
      <c r="T43" s="28"/>
      <c r="U43" s="27"/>
      <c r="V43" s="27"/>
      <c r="W43" s="28"/>
      <c r="X43" s="33"/>
      <c r="Y43" s="32"/>
      <c r="Z43" s="25"/>
      <c r="AA43" s="27"/>
      <c r="AB43" s="28"/>
      <c r="AC43" s="27">
        <v>15</v>
      </c>
      <c r="AD43" s="27"/>
      <c r="AE43" s="33"/>
      <c r="AG43" s="25"/>
      <c r="AH43" s="34"/>
      <c r="AI43" s="27"/>
      <c r="AJ43" s="27"/>
      <c r="AK43" s="36"/>
      <c r="AL43" s="25"/>
      <c r="AM43" s="34"/>
      <c r="AQ43" s="68" t="s">
        <v>129</v>
      </c>
      <c r="AR43" s="32"/>
      <c r="AS43" s="25" t="s">
        <v>57</v>
      </c>
      <c r="AT43" s="27" t="s">
        <v>52</v>
      </c>
      <c r="AU43" s="27"/>
      <c r="AW43" s="25"/>
      <c r="AX43" s="27"/>
      <c r="AY43" s="27"/>
      <c r="AZ43" s="32"/>
      <c r="BS43">
        <f>[1]Sheet1!B7</f>
        <v>20.367346938775512</v>
      </c>
    </row>
    <row r="44" spans="1:71" x14ac:dyDescent="0.2">
      <c r="A44" s="25">
        <v>20</v>
      </c>
      <c r="B44" s="26"/>
      <c r="C44" s="98">
        <v>44940</v>
      </c>
      <c r="D44" s="25"/>
      <c r="E44" s="28"/>
      <c r="F44" s="27"/>
      <c r="G44" s="28"/>
      <c r="H44" s="27"/>
      <c r="I44" s="28"/>
      <c r="J44" s="27">
        <v>6</v>
      </c>
      <c r="K44" s="29" t="s">
        <v>35</v>
      </c>
      <c r="M44" s="69" t="s">
        <v>130</v>
      </c>
      <c r="N44" s="27" t="s">
        <v>40</v>
      </c>
      <c r="O44" s="306" t="s">
        <v>66</v>
      </c>
      <c r="P44" s="32"/>
      <c r="Q44" s="25"/>
      <c r="R44" s="27"/>
      <c r="S44" s="27"/>
      <c r="T44" s="28"/>
      <c r="U44" s="27"/>
      <c r="V44" s="27"/>
      <c r="W44" s="28"/>
      <c r="X44" s="33"/>
      <c r="Y44" s="32"/>
      <c r="Z44" s="25"/>
      <c r="AA44" s="27"/>
      <c r="AB44" s="28"/>
      <c r="AC44" s="27">
        <v>15</v>
      </c>
      <c r="AD44" s="27"/>
      <c r="AE44" s="33"/>
      <c r="AG44" s="25"/>
      <c r="AH44" s="34"/>
      <c r="AI44" s="27"/>
      <c r="AJ44" s="27"/>
      <c r="AK44" s="36"/>
      <c r="AL44" s="25"/>
      <c r="AM44" s="34"/>
      <c r="AQ44" s="37"/>
      <c r="AR44" s="32"/>
      <c r="AS44" s="25" t="s">
        <v>57</v>
      </c>
      <c r="AT44" s="27" t="s">
        <v>52</v>
      </c>
      <c r="AU44" s="27"/>
      <c r="AW44" s="25"/>
      <c r="AX44" s="27"/>
      <c r="AY44" s="27"/>
      <c r="AZ44" s="32"/>
      <c r="BA44" s="41"/>
      <c r="BS44">
        <f>[1]Sheet1!B8</f>
        <v>24.936170212765958</v>
      </c>
    </row>
    <row r="45" spans="1:71" s="76" customFormat="1" ht="17.25" customHeight="1" thickBot="1" x14ac:dyDescent="0.25">
      <c r="A45" s="70">
        <v>21</v>
      </c>
      <c r="B45" s="102" t="s">
        <v>117</v>
      </c>
      <c r="C45" s="98">
        <v>44941</v>
      </c>
      <c r="D45" s="70"/>
      <c r="E45" s="72"/>
      <c r="F45" s="71"/>
      <c r="G45" s="72"/>
      <c r="H45" s="71"/>
      <c r="I45" s="72"/>
      <c r="J45" s="71">
        <v>6</v>
      </c>
      <c r="K45" s="29" t="s">
        <v>35</v>
      </c>
      <c r="L45"/>
      <c r="M45" s="73" t="s">
        <v>131</v>
      </c>
      <c r="N45" s="27" t="s">
        <v>40</v>
      </c>
      <c r="O45" s="307"/>
      <c r="P45" s="74"/>
      <c r="Q45" s="70"/>
      <c r="R45" s="71"/>
      <c r="S45" s="71"/>
      <c r="T45" s="72"/>
      <c r="U45" s="71"/>
      <c r="V45" s="71"/>
      <c r="W45" s="72"/>
      <c r="X45" s="33"/>
      <c r="Y45" s="75"/>
      <c r="Z45" s="70"/>
      <c r="AA45" s="71"/>
      <c r="AB45" s="72"/>
      <c r="AC45" s="27">
        <v>15</v>
      </c>
      <c r="AD45" s="71"/>
      <c r="AE45" s="33"/>
      <c r="AG45" s="70"/>
      <c r="AH45" s="77"/>
      <c r="AI45" s="71">
        <v>2.5000000000000001E-2</v>
      </c>
      <c r="AJ45" s="71">
        <v>2.5000000000000001E-2</v>
      </c>
      <c r="AK45" s="78">
        <v>2.5000000000000001E-2</v>
      </c>
      <c r="AL45" s="70"/>
      <c r="AM45" s="77"/>
      <c r="AQ45" s="37"/>
      <c r="AR45" s="75"/>
      <c r="AS45" s="70" t="s">
        <v>57</v>
      </c>
      <c r="AT45" s="27" t="s">
        <v>52</v>
      </c>
      <c r="AU45" s="71"/>
      <c r="AW45" s="70"/>
      <c r="AX45" s="71"/>
      <c r="AY45" s="71"/>
      <c r="AZ45" s="75"/>
      <c r="BA45" s="79">
        <v>2</v>
      </c>
      <c r="BS45" s="76">
        <f>[1]Sheet1!B9</f>
        <v>26.042553191489361</v>
      </c>
    </row>
    <row r="46" spans="1:71" ht="16" thickBot="1" x14ac:dyDescent="0.25">
      <c r="A46" s="25">
        <v>22</v>
      </c>
      <c r="B46" s="26" t="s">
        <v>117</v>
      </c>
      <c r="C46" s="98">
        <v>44942</v>
      </c>
      <c r="D46" s="25"/>
      <c r="E46" s="28"/>
      <c r="F46" s="27"/>
      <c r="G46" s="28"/>
      <c r="H46" s="27"/>
      <c r="I46" s="28"/>
      <c r="J46" s="27">
        <v>6</v>
      </c>
      <c r="K46" s="29" t="s">
        <v>35</v>
      </c>
      <c r="L46" s="39"/>
      <c r="M46" s="69" t="s">
        <v>132</v>
      </c>
      <c r="N46" s="27" t="s">
        <v>40</v>
      </c>
      <c r="O46" s="307"/>
      <c r="P46" s="32"/>
      <c r="Q46" s="43"/>
      <c r="R46" s="27"/>
      <c r="S46" s="27"/>
      <c r="T46" s="28"/>
      <c r="U46" s="27"/>
      <c r="V46" s="27"/>
      <c r="W46" s="28"/>
      <c r="X46" s="33"/>
      <c r="Y46" s="32"/>
      <c r="Z46" s="60"/>
      <c r="AA46" s="60"/>
      <c r="AB46" s="61"/>
      <c r="AC46" s="27">
        <v>15</v>
      </c>
      <c r="AD46" s="27"/>
      <c r="AE46" s="33"/>
      <c r="AG46" s="25"/>
      <c r="AH46" s="34"/>
      <c r="AI46" s="27">
        <v>2.5000000000000001E-2</v>
      </c>
      <c r="AJ46" s="27">
        <v>2.5000000000000001E-2</v>
      </c>
      <c r="AK46" s="36">
        <v>2.5000000000000001E-2</v>
      </c>
      <c r="AL46" s="25"/>
      <c r="AM46" s="34"/>
      <c r="AQ46" s="37"/>
      <c r="AR46" s="32"/>
      <c r="AS46" s="25" t="s">
        <v>57</v>
      </c>
      <c r="AT46" s="27" t="s">
        <v>52</v>
      </c>
      <c r="AU46" s="27"/>
      <c r="AW46" s="25"/>
      <c r="AX46" s="27"/>
      <c r="AY46" s="27"/>
      <c r="AZ46" s="32"/>
      <c r="BA46" s="41">
        <v>1</v>
      </c>
      <c r="BS46">
        <f>[1]Sheet1!B10</f>
        <v>37.326530612244895</v>
      </c>
    </row>
    <row r="47" spans="1:71" ht="16" thickBot="1" x14ac:dyDescent="0.25">
      <c r="A47" s="25">
        <v>23</v>
      </c>
      <c r="B47" s="26" t="s">
        <v>117</v>
      </c>
      <c r="C47" s="98">
        <v>44943</v>
      </c>
      <c r="D47" s="25"/>
      <c r="E47" s="28"/>
      <c r="F47" s="27"/>
      <c r="G47" s="28"/>
      <c r="H47" s="27"/>
      <c r="I47" s="28"/>
      <c r="J47" s="27">
        <v>6</v>
      </c>
      <c r="K47" s="29" t="s">
        <v>35</v>
      </c>
      <c r="L47" s="44" t="s">
        <v>133</v>
      </c>
      <c r="M47" s="31"/>
      <c r="N47" s="27" t="s">
        <v>76</v>
      </c>
      <c r="O47" s="307"/>
      <c r="P47" s="32"/>
      <c r="Q47" s="25"/>
      <c r="R47" s="27"/>
      <c r="S47" s="27"/>
      <c r="T47" s="28"/>
      <c r="U47" s="27"/>
      <c r="V47" s="27"/>
      <c r="W47" s="28"/>
      <c r="X47" s="33"/>
      <c r="Y47" s="32"/>
      <c r="Z47" s="25"/>
      <c r="AA47" s="27"/>
      <c r="AB47" s="28"/>
      <c r="AC47" s="27">
        <v>15</v>
      </c>
      <c r="AD47" s="27"/>
      <c r="AE47" s="33"/>
      <c r="AG47" s="25"/>
      <c r="AH47" s="34"/>
      <c r="AI47" s="27"/>
      <c r="AJ47" s="27"/>
      <c r="AK47" s="36"/>
      <c r="AL47" s="25"/>
      <c r="AM47" s="34"/>
      <c r="AQ47" s="37"/>
      <c r="AR47" s="32"/>
      <c r="AS47" s="25" t="s">
        <v>57</v>
      </c>
      <c r="AT47" s="27" t="s">
        <v>52</v>
      </c>
      <c r="AU47" s="58" t="s">
        <v>70</v>
      </c>
      <c r="AW47" s="25"/>
      <c r="AX47" s="27"/>
      <c r="AY47" s="27"/>
      <c r="AZ47" s="32"/>
      <c r="BA47" s="41">
        <v>3</v>
      </c>
      <c r="BS47">
        <f>[1]Sheet1!B11</f>
        <v>49.14</v>
      </c>
    </row>
    <row r="48" spans="1:71" ht="16" thickBot="1" x14ac:dyDescent="0.25">
      <c r="A48" s="25">
        <v>24</v>
      </c>
      <c r="B48" s="26" t="s">
        <v>117</v>
      </c>
      <c r="C48" s="98">
        <v>44944</v>
      </c>
      <c r="D48" s="25"/>
      <c r="E48" s="28"/>
      <c r="F48" s="27"/>
      <c r="G48" s="28"/>
      <c r="H48" s="27"/>
      <c r="I48" s="28"/>
      <c r="J48" s="27">
        <v>6</v>
      </c>
      <c r="K48" s="29" t="s">
        <v>35</v>
      </c>
      <c r="L48" s="39"/>
      <c r="M48" s="31"/>
      <c r="N48" s="27" t="s">
        <v>76</v>
      </c>
      <c r="O48" s="307"/>
      <c r="P48" s="32"/>
      <c r="Q48" s="25"/>
      <c r="R48" s="27"/>
      <c r="S48" s="27"/>
      <c r="T48" s="28"/>
      <c r="U48" s="27"/>
      <c r="V48" s="27"/>
      <c r="W48" s="28"/>
      <c r="X48" s="33"/>
      <c r="Y48" s="32"/>
      <c r="Z48" s="25"/>
      <c r="AA48" s="27"/>
      <c r="AB48" s="28"/>
      <c r="AC48" s="27">
        <v>15</v>
      </c>
      <c r="AD48" s="27"/>
      <c r="AE48" s="50" t="s">
        <v>134</v>
      </c>
      <c r="AF48" s="46" t="s">
        <v>61</v>
      </c>
      <c r="AG48" s="25"/>
      <c r="AH48" s="34"/>
      <c r="AI48" s="27">
        <v>2.5000000000000001E-2</v>
      </c>
      <c r="AJ48" s="27">
        <v>2.5000000000000001E-2</v>
      </c>
      <c r="AK48" s="36">
        <v>2.5000000000000001E-2</v>
      </c>
      <c r="AL48" s="25"/>
      <c r="AM48" s="34"/>
      <c r="AQ48" s="37"/>
      <c r="AR48" s="46" t="s">
        <v>135</v>
      </c>
      <c r="AS48" s="25" t="s">
        <v>72</v>
      </c>
      <c r="AT48" s="27" t="s">
        <v>52</v>
      </c>
      <c r="AU48" s="58" t="s">
        <v>73</v>
      </c>
      <c r="AW48" s="25"/>
      <c r="AX48" s="27"/>
      <c r="AY48" s="27"/>
      <c r="AZ48" s="32"/>
      <c r="BA48" s="41">
        <v>2</v>
      </c>
      <c r="BS48">
        <f>[1]Sheet1!B12</f>
        <v>43.86</v>
      </c>
    </row>
    <row r="49" spans="1:71" ht="16" thickBot="1" x14ac:dyDescent="0.25">
      <c r="A49" s="25">
        <v>25</v>
      </c>
      <c r="B49" s="26" t="s">
        <v>117</v>
      </c>
      <c r="C49" s="98">
        <v>44945</v>
      </c>
      <c r="D49" s="25"/>
      <c r="E49" s="28"/>
      <c r="F49" s="27"/>
      <c r="G49" s="28"/>
      <c r="H49" s="27"/>
      <c r="I49" s="28"/>
      <c r="J49" s="27">
        <v>6</v>
      </c>
      <c r="K49" s="29" t="s">
        <v>35</v>
      </c>
      <c r="L49" s="39"/>
      <c r="M49" s="31"/>
      <c r="N49" s="27" t="s">
        <v>76</v>
      </c>
      <c r="O49" s="307"/>
      <c r="P49" s="81" t="s">
        <v>74</v>
      </c>
      <c r="Q49" s="43"/>
      <c r="R49" s="27"/>
      <c r="S49" s="27"/>
      <c r="T49" s="28"/>
      <c r="U49" s="27"/>
      <c r="V49" s="27"/>
      <c r="W49" s="28"/>
      <c r="X49" s="33"/>
      <c r="Y49" s="32"/>
      <c r="Z49" s="27"/>
      <c r="AA49" s="27"/>
      <c r="AB49" s="28"/>
      <c r="AC49" s="27"/>
      <c r="AD49" s="27"/>
      <c r="AE49" s="33"/>
      <c r="AG49" s="25"/>
      <c r="AH49" s="34"/>
      <c r="AI49" s="27">
        <v>2.5000000000000001E-2</v>
      </c>
      <c r="AJ49" s="27">
        <v>2.5000000000000001E-2</v>
      </c>
      <c r="AK49" s="27">
        <v>2.5000000000000001E-2</v>
      </c>
      <c r="AL49" s="25"/>
      <c r="AM49" s="34"/>
      <c r="AN49" s="27"/>
      <c r="AO49" s="27"/>
      <c r="AP49" s="36"/>
      <c r="AQ49" s="37"/>
      <c r="AR49" s="32"/>
      <c r="AS49" s="25" t="s">
        <v>72</v>
      </c>
      <c r="AT49" s="27" t="s">
        <v>52</v>
      </c>
      <c r="AW49" s="25"/>
      <c r="AX49" s="27"/>
      <c r="AY49" s="27"/>
      <c r="AZ49" s="32"/>
      <c r="BA49" s="41">
        <v>0</v>
      </c>
      <c r="BS49">
        <f>[1]Sheet1!B13</f>
        <v>43.571428571428569</v>
      </c>
    </row>
    <row r="50" spans="1:71" ht="16" thickBot="1" x14ac:dyDescent="0.25">
      <c r="A50" s="25">
        <v>26</v>
      </c>
      <c r="B50" s="26"/>
      <c r="C50" s="98">
        <v>44946</v>
      </c>
      <c r="D50" s="25"/>
      <c r="E50" s="28"/>
      <c r="F50" s="27"/>
      <c r="G50" s="28"/>
      <c r="H50" s="27"/>
      <c r="I50" s="28"/>
      <c r="J50" s="27">
        <v>6</v>
      </c>
      <c r="K50" s="29" t="s">
        <v>35</v>
      </c>
      <c r="L50" s="39"/>
      <c r="M50" s="31"/>
      <c r="N50" s="27" t="s">
        <v>76</v>
      </c>
      <c r="O50" s="307"/>
      <c r="P50" s="32"/>
      <c r="Q50" s="25"/>
      <c r="R50" s="27"/>
      <c r="S50" s="27"/>
      <c r="T50" s="28"/>
      <c r="U50" s="27"/>
      <c r="V50" s="27"/>
      <c r="W50" s="28"/>
      <c r="X50" s="33"/>
      <c r="Y50" s="32"/>
      <c r="Z50" s="25"/>
      <c r="AA50" s="27"/>
      <c r="AB50" s="28"/>
      <c r="AC50" s="27"/>
      <c r="AD50" s="27"/>
      <c r="AE50" s="33"/>
      <c r="AG50" s="25"/>
      <c r="AH50" s="34"/>
      <c r="AI50" s="27"/>
      <c r="AJ50" s="27"/>
      <c r="AK50" s="27"/>
      <c r="AL50" s="25"/>
      <c r="AM50" s="34"/>
      <c r="AN50" s="27"/>
      <c r="AO50" s="27"/>
      <c r="AP50" s="36"/>
      <c r="AQ50" s="37"/>
      <c r="AR50" s="32"/>
      <c r="AS50" s="25" t="s">
        <v>72</v>
      </c>
      <c r="AT50" s="27" t="s">
        <v>52</v>
      </c>
      <c r="AW50" s="25"/>
      <c r="AX50" s="27"/>
      <c r="AY50" s="27"/>
      <c r="AZ50" s="32"/>
      <c r="BA50" s="41"/>
      <c r="BS50">
        <f>[1]Sheet1!B14</f>
        <v>47.48</v>
      </c>
    </row>
    <row r="51" spans="1:71" ht="16" thickBot="1" x14ac:dyDescent="0.25">
      <c r="A51" s="25">
        <v>27</v>
      </c>
      <c r="B51" s="26"/>
      <c r="C51" s="98">
        <v>44947</v>
      </c>
      <c r="D51" s="25"/>
      <c r="E51" s="28"/>
      <c r="F51" s="27"/>
      <c r="G51" s="28"/>
      <c r="H51" s="27"/>
      <c r="I51" s="28"/>
      <c r="J51" s="27">
        <v>6</v>
      </c>
      <c r="K51" s="29" t="s">
        <v>35</v>
      </c>
      <c r="L51" s="39"/>
      <c r="M51" s="31"/>
      <c r="N51" s="27" t="s">
        <v>76</v>
      </c>
      <c r="O51" s="307"/>
      <c r="P51" s="32"/>
      <c r="Q51" s="25"/>
      <c r="R51" s="27"/>
      <c r="S51" s="27"/>
      <c r="T51" s="28"/>
      <c r="U51" s="27"/>
      <c r="V51" s="27"/>
      <c r="W51" s="28"/>
      <c r="X51" s="33"/>
      <c r="Y51" s="32"/>
      <c r="Z51" s="25"/>
      <c r="AA51" s="27"/>
      <c r="AB51" s="28"/>
      <c r="AC51" s="27"/>
      <c r="AD51" s="27"/>
      <c r="AE51" s="33"/>
      <c r="AG51" s="25"/>
      <c r="AH51" s="34"/>
      <c r="AI51" s="27"/>
      <c r="AJ51" s="27"/>
      <c r="AK51" s="27"/>
      <c r="AL51" s="25"/>
      <c r="AM51" s="34"/>
      <c r="AN51" s="27">
        <v>0.05</v>
      </c>
      <c r="AO51" s="27"/>
      <c r="AP51" s="36">
        <v>0.05</v>
      </c>
      <c r="AQ51" s="82" t="s">
        <v>136</v>
      </c>
      <c r="AR51" s="32"/>
      <c r="AS51" s="25" t="s">
        <v>72</v>
      </c>
      <c r="AT51" s="27" t="s">
        <v>52</v>
      </c>
      <c r="AU51" s="27"/>
      <c r="AW51" s="25"/>
      <c r="AX51" s="27"/>
      <c r="AY51" s="27"/>
      <c r="AZ51" s="32"/>
      <c r="BA51" s="41"/>
      <c r="BS51">
        <f>[1]Sheet1!B15</f>
        <v>43.354166666666664</v>
      </c>
    </row>
    <row r="52" spans="1:71" x14ac:dyDescent="0.2">
      <c r="A52" s="25">
        <v>28</v>
      </c>
      <c r="B52" s="26"/>
      <c r="C52" s="98">
        <v>44948</v>
      </c>
      <c r="D52" s="25"/>
      <c r="E52" s="28"/>
      <c r="F52" s="27"/>
      <c r="G52" s="28"/>
      <c r="H52" s="27"/>
      <c r="I52" s="28"/>
      <c r="J52" s="27">
        <v>6</v>
      </c>
      <c r="K52" s="29" t="s">
        <v>35</v>
      </c>
      <c r="L52" s="39"/>
      <c r="M52" s="31"/>
      <c r="N52" s="27" t="s">
        <v>76</v>
      </c>
      <c r="O52" s="307"/>
      <c r="P52" s="32"/>
      <c r="Q52" s="25"/>
      <c r="R52" s="27"/>
      <c r="S52" s="27"/>
      <c r="T52" s="28"/>
      <c r="U52" s="27"/>
      <c r="V52" s="27"/>
      <c r="W52" s="28"/>
      <c r="Y52" s="32"/>
      <c r="Z52" s="25"/>
      <c r="AA52" s="27"/>
      <c r="AB52" s="28"/>
      <c r="AC52" s="27"/>
      <c r="AD52" s="27"/>
      <c r="AE52" s="33"/>
      <c r="AG52" s="25"/>
      <c r="AH52" s="34"/>
      <c r="AI52" s="27"/>
      <c r="AJ52" s="27"/>
      <c r="AK52" s="27"/>
      <c r="AL52" s="25"/>
      <c r="AM52" s="34"/>
      <c r="AN52" s="27"/>
      <c r="AO52" s="27"/>
      <c r="AP52" s="36"/>
      <c r="AR52" s="32"/>
      <c r="AS52" s="25" t="s">
        <v>72</v>
      </c>
      <c r="AT52" s="27" t="s">
        <v>52</v>
      </c>
      <c r="AU52" s="27"/>
      <c r="AW52" s="25"/>
      <c r="AX52" s="27"/>
      <c r="AY52" s="27"/>
      <c r="AZ52" s="32"/>
      <c r="BA52" s="41">
        <v>2</v>
      </c>
      <c r="BS52">
        <f>[1]Sheet1!B16</f>
        <v>39.8125</v>
      </c>
    </row>
    <row r="53" spans="1:71" ht="16" thickBot="1" x14ac:dyDescent="0.25">
      <c r="A53" s="25">
        <v>29</v>
      </c>
      <c r="B53" s="26" t="s">
        <v>117</v>
      </c>
      <c r="C53" s="98">
        <v>44949</v>
      </c>
      <c r="D53" s="25"/>
      <c r="E53" s="28"/>
      <c r="F53" s="27"/>
      <c r="G53" s="28"/>
      <c r="H53" s="27"/>
      <c r="I53" s="28"/>
      <c r="J53" s="27">
        <v>6</v>
      </c>
      <c r="K53" s="29" t="s">
        <v>35</v>
      </c>
      <c r="L53" s="39"/>
      <c r="M53" s="31"/>
      <c r="N53" s="27" t="s">
        <v>76</v>
      </c>
      <c r="O53" s="307"/>
      <c r="P53" s="32"/>
      <c r="Q53" s="25"/>
      <c r="R53" s="27"/>
      <c r="S53" s="27"/>
      <c r="T53" s="28"/>
      <c r="U53" s="27"/>
      <c r="V53" s="27"/>
      <c r="W53" s="28"/>
      <c r="X53" s="33"/>
      <c r="Y53" s="32"/>
      <c r="Z53" s="25"/>
      <c r="AA53" s="27"/>
      <c r="AB53" s="28"/>
      <c r="AC53" s="27"/>
      <c r="AD53" s="27"/>
      <c r="AE53" s="33"/>
      <c r="AG53" s="25"/>
      <c r="AH53" s="34"/>
      <c r="AI53" s="27"/>
      <c r="AJ53" s="27"/>
      <c r="AK53" s="27"/>
      <c r="AL53" s="25"/>
      <c r="AM53" s="34"/>
      <c r="AN53" s="27">
        <v>0.05</v>
      </c>
      <c r="AO53" s="27">
        <v>0.05</v>
      </c>
      <c r="AP53" s="36">
        <v>0.05</v>
      </c>
      <c r="AQ53" s="37"/>
      <c r="AR53" s="32"/>
      <c r="AS53" s="25" t="s">
        <v>72</v>
      </c>
      <c r="AT53" s="27" t="s">
        <v>52</v>
      </c>
      <c r="AU53" s="27"/>
      <c r="AW53" s="25"/>
      <c r="AX53" s="27"/>
      <c r="AY53" s="27"/>
      <c r="AZ53" s="32"/>
      <c r="BA53" s="41">
        <v>0</v>
      </c>
      <c r="BS53">
        <f>[1]Sheet1!B17</f>
        <v>34.78</v>
      </c>
    </row>
    <row r="54" spans="1:71" x14ac:dyDescent="0.2">
      <c r="A54" s="25">
        <v>30</v>
      </c>
      <c r="B54" s="26" t="s">
        <v>117</v>
      </c>
      <c r="C54" s="98">
        <v>44950</v>
      </c>
      <c r="D54" s="25"/>
      <c r="E54" s="28"/>
      <c r="F54" s="27"/>
      <c r="G54" s="28"/>
      <c r="H54" s="27"/>
      <c r="I54" s="28"/>
      <c r="J54" s="27">
        <v>6</v>
      </c>
      <c r="K54" s="29" t="s">
        <v>35</v>
      </c>
      <c r="L54" s="39"/>
      <c r="M54" s="31"/>
      <c r="N54" s="27" t="s">
        <v>76</v>
      </c>
      <c r="O54" s="307"/>
      <c r="P54" s="32"/>
      <c r="Q54" s="25"/>
      <c r="R54" s="27"/>
      <c r="S54" s="27"/>
      <c r="T54" s="28"/>
      <c r="U54" s="27"/>
      <c r="V54" s="27"/>
      <c r="W54" s="28"/>
      <c r="X54" s="33"/>
      <c r="Y54" s="32"/>
      <c r="Z54" s="25"/>
      <c r="AA54" s="27"/>
      <c r="AB54" s="28"/>
      <c r="AC54" s="27"/>
      <c r="AD54" s="27"/>
      <c r="AE54" s="33"/>
      <c r="AG54" s="25"/>
      <c r="AH54" s="34"/>
      <c r="AI54" s="27"/>
      <c r="AJ54" s="27"/>
      <c r="AK54" s="27"/>
      <c r="AL54" s="25"/>
      <c r="AM54" s="34"/>
      <c r="AN54" s="27"/>
      <c r="AO54" s="27"/>
      <c r="AP54" s="36"/>
      <c r="AQ54" s="103" t="s">
        <v>137</v>
      </c>
      <c r="AR54" s="32"/>
      <c r="AS54" s="25" t="s">
        <v>72</v>
      </c>
      <c r="AT54" s="27" t="s">
        <v>52</v>
      </c>
      <c r="AU54" s="27"/>
      <c r="AW54" s="25"/>
      <c r="AX54" s="27"/>
      <c r="AY54" s="27"/>
      <c r="AZ54" s="32"/>
      <c r="BA54" s="41">
        <v>5</v>
      </c>
      <c r="BS54">
        <f>[1]Sheet1!B18</f>
        <v>31.48936170212766</v>
      </c>
    </row>
    <row r="55" spans="1:71" x14ac:dyDescent="0.2">
      <c r="A55" s="25">
        <v>31</v>
      </c>
      <c r="B55" s="26" t="s">
        <v>117</v>
      </c>
      <c r="C55" s="98">
        <v>44951</v>
      </c>
      <c r="D55" s="25"/>
      <c r="E55" s="28"/>
      <c r="F55" s="27"/>
      <c r="G55" s="28"/>
      <c r="H55" s="27"/>
      <c r="I55" s="28"/>
      <c r="J55" s="27">
        <v>6</v>
      </c>
      <c r="K55" s="29" t="s">
        <v>35</v>
      </c>
      <c r="L55" s="39"/>
      <c r="M55" s="31"/>
      <c r="N55" s="27" t="s">
        <v>76</v>
      </c>
      <c r="O55" s="307"/>
      <c r="P55" s="32"/>
      <c r="Q55" s="25"/>
      <c r="R55" s="27"/>
      <c r="S55" s="27"/>
      <c r="T55" s="28"/>
      <c r="U55" s="27"/>
      <c r="V55" s="27"/>
      <c r="W55" s="28"/>
      <c r="X55" s="33"/>
      <c r="Y55" s="32"/>
      <c r="Z55" s="25"/>
      <c r="AA55" s="27"/>
      <c r="AB55" s="28"/>
      <c r="AC55" s="27"/>
      <c r="AD55" s="27"/>
      <c r="AE55" s="33"/>
      <c r="AG55" s="25"/>
      <c r="AH55" s="34"/>
      <c r="AI55" s="27"/>
      <c r="AJ55" s="27"/>
      <c r="AK55" s="27"/>
      <c r="AL55" s="25"/>
      <c r="AM55" s="34"/>
      <c r="AN55" s="27">
        <v>0.05</v>
      </c>
      <c r="AO55" s="27">
        <v>0.05</v>
      </c>
      <c r="AP55" s="36">
        <v>0.05</v>
      </c>
      <c r="AQ55" s="37"/>
      <c r="AR55" s="46" t="s">
        <v>138</v>
      </c>
      <c r="AS55" s="25" t="s">
        <v>72</v>
      </c>
      <c r="AT55" s="27" t="s">
        <v>52</v>
      </c>
      <c r="AU55" s="27"/>
      <c r="AW55" s="25"/>
      <c r="AX55" s="27"/>
      <c r="AY55" s="27"/>
      <c r="AZ55" s="32"/>
      <c r="BA55" s="41">
        <v>7</v>
      </c>
      <c r="BS55">
        <f>[1]Sheet1!B19</f>
        <v>36.612244897959187</v>
      </c>
    </row>
    <row r="56" spans="1:71" x14ac:dyDescent="0.2">
      <c r="A56" s="25">
        <v>32</v>
      </c>
      <c r="B56" s="26" t="s">
        <v>117</v>
      </c>
      <c r="C56" s="98">
        <v>44952</v>
      </c>
      <c r="D56" s="25"/>
      <c r="E56" s="28"/>
      <c r="F56" s="27"/>
      <c r="G56" s="28"/>
      <c r="H56" s="27"/>
      <c r="I56" s="28"/>
      <c r="J56" s="27">
        <v>6</v>
      </c>
      <c r="K56" s="29" t="s">
        <v>35</v>
      </c>
      <c r="L56" s="39"/>
      <c r="M56" s="31"/>
      <c r="N56" s="27" t="s">
        <v>76</v>
      </c>
      <c r="O56" s="307"/>
      <c r="P56" s="32"/>
      <c r="Q56" s="25"/>
      <c r="R56" s="27"/>
      <c r="S56" s="27"/>
      <c r="T56" s="28"/>
      <c r="U56" s="27"/>
      <c r="V56" s="27"/>
      <c r="W56" s="28"/>
      <c r="X56" s="33"/>
      <c r="Y56" s="32"/>
      <c r="Z56" s="25"/>
      <c r="AA56" s="27"/>
      <c r="AB56" s="28"/>
      <c r="AC56" s="27"/>
      <c r="AD56" s="27"/>
      <c r="AE56" s="33"/>
      <c r="AG56" s="25"/>
      <c r="AH56" s="34"/>
      <c r="AI56" s="27"/>
      <c r="AJ56" s="27"/>
      <c r="AK56" s="27"/>
      <c r="AL56" s="25"/>
      <c r="AM56" s="34"/>
      <c r="AN56" s="27"/>
      <c r="AO56" s="27"/>
      <c r="AP56" s="36"/>
      <c r="AQ56" s="37"/>
      <c r="AR56" s="32"/>
      <c r="AS56" s="25" t="s">
        <v>72</v>
      </c>
      <c r="AT56" s="27" t="s">
        <v>52</v>
      </c>
      <c r="AU56" s="27"/>
      <c r="AW56" s="25"/>
      <c r="AX56" s="27"/>
      <c r="AY56" s="27"/>
      <c r="AZ56" s="32"/>
      <c r="BA56" s="41">
        <v>4</v>
      </c>
      <c r="BS56">
        <f>[1]Sheet1!B20</f>
        <v>34.714285714285715</v>
      </c>
    </row>
    <row r="57" spans="1:71" x14ac:dyDescent="0.2">
      <c r="A57" s="25">
        <v>33</v>
      </c>
      <c r="B57" s="26" t="s">
        <v>117</v>
      </c>
      <c r="C57" s="98">
        <v>44953</v>
      </c>
      <c r="D57" s="25"/>
      <c r="E57" s="28"/>
      <c r="F57" s="27"/>
      <c r="G57" s="28"/>
      <c r="H57" s="27"/>
      <c r="I57" s="28"/>
      <c r="J57" s="27">
        <v>6</v>
      </c>
      <c r="K57" s="29" t="s">
        <v>35</v>
      </c>
      <c r="L57" s="39"/>
      <c r="M57" s="31"/>
      <c r="N57" s="27" t="s">
        <v>76</v>
      </c>
      <c r="O57" s="307"/>
      <c r="P57" s="32"/>
      <c r="Q57" s="25"/>
      <c r="R57" s="27"/>
      <c r="S57" s="27"/>
      <c r="T57" s="28"/>
      <c r="U57" s="27"/>
      <c r="V57" s="27"/>
      <c r="W57" s="28"/>
      <c r="X57" s="33"/>
      <c r="Y57" s="32"/>
      <c r="Z57" s="25"/>
      <c r="AA57" s="27"/>
      <c r="AB57" s="28"/>
      <c r="AC57" s="27"/>
      <c r="AD57" s="27"/>
      <c r="AE57" s="33"/>
      <c r="AG57" s="25"/>
      <c r="AH57" s="34"/>
      <c r="AI57" s="27"/>
      <c r="AJ57" s="27"/>
      <c r="AK57" s="27"/>
      <c r="AL57" s="25"/>
      <c r="AM57" s="34"/>
      <c r="AN57" s="27"/>
      <c r="AO57" s="27"/>
      <c r="AP57" s="36"/>
      <c r="AQ57" s="37"/>
      <c r="AR57" s="32"/>
      <c r="AS57" s="25" t="s">
        <v>72</v>
      </c>
      <c r="AT57" s="27" t="s">
        <v>52</v>
      </c>
      <c r="AW57" s="25"/>
      <c r="AX57" s="25"/>
      <c r="AY57" s="25"/>
      <c r="AZ57" s="32"/>
      <c r="BA57" s="41">
        <v>3</v>
      </c>
      <c r="BS57">
        <f>[1]Sheet1!B21</f>
        <v>27.434782608695652</v>
      </c>
    </row>
    <row r="58" spans="1:71" ht="16" thickBot="1" x14ac:dyDescent="0.25">
      <c r="A58" s="25">
        <v>34</v>
      </c>
      <c r="B58" s="26"/>
      <c r="C58" s="98">
        <v>44954</v>
      </c>
      <c r="D58" s="25"/>
      <c r="E58" s="28"/>
      <c r="F58" s="27"/>
      <c r="G58" s="28"/>
      <c r="H58" s="27"/>
      <c r="I58" s="28"/>
      <c r="J58" s="27">
        <v>6</v>
      </c>
      <c r="K58" s="29" t="s">
        <v>35</v>
      </c>
      <c r="L58" s="39"/>
      <c r="M58" s="31"/>
      <c r="N58" s="27" t="s">
        <v>76</v>
      </c>
      <c r="O58" s="307"/>
      <c r="P58" s="32"/>
      <c r="Q58" s="25"/>
      <c r="R58" s="27"/>
      <c r="S58" s="27"/>
      <c r="T58" s="28"/>
      <c r="U58" s="27"/>
      <c r="V58" s="27"/>
      <c r="W58" s="28"/>
      <c r="X58" s="33"/>
      <c r="Y58" s="32"/>
      <c r="Z58" s="25"/>
      <c r="AA58" s="27"/>
      <c r="AB58" s="28"/>
      <c r="AC58" s="27"/>
      <c r="AD58" s="27"/>
      <c r="AE58" s="33"/>
      <c r="AG58" s="25"/>
      <c r="AH58" s="34"/>
      <c r="AI58" s="27"/>
      <c r="AJ58" s="27"/>
      <c r="AK58" s="27"/>
      <c r="AL58" s="25"/>
      <c r="AM58" s="34"/>
      <c r="AN58" s="27"/>
      <c r="AO58" s="27"/>
      <c r="AP58" s="36"/>
      <c r="AQ58" s="37"/>
      <c r="AR58" s="32"/>
      <c r="AS58" s="25" t="s">
        <v>72</v>
      </c>
      <c r="AT58" s="27" t="s">
        <v>52</v>
      </c>
      <c r="AU58" s="27"/>
      <c r="AW58" s="25"/>
      <c r="AX58" s="25"/>
      <c r="AY58" s="25"/>
      <c r="AZ58" s="32"/>
      <c r="BA58" s="41">
        <v>5</v>
      </c>
      <c r="BS58">
        <f>[1]Sheet1!B22</f>
        <v>24.488888888888887</v>
      </c>
    </row>
    <row r="59" spans="1:71" ht="16" thickBot="1" x14ac:dyDescent="0.25">
      <c r="A59" s="25">
        <v>35</v>
      </c>
      <c r="B59" s="26"/>
      <c r="C59" s="98">
        <v>44955</v>
      </c>
      <c r="D59" s="25"/>
      <c r="E59" s="28"/>
      <c r="F59" s="27"/>
      <c r="G59" s="28"/>
      <c r="H59" s="27"/>
      <c r="I59" s="28"/>
      <c r="J59" s="27">
        <v>6</v>
      </c>
      <c r="K59" s="29" t="s">
        <v>35</v>
      </c>
      <c r="L59" s="39"/>
      <c r="M59" s="31"/>
      <c r="N59" s="27" t="s">
        <v>76</v>
      </c>
      <c r="O59" s="307"/>
      <c r="P59" s="32"/>
      <c r="Q59" s="25"/>
      <c r="R59" s="27"/>
      <c r="S59" s="27"/>
      <c r="T59" s="28"/>
      <c r="U59" s="27"/>
      <c r="V59" s="27"/>
      <c r="W59" s="28"/>
      <c r="X59" s="33"/>
      <c r="Y59" s="32"/>
      <c r="Z59" s="25"/>
      <c r="AA59" s="27"/>
      <c r="AB59" s="28"/>
      <c r="AC59" s="27"/>
      <c r="AD59" s="27"/>
      <c r="AE59" s="33"/>
      <c r="AG59" s="25"/>
      <c r="AH59" s="34"/>
      <c r="AI59" s="27"/>
      <c r="AJ59" s="27"/>
      <c r="AK59" s="27"/>
      <c r="AL59" s="25"/>
      <c r="AM59" s="34"/>
      <c r="AN59" s="27"/>
      <c r="AO59" s="27"/>
      <c r="AP59" s="36"/>
      <c r="AQ59" s="37"/>
      <c r="AR59" s="32"/>
      <c r="AS59" s="25" t="s">
        <v>72</v>
      </c>
      <c r="AT59" s="27" t="s">
        <v>52</v>
      </c>
      <c r="AU59" s="58" t="s">
        <v>77</v>
      </c>
      <c r="AW59" s="25"/>
      <c r="AX59" s="25"/>
      <c r="AY59" s="25"/>
      <c r="AZ59" s="32"/>
      <c r="BA59" s="41">
        <v>0</v>
      </c>
      <c r="BS59">
        <f>[1]Sheet1!B23</f>
        <v>21.844444444444445</v>
      </c>
    </row>
    <row r="60" spans="1:71" ht="16" thickBot="1" x14ac:dyDescent="0.25">
      <c r="A60" s="25">
        <v>36</v>
      </c>
      <c r="B60" s="26" t="s">
        <v>117</v>
      </c>
      <c r="C60" s="98">
        <v>44956</v>
      </c>
      <c r="D60" s="25"/>
      <c r="E60" s="28"/>
      <c r="F60" s="27"/>
      <c r="G60" s="28"/>
      <c r="H60" s="27"/>
      <c r="I60" s="28"/>
      <c r="J60" s="27">
        <v>6</v>
      </c>
      <c r="K60" s="29" t="s">
        <v>35</v>
      </c>
      <c r="L60" s="53"/>
      <c r="M60" s="31"/>
      <c r="N60" s="27" t="s">
        <v>76</v>
      </c>
      <c r="O60" s="307"/>
      <c r="P60" s="32"/>
      <c r="Q60" s="25"/>
      <c r="R60" s="27"/>
      <c r="S60" s="27"/>
      <c r="T60" s="28"/>
      <c r="U60" s="27"/>
      <c r="V60" s="27"/>
      <c r="W60" s="28"/>
      <c r="X60" s="33"/>
      <c r="Y60" s="32"/>
      <c r="Z60" s="25"/>
      <c r="AA60" s="27"/>
      <c r="AB60" s="28"/>
      <c r="AC60" s="27"/>
      <c r="AD60" s="27"/>
      <c r="AE60" s="33"/>
      <c r="AG60" s="25"/>
      <c r="AH60" s="34"/>
      <c r="AI60" s="27"/>
      <c r="AJ60" s="27"/>
      <c r="AK60" s="27"/>
      <c r="AL60" s="25"/>
      <c r="AM60" s="34"/>
      <c r="AN60" s="27"/>
      <c r="AO60" s="27"/>
      <c r="AP60" s="36"/>
      <c r="AQ60" s="37"/>
      <c r="AR60" s="32"/>
      <c r="AS60" s="25" t="s">
        <v>78</v>
      </c>
      <c r="AT60" s="27" t="s">
        <v>52</v>
      </c>
      <c r="AW60" s="25"/>
      <c r="AX60" s="25"/>
      <c r="AY60" s="25"/>
      <c r="AZ60" s="32"/>
      <c r="BA60" s="41">
        <v>4</v>
      </c>
      <c r="BS60">
        <f>[1]Sheet1!B24</f>
        <v>19.658536585365855</v>
      </c>
    </row>
    <row r="61" spans="1:71" ht="16" thickBot="1" x14ac:dyDescent="0.25">
      <c r="A61" s="25">
        <v>37</v>
      </c>
      <c r="B61" s="26" t="s">
        <v>117</v>
      </c>
      <c r="C61" s="98">
        <v>44957</v>
      </c>
      <c r="D61" s="25"/>
      <c r="E61" s="28"/>
      <c r="F61" s="27"/>
      <c r="G61" s="28"/>
      <c r="H61" s="27"/>
      <c r="I61" s="28"/>
      <c r="J61" s="27">
        <v>6</v>
      </c>
      <c r="K61" s="29" t="s">
        <v>35</v>
      </c>
      <c r="L61" s="53" t="s">
        <v>139</v>
      </c>
      <c r="M61" s="31"/>
      <c r="N61" s="27" t="s">
        <v>76</v>
      </c>
      <c r="O61" s="307"/>
      <c r="P61" s="32"/>
      <c r="Q61" s="25"/>
      <c r="R61" s="27"/>
      <c r="S61" s="27"/>
      <c r="T61" s="28"/>
      <c r="U61" s="27"/>
      <c r="V61" s="27"/>
      <c r="W61" s="28"/>
      <c r="X61" s="33"/>
      <c r="Y61" s="32"/>
      <c r="Z61" s="59"/>
      <c r="AA61" s="60"/>
      <c r="AB61" s="61"/>
      <c r="AC61" s="27"/>
      <c r="AD61" s="27"/>
      <c r="AE61" s="33"/>
      <c r="AG61" s="25"/>
      <c r="AH61" s="34"/>
      <c r="AI61" s="27">
        <v>0.05</v>
      </c>
      <c r="AJ61" s="27">
        <v>0.05</v>
      </c>
      <c r="AK61" s="27">
        <v>0.05</v>
      </c>
      <c r="AL61" s="25"/>
      <c r="AM61" s="34"/>
      <c r="AN61" s="27">
        <v>0.1</v>
      </c>
      <c r="AO61" s="27">
        <v>0.1</v>
      </c>
      <c r="AP61" s="36">
        <v>0.1</v>
      </c>
      <c r="AQ61" s="37"/>
      <c r="AR61" s="32"/>
      <c r="AS61" s="25" t="s">
        <v>78</v>
      </c>
      <c r="AT61" s="27" t="s">
        <v>52</v>
      </c>
      <c r="AU61" s="27"/>
      <c r="AW61" s="25"/>
      <c r="AX61" s="25"/>
      <c r="AY61" s="25"/>
      <c r="AZ61" s="32"/>
      <c r="BA61" s="41">
        <v>6</v>
      </c>
      <c r="BS61">
        <f>[1]Sheet1!B25</f>
        <v>15.3</v>
      </c>
    </row>
    <row r="62" spans="1:71" x14ac:dyDescent="0.2">
      <c r="A62" s="25">
        <v>38</v>
      </c>
      <c r="B62" s="26" t="s">
        <v>117</v>
      </c>
      <c r="C62" s="98">
        <v>44958</v>
      </c>
      <c r="D62" s="25"/>
      <c r="E62" s="28"/>
      <c r="F62" s="27"/>
      <c r="G62" s="28"/>
      <c r="H62" s="27"/>
      <c r="I62" s="28"/>
      <c r="J62" s="27">
        <v>6</v>
      </c>
      <c r="K62" s="29" t="s">
        <v>35</v>
      </c>
      <c r="L62" s="39"/>
      <c r="M62" s="31"/>
      <c r="N62" s="27" t="s">
        <v>76</v>
      </c>
      <c r="O62" s="307"/>
      <c r="P62" s="32"/>
      <c r="Q62" s="25"/>
      <c r="R62" s="27"/>
      <c r="S62" s="27"/>
      <c r="T62" s="28"/>
      <c r="U62" s="27"/>
      <c r="V62" s="27"/>
      <c r="W62" s="28"/>
      <c r="X62" s="33"/>
      <c r="Y62" s="32"/>
      <c r="Z62" s="25"/>
      <c r="AA62" s="27"/>
      <c r="AB62" s="28"/>
      <c r="AC62" s="27"/>
      <c r="AD62" s="27"/>
      <c r="AE62" s="33"/>
      <c r="AG62" s="25"/>
      <c r="AH62" s="34"/>
      <c r="AI62" s="27">
        <v>0.05</v>
      </c>
      <c r="AJ62" s="27">
        <v>0.05</v>
      </c>
      <c r="AK62" s="27">
        <v>0.05</v>
      </c>
      <c r="AL62" s="25"/>
      <c r="AM62" s="34"/>
      <c r="AN62" s="27">
        <v>0.1</v>
      </c>
      <c r="AO62" s="27">
        <v>0.1</v>
      </c>
      <c r="AP62" s="36">
        <v>0.1</v>
      </c>
      <c r="AQ62" s="37"/>
      <c r="AR62" s="32"/>
      <c r="AS62" s="25" t="s">
        <v>78</v>
      </c>
      <c r="AT62" s="27" t="s">
        <v>52</v>
      </c>
      <c r="AU62" s="27"/>
      <c r="AW62" s="25"/>
      <c r="AX62" s="25"/>
      <c r="AY62" s="25"/>
      <c r="AZ62" s="32"/>
      <c r="BA62" s="41">
        <v>0</v>
      </c>
      <c r="BS62">
        <f>[1]Sheet1!B26</f>
        <v>12.128205128205128</v>
      </c>
    </row>
    <row r="63" spans="1:71" ht="16" thickBot="1" x14ac:dyDescent="0.25">
      <c r="A63" s="25">
        <v>39</v>
      </c>
      <c r="B63" s="26" t="s">
        <v>117</v>
      </c>
      <c r="C63" s="98">
        <v>44959</v>
      </c>
      <c r="D63" s="25"/>
      <c r="E63" s="28"/>
      <c r="F63" s="27"/>
      <c r="G63" s="28"/>
      <c r="H63" s="27"/>
      <c r="I63" s="28"/>
      <c r="J63" s="27">
        <v>6</v>
      </c>
      <c r="K63" s="29" t="s">
        <v>35</v>
      </c>
      <c r="M63" s="31"/>
      <c r="N63" s="27" t="s">
        <v>76</v>
      </c>
      <c r="O63" s="307"/>
      <c r="P63" s="32"/>
      <c r="Q63" s="25"/>
      <c r="R63" s="27"/>
      <c r="S63" s="27"/>
      <c r="T63" s="28"/>
      <c r="U63" s="27"/>
      <c r="V63" s="27"/>
      <c r="W63" s="28"/>
      <c r="X63" s="33"/>
      <c r="Y63" s="32"/>
      <c r="Z63" s="25"/>
      <c r="AA63" s="27"/>
      <c r="AB63" s="28"/>
      <c r="AC63" s="27"/>
      <c r="AD63" s="27"/>
      <c r="AE63" s="33"/>
      <c r="AG63" s="25"/>
      <c r="AH63" s="34"/>
      <c r="AI63" s="27">
        <v>0.05</v>
      </c>
      <c r="AJ63" s="27">
        <v>0.05</v>
      </c>
      <c r="AK63" s="27">
        <v>0.05</v>
      </c>
      <c r="AL63" s="25"/>
      <c r="AM63" s="34"/>
      <c r="AN63" s="27">
        <v>0.1</v>
      </c>
      <c r="AO63" s="27">
        <v>0.1</v>
      </c>
      <c r="AP63" s="36">
        <v>0.1</v>
      </c>
      <c r="AQ63" s="37"/>
      <c r="AR63" s="32"/>
      <c r="AS63" s="25" t="s">
        <v>78</v>
      </c>
      <c r="AT63" s="27" t="s">
        <v>52</v>
      </c>
      <c r="AU63" s="27"/>
      <c r="AW63" s="25"/>
      <c r="AX63" s="25"/>
      <c r="AY63" s="25"/>
      <c r="AZ63" s="32"/>
      <c r="BA63" s="41">
        <v>2</v>
      </c>
      <c r="BS63">
        <f>[1]Sheet1!B27</f>
        <v>10.050000000000001</v>
      </c>
    </row>
    <row r="64" spans="1:71" ht="16" thickBot="1" x14ac:dyDescent="0.25">
      <c r="A64" s="25">
        <v>40</v>
      </c>
      <c r="B64" s="26" t="s">
        <v>140</v>
      </c>
      <c r="C64" s="98">
        <v>44960</v>
      </c>
      <c r="D64" s="25"/>
      <c r="E64" s="28"/>
      <c r="F64" s="27"/>
      <c r="G64" s="28"/>
      <c r="H64" s="27"/>
      <c r="I64" s="28"/>
      <c r="J64" s="27">
        <v>6</v>
      </c>
      <c r="K64" s="29" t="s">
        <v>35</v>
      </c>
      <c r="L64" s="53"/>
      <c r="M64" s="31"/>
      <c r="N64" s="27" t="s">
        <v>76</v>
      </c>
      <c r="O64" s="308"/>
      <c r="Q64" s="25"/>
      <c r="R64" s="27"/>
      <c r="S64" s="27"/>
      <c r="T64" s="28"/>
      <c r="U64" s="27"/>
      <c r="V64" s="27"/>
      <c r="W64" s="28"/>
      <c r="X64" s="33"/>
      <c r="Y64" s="32"/>
      <c r="Z64" s="59"/>
      <c r="AA64" s="60"/>
      <c r="AB64" s="61"/>
      <c r="AC64" s="27"/>
      <c r="AD64" s="27"/>
      <c r="AE64" s="33"/>
      <c r="AG64" s="25"/>
      <c r="AH64" s="34"/>
      <c r="AI64" s="27">
        <v>0.05</v>
      </c>
      <c r="AJ64" s="27">
        <v>0.05</v>
      </c>
      <c r="AK64" s="27">
        <v>0.05</v>
      </c>
      <c r="AL64" s="25"/>
      <c r="AM64" s="34"/>
      <c r="AN64" s="27">
        <v>0.1</v>
      </c>
      <c r="AO64" s="27">
        <v>0.1</v>
      </c>
      <c r="AP64" s="36">
        <v>0.1</v>
      </c>
      <c r="AQ64" s="37"/>
      <c r="AR64" s="32"/>
      <c r="AS64" s="25" t="s">
        <v>79</v>
      </c>
      <c r="AT64" s="27" t="s">
        <v>52</v>
      </c>
      <c r="AU64" s="58" t="s">
        <v>80</v>
      </c>
      <c r="AW64" s="25"/>
      <c r="AX64" s="25"/>
      <c r="AY64" s="25"/>
      <c r="AZ64" s="32"/>
      <c r="BA64" s="41">
        <v>1</v>
      </c>
      <c r="BS64">
        <f>[1]Sheet1!B28</f>
        <v>7.5384615384615383</v>
      </c>
    </row>
    <row r="65" spans="1:71" x14ac:dyDescent="0.2">
      <c r="A65" s="25">
        <v>41</v>
      </c>
      <c r="B65" s="26"/>
      <c r="C65" s="98">
        <v>44961</v>
      </c>
      <c r="D65" s="25"/>
      <c r="E65" s="28"/>
      <c r="F65" s="27"/>
      <c r="G65" s="28"/>
      <c r="H65" s="27"/>
      <c r="I65" s="28"/>
      <c r="J65" s="27">
        <v>6</v>
      </c>
      <c r="K65" s="29" t="s">
        <v>35</v>
      </c>
      <c r="M65" s="31"/>
      <c r="N65" s="27" t="s">
        <v>76</v>
      </c>
      <c r="P65" s="32"/>
      <c r="Q65" s="25"/>
      <c r="R65" s="27"/>
      <c r="S65" s="27"/>
      <c r="T65" s="28"/>
      <c r="U65" s="27"/>
      <c r="V65" s="27"/>
      <c r="W65" s="28"/>
      <c r="X65" s="33"/>
      <c r="Y65" s="32"/>
      <c r="Z65" s="25"/>
      <c r="AA65" s="27"/>
      <c r="AB65" s="28"/>
      <c r="AC65" s="27"/>
      <c r="AD65" s="27"/>
      <c r="AE65" s="33"/>
      <c r="AG65" s="25"/>
      <c r="AH65" s="34"/>
      <c r="AI65" s="27"/>
      <c r="AJ65" s="27"/>
      <c r="AK65" s="27"/>
      <c r="AL65" s="25"/>
      <c r="AM65" s="34"/>
      <c r="AN65" s="27"/>
      <c r="AO65" s="27"/>
      <c r="AP65" s="36"/>
      <c r="AQ65" s="37"/>
      <c r="AR65" s="32"/>
      <c r="AS65" s="25" t="s">
        <v>79</v>
      </c>
      <c r="AT65" s="27" t="s">
        <v>52</v>
      </c>
      <c r="AU65" s="27"/>
      <c r="AW65" s="25"/>
      <c r="AX65" s="25"/>
      <c r="AY65" s="25"/>
      <c r="AZ65" s="32"/>
      <c r="BA65" s="41"/>
      <c r="BS65">
        <f>[1]Sheet1!B29</f>
        <v>4.4210526315789478</v>
      </c>
    </row>
    <row r="66" spans="1:71" x14ac:dyDescent="0.2">
      <c r="A66" s="25">
        <v>42</v>
      </c>
      <c r="B66" s="26"/>
      <c r="C66" s="98">
        <v>44962</v>
      </c>
      <c r="D66" s="25"/>
      <c r="E66" s="28"/>
      <c r="F66" s="27"/>
      <c r="G66" s="28"/>
      <c r="H66" s="27"/>
      <c r="I66" s="28"/>
      <c r="J66" s="27">
        <v>6</v>
      </c>
      <c r="K66" s="29" t="s">
        <v>35</v>
      </c>
      <c r="L66" s="39"/>
      <c r="M66" s="31"/>
      <c r="N66" s="27" t="s">
        <v>76</v>
      </c>
      <c r="P66" s="32"/>
      <c r="Q66" s="25"/>
      <c r="R66" s="27"/>
      <c r="S66" s="27"/>
      <c r="T66" s="28"/>
      <c r="U66" s="27"/>
      <c r="V66" s="27"/>
      <c r="W66" s="28"/>
      <c r="X66" s="33"/>
      <c r="Y66" s="32"/>
      <c r="Z66" s="25"/>
      <c r="AA66" s="27"/>
      <c r="AB66" s="28"/>
      <c r="AC66" s="27"/>
      <c r="AD66" s="27"/>
      <c r="AE66" s="33"/>
      <c r="AG66" s="25"/>
      <c r="AH66" s="34"/>
      <c r="AI66" s="27"/>
      <c r="AJ66" s="27"/>
      <c r="AK66" s="27"/>
      <c r="AL66" s="25"/>
      <c r="AM66" s="34"/>
      <c r="AN66" s="27"/>
      <c r="AO66" s="27"/>
      <c r="AP66" s="36"/>
      <c r="AQ66" s="37"/>
      <c r="AR66" s="32"/>
      <c r="AS66" s="25" t="s">
        <v>79</v>
      </c>
      <c r="AT66" s="27" t="s">
        <v>52</v>
      </c>
      <c r="AU66" s="27"/>
      <c r="AW66" s="25"/>
      <c r="AX66" s="25"/>
      <c r="AY66" s="25"/>
      <c r="AZ66" s="32"/>
      <c r="BA66" s="41">
        <v>0</v>
      </c>
      <c r="BS66">
        <f>[1]Sheet1!B30</f>
        <v>4.7027027027027026</v>
      </c>
    </row>
    <row r="67" spans="1:71" ht="16" thickBot="1" x14ac:dyDescent="0.25">
      <c r="A67" s="25">
        <v>43</v>
      </c>
      <c r="B67" s="26" t="s">
        <v>117</v>
      </c>
      <c r="C67" s="98">
        <v>44963</v>
      </c>
      <c r="D67" s="25"/>
      <c r="E67" s="28"/>
      <c r="F67" s="27"/>
      <c r="G67" s="28"/>
      <c r="H67" s="27"/>
      <c r="I67" s="28"/>
      <c r="J67" s="27">
        <v>6</v>
      </c>
      <c r="K67" s="29" t="s">
        <v>35</v>
      </c>
      <c r="L67" s="39"/>
      <c r="M67" s="31"/>
      <c r="N67" s="27" t="s">
        <v>76</v>
      </c>
      <c r="P67" s="32"/>
      <c r="Q67" s="25"/>
      <c r="R67" s="27"/>
      <c r="S67" s="27"/>
      <c r="T67" s="28"/>
      <c r="U67" s="27"/>
      <c r="V67" s="27"/>
      <c r="W67" s="28"/>
      <c r="X67" s="33"/>
      <c r="Y67" s="32"/>
      <c r="Z67" s="25"/>
      <c r="AA67" s="27"/>
      <c r="AB67" s="28"/>
      <c r="AC67" s="27"/>
      <c r="AD67" s="27"/>
      <c r="AE67" s="33"/>
      <c r="AG67" s="25"/>
      <c r="AH67" s="34"/>
      <c r="AI67" s="27">
        <v>0.05</v>
      </c>
      <c r="AJ67" s="27">
        <v>0.05</v>
      </c>
      <c r="AK67" s="27">
        <v>0.05</v>
      </c>
      <c r="AL67" s="25"/>
      <c r="AM67" s="34"/>
      <c r="AN67" s="27">
        <v>0.1</v>
      </c>
      <c r="AO67" s="27">
        <v>0.1</v>
      </c>
      <c r="AP67" s="36">
        <v>0.1</v>
      </c>
      <c r="AQ67" s="37"/>
      <c r="AR67" s="32"/>
      <c r="AS67" s="25" t="s">
        <v>79</v>
      </c>
      <c r="AT67" s="27" t="s">
        <v>52</v>
      </c>
      <c r="AU67" s="27"/>
      <c r="AW67" s="25"/>
      <c r="AX67" s="25"/>
      <c r="AY67" s="25"/>
      <c r="AZ67" s="32"/>
      <c r="BA67" s="41">
        <v>1</v>
      </c>
      <c r="BS67">
        <f>[1]Sheet1!B31</f>
        <v>3.5526315789473686</v>
      </c>
    </row>
    <row r="68" spans="1:71" ht="16" thickBot="1" x14ac:dyDescent="0.25">
      <c r="A68" s="25">
        <v>44</v>
      </c>
      <c r="B68" s="26" t="s">
        <v>117</v>
      </c>
      <c r="C68" s="98">
        <v>44964</v>
      </c>
      <c r="D68" s="25"/>
      <c r="E68" s="28"/>
      <c r="F68" s="27"/>
      <c r="G68" s="28"/>
      <c r="H68" s="27"/>
      <c r="I68" s="28"/>
      <c r="J68" s="27">
        <v>6</v>
      </c>
      <c r="K68" s="29" t="s">
        <v>35</v>
      </c>
      <c r="L68" s="39"/>
      <c r="M68" s="31"/>
      <c r="N68" s="27" t="s">
        <v>76</v>
      </c>
      <c r="P68" s="32"/>
      <c r="Q68" s="27"/>
      <c r="R68" s="27"/>
      <c r="S68" s="27"/>
      <c r="T68" s="28"/>
      <c r="U68" s="27"/>
      <c r="V68" s="27"/>
      <c r="W68" s="28"/>
      <c r="X68" s="33"/>
      <c r="Y68" s="32"/>
      <c r="Z68" s="59"/>
      <c r="AA68" s="60"/>
      <c r="AB68" s="61"/>
      <c r="AC68" s="27"/>
      <c r="AD68" s="27"/>
      <c r="AE68" s="33"/>
      <c r="AG68" s="25"/>
      <c r="AH68" s="34"/>
      <c r="AI68" s="27">
        <v>0.05</v>
      </c>
      <c r="AJ68" s="27">
        <v>0.05</v>
      </c>
      <c r="AK68" s="27">
        <v>0.05</v>
      </c>
      <c r="AL68" s="25"/>
      <c r="AM68" s="34"/>
      <c r="AN68" s="27">
        <v>0.1</v>
      </c>
      <c r="AO68" s="27">
        <v>0.1</v>
      </c>
      <c r="AP68" s="36">
        <v>0.1</v>
      </c>
      <c r="AQ68" s="37"/>
      <c r="AR68" s="32"/>
      <c r="AS68" s="25" t="s">
        <v>79</v>
      </c>
      <c r="AT68" s="27" t="s">
        <v>52</v>
      </c>
      <c r="AU68" s="58" t="s">
        <v>81</v>
      </c>
      <c r="AW68" s="25"/>
      <c r="AX68" s="25"/>
      <c r="AY68" s="25"/>
      <c r="AZ68" s="32"/>
      <c r="BA68" s="41">
        <v>2</v>
      </c>
      <c r="BS68">
        <f>[1]Sheet1!B32</f>
        <v>2.8857142857142857</v>
      </c>
    </row>
    <row r="69" spans="1:71" x14ac:dyDescent="0.2">
      <c r="A69" s="25">
        <v>45</v>
      </c>
      <c r="B69" s="26" t="s">
        <v>117</v>
      </c>
      <c r="C69" s="98">
        <v>44965</v>
      </c>
      <c r="D69" s="25"/>
      <c r="E69" s="28"/>
      <c r="F69" s="27"/>
      <c r="G69" s="28"/>
      <c r="H69" s="27"/>
      <c r="I69" s="28"/>
      <c r="J69" s="27">
        <v>6</v>
      </c>
      <c r="K69" s="29" t="s">
        <v>35</v>
      </c>
      <c r="L69" s="39"/>
      <c r="M69" s="31"/>
      <c r="N69" s="27" t="s">
        <v>76</v>
      </c>
      <c r="P69" s="32"/>
      <c r="Q69" s="25"/>
      <c r="R69" s="27"/>
      <c r="S69" s="27"/>
      <c r="T69" s="28"/>
      <c r="U69" s="27"/>
      <c r="V69" s="27"/>
      <c r="W69" s="28"/>
      <c r="X69" s="33"/>
      <c r="Y69" s="32"/>
      <c r="Z69" s="25"/>
      <c r="AA69" s="27"/>
      <c r="AB69" s="28"/>
      <c r="AC69" s="27"/>
      <c r="AD69" s="27"/>
      <c r="AE69" s="33"/>
      <c r="AG69" s="25"/>
      <c r="AH69" s="34"/>
      <c r="AI69" s="27">
        <v>0.05</v>
      </c>
      <c r="AJ69" s="27">
        <v>0.05</v>
      </c>
      <c r="AK69" s="27">
        <v>0.05</v>
      </c>
      <c r="AL69" s="25"/>
      <c r="AM69" s="34"/>
      <c r="AN69" s="27">
        <v>0.1</v>
      </c>
      <c r="AO69" s="27">
        <v>0.1</v>
      </c>
      <c r="AP69" s="36">
        <v>0.1</v>
      </c>
      <c r="AQ69" s="37"/>
      <c r="AR69" s="32"/>
      <c r="AS69" s="25" t="s">
        <v>82</v>
      </c>
      <c r="AT69" s="27" t="s">
        <v>52</v>
      </c>
      <c r="AW69" s="25"/>
      <c r="AX69" s="25"/>
      <c r="AY69" s="25"/>
      <c r="AZ69" s="32"/>
      <c r="BA69" s="41">
        <v>3</v>
      </c>
      <c r="BS69">
        <f>[1]Sheet1!B33</f>
        <v>1.8888888888888888</v>
      </c>
    </row>
    <row r="70" spans="1:71" x14ac:dyDescent="0.2">
      <c r="A70" s="25">
        <v>46</v>
      </c>
      <c r="B70" s="26" t="s">
        <v>140</v>
      </c>
      <c r="C70" s="98">
        <v>44966</v>
      </c>
      <c r="D70" s="25"/>
      <c r="E70" s="28"/>
      <c r="F70" s="27"/>
      <c r="G70" s="28"/>
      <c r="H70" s="27"/>
      <c r="I70" s="28"/>
      <c r="J70" s="27">
        <v>6</v>
      </c>
      <c r="K70" s="29" t="s">
        <v>35</v>
      </c>
      <c r="L70" s="39"/>
      <c r="M70" s="31"/>
      <c r="N70" s="27" t="s">
        <v>76</v>
      </c>
      <c r="P70" s="32"/>
      <c r="Q70" s="25"/>
      <c r="R70" s="27"/>
      <c r="S70" s="27"/>
      <c r="T70" s="28"/>
      <c r="U70" s="27"/>
      <c r="V70" s="27"/>
      <c r="W70" s="28"/>
      <c r="X70" s="33"/>
      <c r="Y70" s="32"/>
      <c r="Z70" s="25"/>
      <c r="AA70" s="27"/>
      <c r="AB70" s="28"/>
      <c r="AC70" s="27"/>
      <c r="AD70" s="27"/>
      <c r="AE70" s="33"/>
      <c r="AG70" s="25"/>
      <c r="AH70" s="34"/>
      <c r="AI70" s="27"/>
      <c r="AJ70" s="27"/>
      <c r="AK70" s="27"/>
      <c r="AL70" s="25"/>
      <c r="AM70" s="34"/>
      <c r="AN70" s="27"/>
      <c r="AO70" s="27"/>
      <c r="AP70" s="36"/>
      <c r="AQ70" s="37"/>
      <c r="AR70" s="32"/>
      <c r="AS70" s="25" t="s">
        <v>82</v>
      </c>
      <c r="AT70" s="27" t="s">
        <v>52</v>
      </c>
      <c r="AU70" s="27"/>
      <c r="AW70" s="25"/>
      <c r="AX70" s="25"/>
      <c r="AY70" s="25"/>
      <c r="AZ70" s="32"/>
      <c r="BA70" s="41"/>
      <c r="BS70">
        <f>[1]Sheet1!B34</f>
        <v>1.8</v>
      </c>
    </row>
    <row r="71" spans="1:71" x14ac:dyDescent="0.2">
      <c r="A71" s="25">
        <v>47</v>
      </c>
      <c r="B71" s="26"/>
      <c r="C71" s="98">
        <v>44967</v>
      </c>
      <c r="D71" s="25"/>
      <c r="E71" s="28"/>
      <c r="F71" s="27"/>
      <c r="G71" s="28"/>
      <c r="H71" s="27"/>
      <c r="I71" s="28"/>
      <c r="J71" s="27">
        <v>6</v>
      </c>
      <c r="K71" s="29" t="s">
        <v>35</v>
      </c>
      <c r="L71" s="39"/>
      <c r="M71" s="31"/>
      <c r="N71" s="27" t="s">
        <v>76</v>
      </c>
      <c r="P71" s="32"/>
      <c r="Q71" s="25"/>
      <c r="R71" s="27"/>
      <c r="S71" s="27"/>
      <c r="T71" s="28"/>
      <c r="U71" s="27"/>
      <c r="V71" s="27"/>
      <c r="W71" s="28"/>
      <c r="X71" s="33"/>
      <c r="Y71" s="32"/>
      <c r="Z71" s="25"/>
      <c r="AA71" s="27"/>
      <c r="AB71" s="28"/>
      <c r="AC71" s="27"/>
      <c r="AD71" s="27"/>
      <c r="AE71" s="33"/>
      <c r="AG71" s="25"/>
      <c r="AH71" s="34"/>
      <c r="AI71" s="27">
        <v>0.1</v>
      </c>
      <c r="AJ71" s="27">
        <v>0.1</v>
      </c>
      <c r="AK71" s="27">
        <v>0.1</v>
      </c>
      <c r="AL71" s="25"/>
      <c r="AM71" s="34"/>
      <c r="AN71" s="27">
        <v>0.1</v>
      </c>
      <c r="AO71" s="27">
        <v>0.1</v>
      </c>
      <c r="AP71" s="36">
        <v>0.1</v>
      </c>
      <c r="AQ71" s="37"/>
      <c r="AR71" s="32"/>
      <c r="AS71" s="25" t="s">
        <v>82</v>
      </c>
      <c r="AT71" s="27" t="s">
        <v>52</v>
      </c>
      <c r="AU71" s="27"/>
      <c r="AW71" s="25"/>
      <c r="AX71" s="25"/>
      <c r="AY71" s="25"/>
      <c r="AZ71" s="32"/>
      <c r="BA71" s="41"/>
      <c r="BS71">
        <f>[1]Sheet1!B35</f>
        <v>1.4722222222222223</v>
      </c>
    </row>
    <row r="72" spans="1:71" x14ac:dyDescent="0.2">
      <c r="A72" s="25">
        <v>48</v>
      </c>
      <c r="B72" s="26" t="s">
        <v>140</v>
      </c>
      <c r="C72" s="98">
        <v>44968</v>
      </c>
      <c r="D72" s="25"/>
      <c r="E72" s="28"/>
      <c r="F72" s="27"/>
      <c r="G72" s="28"/>
      <c r="H72" s="27"/>
      <c r="I72" s="28"/>
      <c r="J72" s="27">
        <v>6</v>
      </c>
      <c r="K72" s="29" t="s">
        <v>35</v>
      </c>
      <c r="M72" s="31"/>
      <c r="N72" s="27" t="s">
        <v>76</v>
      </c>
      <c r="P72" s="32"/>
      <c r="Q72" s="25"/>
      <c r="R72" s="27"/>
      <c r="S72" s="27"/>
      <c r="T72" s="28"/>
      <c r="U72" s="27"/>
      <c r="V72" s="27"/>
      <c r="W72" s="28"/>
      <c r="X72" s="33"/>
      <c r="Y72" s="32"/>
      <c r="Z72" s="25"/>
      <c r="AA72" s="27"/>
      <c r="AB72" s="28"/>
      <c r="AC72" s="27"/>
      <c r="AD72" s="27"/>
      <c r="AE72" s="33"/>
      <c r="AG72" s="25"/>
      <c r="AH72" s="34"/>
      <c r="AI72" s="27">
        <v>0.05</v>
      </c>
      <c r="AJ72" s="27">
        <v>0.05</v>
      </c>
      <c r="AK72" s="27">
        <v>0.05</v>
      </c>
      <c r="AL72" s="25"/>
      <c r="AM72" s="34"/>
      <c r="AN72" s="27">
        <v>0.1</v>
      </c>
      <c r="AO72" s="27">
        <v>0.1</v>
      </c>
      <c r="AP72" s="36">
        <v>0.1</v>
      </c>
      <c r="AQ72" s="37"/>
      <c r="AR72" s="32"/>
      <c r="AS72" s="25" t="s">
        <v>82</v>
      </c>
      <c r="AT72" s="27" t="s">
        <v>52</v>
      </c>
      <c r="AU72" s="27"/>
      <c r="AW72" s="25"/>
      <c r="AX72" s="25"/>
      <c r="AY72" s="25"/>
      <c r="AZ72" s="32"/>
      <c r="BA72" s="41">
        <v>0</v>
      </c>
      <c r="BS72">
        <f>[1]Sheet1!B36</f>
        <v>0.83333333333333337</v>
      </c>
    </row>
    <row r="73" spans="1:71" ht="16" thickBot="1" x14ac:dyDescent="0.25">
      <c r="A73" s="25">
        <v>49</v>
      </c>
      <c r="B73" s="26" t="s">
        <v>117</v>
      </c>
      <c r="C73" s="98">
        <v>44969</v>
      </c>
      <c r="D73" s="25"/>
      <c r="E73" s="28"/>
      <c r="F73" s="27"/>
      <c r="G73" s="28"/>
      <c r="H73" s="27"/>
      <c r="I73" s="28"/>
      <c r="J73" s="27">
        <v>6</v>
      </c>
      <c r="K73" s="29" t="s">
        <v>35</v>
      </c>
      <c r="L73" s="39"/>
      <c r="M73" s="31"/>
      <c r="N73" s="27" t="s">
        <v>76</v>
      </c>
      <c r="P73" s="32"/>
      <c r="Q73" s="25"/>
      <c r="R73" s="27"/>
      <c r="S73" s="27"/>
      <c r="T73" s="28"/>
      <c r="U73" s="27"/>
      <c r="V73" s="27"/>
      <c r="W73" s="28"/>
      <c r="X73" s="33"/>
      <c r="Y73" s="32"/>
      <c r="Z73" s="25"/>
      <c r="AA73" s="27"/>
      <c r="AB73" s="28"/>
      <c r="AC73" s="27"/>
      <c r="AD73" s="27"/>
      <c r="AE73" s="33"/>
      <c r="AG73" s="25"/>
      <c r="AH73" s="34"/>
      <c r="AI73" s="27">
        <v>0.05</v>
      </c>
      <c r="AJ73" s="27">
        <v>0.05</v>
      </c>
      <c r="AK73" s="27">
        <v>0.05</v>
      </c>
      <c r="AL73" s="25"/>
      <c r="AM73" s="34"/>
      <c r="AN73" s="27">
        <v>0.1</v>
      </c>
      <c r="AO73" s="27">
        <v>0.1</v>
      </c>
      <c r="AP73" s="36">
        <v>0.1</v>
      </c>
      <c r="AQ73" s="37"/>
      <c r="AR73" s="32"/>
      <c r="AS73" s="25" t="s">
        <v>82</v>
      </c>
      <c r="AT73" s="27" t="s">
        <v>52</v>
      </c>
      <c r="AU73" s="27"/>
      <c r="AW73" s="25"/>
      <c r="AX73" s="25"/>
      <c r="AY73" s="25"/>
      <c r="AZ73" s="32"/>
      <c r="BA73" s="41">
        <v>2</v>
      </c>
      <c r="BS73">
        <f>[1]Sheet1!B37</f>
        <v>1.0555555555555556</v>
      </c>
    </row>
    <row r="74" spans="1:71" ht="16" thickBot="1" x14ac:dyDescent="0.25">
      <c r="A74" s="25">
        <v>50</v>
      </c>
      <c r="B74" s="26" t="s">
        <v>140</v>
      </c>
      <c r="C74" s="98">
        <v>44970</v>
      </c>
      <c r="D74" s="25"/>
      <c r="E74" s="28"/>
      <c r="F74" s="27"/>
      <c r="G74" s="28"/>
      <c r="H74" s="27"/>
      <c r="I74" s="28"/>
      <c r="J74" s="27">
        <v>6</v>
      </c>
      <c r="K74" s="29" t="s">
        <v>35</v>
      </c>
      <c r="L74" s="44" t="s">
        <v>83</v>
      </c>
      <c r="M74" s="31"/>
      <c r="N74" s="27" t="s">
        <v>76</v>
      </c>
      <c r="O74" s="45" t="s">
        <v>84</v>
      </c>
      <c r="P74" s="46" t="s">
        <v>61</v>
      </c>
      <c r="Q74" s="25"/>
      <c r="R74" s="27"/>
      <c r="S74" s="27"/>
      <c r="T74" s="28"/>
      <c r="U74" s="27"/>
      <c r="V74" s="27"/>
      <c r="W74" s="28"/>
      <c r="X74" s="33"/>
      <c r="Y74" s="32"/>
      <c r="Z74" s="25"/>
      <c r="AA74" s="27"/>
      <c r="AB74" s="28"/>
      <c r="AC74" s="27"/>
      <c r="AD74" s="27"/>
      <c r="AE74" s="33"/>
      <c r="AG74" s="25"/>
      <c r="AH74" s="34"/>
      <c r="AI74" s="27">
        <v>0.05</v>
      </c>
      <c r="AJ74" s="27">
        <v>0.05</v>
      </c>
      <c r="AK74" s="27">
        <v>0.05</v>
      </c>
      <c r="AL74" s="25"/>
      <c r="AM74" s="34"/>
      <c r="AN74" s="27">
        <v>0.1</v>
      </c>
      <c r="AO74" s="27">
        <v>0.1</v>
      </c>
      <c r="AP74" s="36">
        <v>0.1</v>
      </c>
      <c r="AQ74" s="37"/>
      <c r="AR74" s="32"/>
      <c r="AS74" s="25" t="s">
        <v>86</v>
      </c>
      <c r="AT74" s="27" t="s">
        <v>87</v>
      </c>
      <c r="AU74" s="58" t="s">
        <v>88</v>
      </c>
      <c r="AW74" s="25"/>
      <c r="AX74" s="25"/>
      <c r="AY74" s="25"/>
      <c r="AZ74" s="32"/>
      <c r="BA74" s="41"/>
      <c r="BS74">
        <f>[1]Sheet1!B38</f>
        <v>0.94117647058823528</v>
      </c>
    </row>
    <row r="75" spans="1:71" ht="16" thickBot="1" x14ac:dyDescent="0.25">
      <c r="A75" s="25">
        <v>51</v>
      </c>
      <c r="B75" s="26" t="s">
        <v>140</v>
      </c>
      <c r="C75" s="98">
        <v>44971</v>
      </c>
      <c r="D75" s="25"/>
      <c r="E75" s="28"/>
      <c r="F75" s="27"/>
      <c r="G75" s="28"/>
      <c r="H75" s="27"/>
      <c r="I75" s="28"/>
      <c r="J75" s="27">
        <v>10</v>
      </c>
      <c r="K75" s="29" t="s">
        <v>35</v>
      </c>
      <c r="L75" s="88" t="s">
        <v>89</v>
      </c>
      <c r="M75" s="31"/>
      <c r="N75" s="27"/>
      <c r="P75" s="32"/>
      <c r="Q75" s="27"/>
      <c r="R75" s="27"/>
      <c r="S75" s="27"/>
      <c r="T75" s="28"/>
      <c r="U75" s="27"/>
      <c r="V75" s="27"/>
      <c r="W75" s="28"/>
      <c r="X75" s="33"/>
      <c r="Y75" s="32"/>
      <c r="Z75" s="25"/>
      <c r="AA75" s="27"/>
      <c r="AB75" s="28"/>
      <c r="AC75" s="27"/>
      <c r="AD75" s="27"/>
      <c r="AE75" s="33"/>
      <c r="AG75" s="25"/>
      <c r="AH75" s="34"/>
      <c r="AI75" s="27">
        <v>0.05</v>
      </c>
      <c r="AJ75" s="27">
        <v>0.05</v>
      </c>
      <c r="AK75" s="27">
        <v>0.05</v>
      </c>
      <c r="AL75" s="25"/>
      <c r="AM75" s="34"/>
      <c r="AN75" s="27">
        <v>0.1</v>
      </c>
      <c r="AO75" s="27">
        <v>0.1</v>
      </c>
      <c r="AP75" s="36">
        <v>0.1</v>
      </c>
      <c r="AQ75" s="37"/>
      <c r="AR75" s="32"/>
      <c r="AS75" s="25" t="s">
        <v>86</v>
      </c>
      <c r="AT75" s="27" t="s">
        <v>87</v>
      </c>
      <c r="AU75" s="27"/>
      <c r="AW75" s="25"/>
      <c r="AX75" s="25"/>
      <c r="AY75" s="25"/>
      <c r="AZ75" s="32"/>
      <c r="BA75" s="41"/>
    </row>
    <row r="76" spans="1:71" ht="16" thickBot="1" x14ac:dyDescent="0.25">
      <c r="A76" s="25">
        <v>52</v>
      </c>
      <c r="B76" s="26" t="s">
        <v>117</v>
      </c>
      <c r="C76" s="98">
        <v>44972</v>
      </c>
      <c r="D76" s="25"/>
      <c r="E76" s="28"/>
      <c r="F76" s="27"/>
      <c r="G76" s="28"/>
      <c r="H76" s="27"/>
      <c r="I76" s="28"/>
      <c r="J76" s="27">
        <v>10</v>
      </c>
      <c r="K76" s="29" t="s">
        <v>35</v>
      </c>
      <c r="L76" s="39"/>
      <c r="M76" s="31"/>
      <c r="N76" s="27"/>
      <c r="P76" s="32"/>
      <c r="Q76" s="25"/>
      <c r="R76" s="27"/>
      <c r="S76" s="27"/>
      <c r="T76" s="28"/>
      <c r="U76" s="27"/>
      <c r="V76" s="27"/>
      <c r="W76" s="28"/>
      <c r="X76" s="33"/>
      <c r="Y76" s="32"/>
      <c r="Z76" s="25"/>
      <c r="AA76" s="27"/>
      <c r="AB76" s="28"/>
      <c r="AC76" s="27"/>
      <c r="AD76" s="27"/>
      <c r="AE76" s="33"/>
      <c r="AG76" s="25"/>
      <c r="AH76" s="34"/>
      <c r="AI76" s="27"/>
      <c r="AJ76" s="27"/>
      <c r="AK76" s="27"/>
      <c r="AL76" s="25"/>
      <c r="AM76" s="34"/>
      <c r="AN76" s="27"/>
      <c r="AO76" s="27"/>
      <c r="AP76" s="36"/>
      <c r="AQ76" s="37"/>
      <c r="AR76" s="32"/>
      <c r="AS76" s="25" t="s">
        <v>86</v>
      </c>
      <c r="AT76" s="27" t="s">
        <v>87</v>
      </c>
      <c r="AW76" s="25" t="s">
        <v>90</v>
      </c>
      <c r="AX76" s="27" t="s">
        <v>91</v>
      </c>
      <c r="AY76" s="89" t="s">
        <v>92</v>
      </c>
      <c r="AZ76" s="32"/>
      <c r="BA76" s="41"/>
    </row>
    <row r="77" spans="1:71" x14ac:dyDescent="0.2">
      <c r="A77" s="25">
        <v>53</v>
      </c>
      <c r="B77" s="26" t="s">
        <v>117</v>
      </c>
      <c r="C77" s="98">
        <v>44973</v>
      </c>
      <c r="D77" s="25"/>
      <c r="E77" s="28"/>
      <c r="F77" s="27"/>
      <c r="G77" s="28"/>
      <c r="H77" s="27"/>
      <c r="I77" s="28"/>
      <c r="J77" s="27">
        <v>10</v>
      </c>
      <c r="K77" s="29" t="s">
        <v>35</v>
      </c>
      <c r="L77" s="39"/>
      <c r="M77" s="31"/>
      <c r="N77" s="27"/>
      <c r="P77" s="32"/>
      <c r="Q77" s="25"/>
      <c r="R77" s="27"/>
      <c r="S77" s="27"/>
      <c r="T77" s="28"/>
      <c r="U77" s="27"/>
      <c r="V77" s="27"/>
      <c r="W77" s="28"/>
      <c r="X77" s="33"/>
      <c r="Y77" s="32"/>
      <c r="Z77" s="25"/>
      <c r="AA77" s="27"/>
      <c r="AB77" s="28"/>
      <c r="AC77" s="27"/>
      <c r="AD77" s="27"/>
      <c r="AE77" s="33"/>
      <c r="AG77" s="25"/>
      <c r="AH77" s="34"/>
      <c r="AI77" s="27"/>
      <c r="AJ77" s="27"/>
      <c r="AK77" s="27"/>
      <c r="AL77" s="25"/>
      <c r="AM77" s="34"/>
      <c r="AN77" s="27"/>
      <c r="AO77" s="27"/>
      <c r="AP77" s="36"/>
      <c r="AQ77" s="37"/>
      <c r="AR77" s="32"/>
      <c r="AS77" s="25" t="s">
        <v>86</v>
      </c>
      <c r="AT77" s="27" t="s">
        <v>87</v>
      </c>
      <c r="AU77" s="27"/>
      <c r="AW77" s="25" t="s">
        <v>90</v>
      </c>
      <c r="AX77" s="27" t="s">
        <v>91</v>
      </c>
      <c r="AY77" s="27"/>
      <c r="AZ77" s="32"/>
      <c r="BA77" s="41"/>
    </row>
    <row r="78" spans="1:71" ht="16" thickBot="1" x14ac:dyDescent="0.25">
      <c r="A78" s="25">
        <v>54</v>
      </c>
      <c r="B78" s="26" t="s">
        <v>117</v>
      </c>
      <c r="C78" s="98">
        <v>44974</v>
      </c>
      <c r="D78" s="25"/>
      <c r="E78" s="28"/>
      <c r="F78" s="27"/>
      <c r="G78" s="28"/>
      <c r="H78" s="27"/>
      <c r="I78" s="28"/>
      <c r="J78" s="27">
        <v>10</v>
      </c>
      <c r="K78" s="29" t="s">
        <v>35</v>
      </c>
      <c r="L78" s="39"/>
      <c r="M78" s="31"/>
      <c r="N78" s="27"/>
      <c r="P78" s="32"/>
      <c r="Q78" s="25"/>
      <c r="R78" s="27"/>
      <c r="S78" s="27"/>
      <c r="T78" s="28"/>
      <c r="U78" s="27"/>
      <c r="V78" s="27"/>
      <c r="W78" s="28"/>
      <c r="X78" s="33"/>
      <c r="Y78" s="32"/>
      <c r="Z78" s="25"/>
      <c r="AA78" s="27"/>
      <c r="AB78" s="28"/>
      <c r="AC78" s="27"/>
      <c r="AD78" s="27"/>
      <c r="AE78" s="33"/>
      <c r="AG78" s="25"/>
      <c r="AH78" s="34"/>
      <c r="AI78" s="27"/>
      <c r="AJ78" s="27"/>
      <c r="AK78" s="27"/>
      <c r="AL78" s="25"/>
      <c r="AM78" s="34"/>
      <c r="AN78" s="27"/>
      <c r="AO78" s="27"/>
      <c r="AP78" s="36"/>
      <c r="AQ78" s="37"/>
      <c r="AR78" s="32"/>
      <c r="AS78" s="25" t="s">
        <v>86</v>
      </c>
      <c r="AT78" s="27" t="s">
        <v>87</v>
      </c>
      <c r="AU78" s="27"/>
      <c r="AW78" s="25" t="s">
        <v>90</v>
      </c>
      <c r="AX78" s="27" t="s">
        <v>91</v>
      </c>
      <c r="AY78" s="27"/>
      <c r="AZ78" s="32"/>
      <c r="BA78" s="41"/>
    </row>
    <row r="79" spans="1:71" ht="16" thickBot="1" x14ac:dyDescent="0.25">
      <c r="A79" s="25">
        <v>55</v>
      </c>
      <c r="B79" s="26" t="s">
        <v>117</v>
      </c>
      <c r="C79" s="98">
        <v>44975</v>
      </c>
      <c r="D79" s="25"/>
      <c r="E79" s="28"/>
      <c r="F79" s="27"/>
      <c r="G79" s="28"/>
      <c r="H79" s="27"/>
      <c r="I79" s="28"/>
      <c r="J79" s="27">
        <v>10</v>
      </c>
      <c r="K79" s="29" t="s">
        <v>35</v>
      </c>
      <c r="L79" s="39"/>
      <c r="M79" s="31"/>
      <c r="N79" s="27"/>
      <c r="P79" s="32"/>
      <c r="Q79" s="25"/>
      <c r="R79" s="27"/>
      <c r="S79" s="27"/>
      <c r="T79" s="28"/>
      <c r="U79" s="27"/>
      <c r="V79" s="27"/>
      <c r="W79" s="28"/>
      <c r="X79" s="33"/>
      <c r="Y79" s="32"/>
      <c r="Z79" s="25"/>
      <c r="AA79" s="27"/>
      <c r="AB79" s="28"/>
      <c r="AC79" s="27"/>
      <c r="AD79" s="27"/>
      <c r="AE79" s="33"/>
      <c r="AG79" s="25"/>
      <c r="AH79" s="34"/>
      <c r="AI79" s="27"/>
      <c r="AJ79" s="27"/>
      <c r="AK79" s="27"/>
      <c r="AL79" s="25"/>
      <c r="AM79" s="34"/>
      <c r="AN79" s="27"/>
      <c r="AO79" s="27"/>
      <c r="AP79" s="36"/>
      <c r="AQ79" s="82" t="s">
        <v>93</v>
      </c>
      <c r="AR79" s="32"/>
      <c r="AS79" s="25" t="s">
        <v>86</v>
      </c>
      <c r="AT79" s="27" t="s">
        <v>87</v>
      </c>
      <c r="AW79" s="25" t="s">
        <v>90</v>
      </c>
      <c r="AX79" s="27" t="s">
        <v>91</v>
      </c>
      <c r="AY79" s="27"/>
      <c r="AZ79" s="32"/>
      <c r="BA79" s="41"/>
    </row>
    <row r="80" spans="1:71" ht="16" thickBot="1" x14ac:dyDescent="0.25">
      <c r="A80" s="25">
        <v>56</v>
      </c>
      <c r="B80" s="26" t="s">
        <v>117</v>
      </c>
      <c r="C80" s="98">
        <v>44976</v>
      </c>
      <c r="D80" s="25"/>
      <c r="E80" s="28"/>
      <c r="F80" s="27"/>
      <c r="G80" s="28"/>
      <c r="H80" s="27"/>
      <c r="I80" s="28"/>
      <c r="J80" s="27">
        <v>10</v>
      </c>
      <c r="K80" s="29" t="s">
        <v>35</v>
      </c>
      <c r="L80" s="39"/>
      <c r="M80" s="31"/>
      <c r="N80" s="27"/>
      <c r="P80" s="32"/>
      <c r="Q80" s="25"/>
      <c r="R80" s="27"/>
      <c r="S80" s="27"/>
      <c r="T80" s="28"/>
      <c r="U80" s="27"/>
      <c r="V80" s="27"/>
      <c r="W80" s="28"/>
      <c r="X80" s="33"/>
      <c r="Y80" s="32"/>
      <c r="Z80" s="25"/>
      <c r="AA80" s="27"/>
      <c r="AB80" s="28"/>
      <c r="AC80" s="27"/>
      <c r="AD80" s="27"/>
      <c r="AE80" s="33"/>
      <c r="AG80" s="25"/>
      <c r="AH80" s="34"/>
      <c r="AI80" s="27"/>
      <c r="AJ80" s="27"/>
      <c r="AK80" s="27"/>
      <c r="AL80" s="25"/>
      <c r="AM80" s="34"/>
      <c r="AN80" s="27"/>
      <c r="AO80" s="27"/>
      <c r="AP80" s="36"/>
      <c r="AQ80" s="37"/>
      <c r="AR80" s="32"/>
      <c r="AS80" s="25" t="s">
        <v>86</v>
      </c>
      <c r="AT80" s="27" t="s">
        <v>87</v>
      </c>
      <c r="AU80" s="27"/>
      <c r="AW80" s="25" t="s">
        <v>90</v>
      </c>
      <c r="AX80" s="27" t="s">
        <v>91</v>
      </c>
      <c r="AY80" s="27"/>
      <c r="AZ80" s="32"/>
      <c r="BA80" s="41"/>
    </row>
    <row r="81" spans="1:53" ht="16" thickBot="1" x14ac:dyDescent="0.25">
      <c r="A81" s="25">
        <v>57</v>
      </c>
      <c r="B81" s="26" t="s">
        <v>117</v>
      </c>
      <c r="C81" s="98">
        <v>44977</v>
      </c>
      <c r="D81" s="25"/>
      <c r="E81" s="28"/>
      <c r="F81" s="27"/>
      <c r="G81" s="28"/>
      <c r="H81" s="27"/>
      <c r="I81" s="28"/>
      <c r="J81" s="27">
        <v>10</v>
      </c>
      <c r="K81" s="29" t="s">
        <v>35</v>
      </c>
      <c r="L81" s="39"/>
      <c r="M81" s="31"/>
      <c r="N81" s="27"/>
      <c r="P81" s="32"/>
      <c r="Q81" s="25"/>
      <c r="R81" s="27"/>
      <c r="S81" s="27"/>
      <c r="T81" s="28"/>
      <c r="U81" s="27"/>
      <c r="V81" s="27"/>
      <c r="W81" s="28"/>
      <c r="X81" s="33"/>
      <c r="Y81" s="32"/>
      <c r="Z81" s="25"/>
      <c r="AA81" s="27"/>
      <c r="AB81" s="28"/>
      <c r="AC81" s="27"/>
      <c r="AD81" s="27"/>
      <c r="AE81" s="33"/>
      <c r="AG81" s="25"/>
      <c r="AH81" s="34"/>
      <c r="AI81" s="27">
        <v>0.05</v>
      </c>
      <c r="AJ81" s="27">
        <v>0.05</v>
      </c>
      <c r="AK81" s="27">
        <v>0.05</v>
      </c>
      <c r="AL81" s="25"/>
      <c r="AM81" s="34"/>
      <c r="AN81" s="27">
        <v>0.1</v>
      </c>
      <c r="AO81" s="27">
        <v>0.1</v>
      </c>
      <c r="AP81" s="36">
        <v>0.1</v>
      </c>
      <c r="AQ81" s="37"/>
      <c r="AR81" s="32"/>
      <c r="AS81" s="25" t="s">
        <v>86</v>
      </c>
      <c r="AT81" s="27" t="s">
        <v>87</v>
      </c>
      <c r="AU81" s="27"/>
      <c r="AW81" s="25" t="s">
        <v>90</v>
      </c>
      <c r="AX81" s="27" t="s">
        <v>91</v>
      </c>
      <c r="AY81" s="89" t="s">
        <v>94</v>
      </c>
      <c r="AZ81" s="32"/>
      <c r="BA81" s="41"/>
    </row>
    <row r="82" spans="1:53" x14ac:dyDescent="0.2">
      <c r="A82" s="25">
        <v>58</v>
      </c>
      <c r="B82" s="26" t="s">
        <v>117</v>
      </c>
      <c r="C82" s="98">
        <v>44978</v>
      </c>
      <c r="D82" s="25"/>
      <c r="E82" s="28"/>
      <c r="F82" s="27"/>
      <c r="G82" s="28"/>
      <c r="H82" s="27"/>
      <c r="I82" s="28"/>
      <c r="J82" s="27">
        <v>10</v>
      </c>
      <c r="K82" s="29" t="s">
        <v>35</v>
      </c>
      <c r="L82" s="39"/>
      <c r="M82" s="31"/>
      <c r="N82" s="27"/>
      <c r="P82" s="32"/>
      <c r="Q82" s="25"/>
      <c r="R82" s="27"/>
      <c r="S82" s="27"/>
      <c r="T82" s="28"/>
      <c r="U82" s="27"/>
      <c r="V82" s="27"/>
      <c r="W82" s="28"/>
      <c r="X82" s="33"/>
      <c r="Y82" s="32"/>
      <c r="Z82" s="25"/>
      <c r="AA82" s="27"/>
      <c r="AB82" s="28"/>
      <c r="AC82" s="27"/>
      <c r="AD82" s="27"/>
      <c r="AE82" s="33"/>
      <c r="AG82" s="25"/>
      <c r="AH82" s="34"/>
      <c r="AI82" s="27">
        <v>0.05</v>
      </c>
      <c r="AJ82" s="27">
        <v>0.05</v>
      </c>
      <c r="AK82" s="27">
        <v>0.05</v>
      </c>
      <c r="AL82" s="25"/>
      <c r="AM82" s="34"/>
      <c r="AN82" s="27">
        <v>0.1</v>
      </c>
      <c r="AO82" s="27">
        <v>0.1</v>
      </c>
      <c r="AP82" s="36">
        <v>0.1</v>
      </c>
      <c r="AQ82" s="37"/>
      <c r="AR82" s="32"/>
      <c r="AS82" s="25" t="s">
        <v>86</v>
      </c>
      <c r="AT82" s="27" t="s">
        <v>87</v>
      </c>
      <c r="AU82" s="27"/>
      <c r="AW82" s="25" t="s">
        <v>90</v>
      </c>
      <c r="AX82" s="27" t="s">
        <v>95</v>
      </c>
      <c r="AY82" s="27"/>
      <c r="AZ82" s="32"/>
      <c r="BA82" s="41"/>
    </row>
    <row r="83" spans="1:53" ht="16" thickBot="1" x14ac:dyDescent="0.25">
      <c r="A83" s="25">
        <v>59</v>
      </c>
      <c r="B83" s="26" t="s">
        <v>117</v>
      </c>
      <c r="C83" s="98">
        <v>44979</v>
      </c>
      <c r="D83" s="25"/>
      <c r="E83" s="28"/>
      <c r="F83" s="27"/>
      <c r="G83" s="28"/>
      <c r="H83" s="27"/>
      <c r="I83" s="28"/>
      <c r="J83" s="27">
        <v>10</v>
      </c>
      <c r="K83" s="29" t="s">
        <v>35</v>
      </c>
      <c r="L83" s="39"/>
      <c r="M83" s="31"/>
      <c r="N83" s="27"/>
      <c r="P83" s="32"/>
      <c r="Q83" s="25"/>
      <c r="R83" s="27"/>
      <c r="S83" s="27"/>
      <c r="T83" s="28"/>
      <c r="U83" s="27"/>
      <c r="V83" s="27"/>
      <c r="W83" s="28"/>
      <c r="X83" s="33"/>
      <c r="Y83" s="32"/>
      <c r="Z83" s="25"/>
      <c r="AA83" s="27"/>
      <c r="AB83" s="28"/>
      <c r="AC83" s="27"/>
      <c r="AD83" s="27"/>
      <c r="AE83" s="33"/>
      <c r="AG83" s="25"/>
      <c r="AH83" s="34"/>
      <c r="AI83" s="27">
        <v>0.5</v>
      </c>
      <c r="AJ83" s="27">
        <v>0.05</v>
      </c>
      <c r="AK83" s="27">
        <v>0.05</v>
      </c>
      <c r="AL83" s="25"/>
      <c r="AM83" s="34"/>
      <c r="AN83" s="27">
        <v>0.1</v>
      </c>
      <c r="AO83" s="27">
        <v>0.1</v>
      </c>
      <c r="AP83" s="36">
        <v>0.1</v>
      </c>
      <c r="AQ83" s="37"/>
      <c r="AR83" s="32"/>
      <c r="AS83" s="25" t="s">
        <v>86</v>
      </c>
      <c r="AT83" s="27" t="s">
        <v>87</v>
      </c>
      <c r="AU83" s="27"/>
      <c r="AW83" s="25" t="s">
        <v>90</v>
      </c>
      <c r="AX83" s="27" t="s">
        <v>95</v>
      </c>
      <c r="AY83" s="27"/>
      <c r="AZ83" s="32"/>
      <c r="BA83" s="41"/>
    </row>
    <row r="84" spans="1:53" ht="16" thickBot="1" x14ac:dyDescent="0.25">
      <c r="A84" s="25">
        <v>60</v>
      </c>
      <c r="B84" s="26" t="s">
        <v>117</v>
      </c>
      <c r="C84" s="98">
        <v>44980</v>
      </c>
      <c r="D84" s="25"/>
      <c r="E84" s="28"/>
      <c r="F84" s="27"/>
      <c r="G84" s="28"/>
      <c r="H84" s="27"/>
      <c r="I84" s="28"/>
      <c r="J84" s="27">
        <v>10</v>
      </c>
      <c r="K84" s="29" t="s">
        <v>35</v>
      </c>
      <c r="L84" s="39"/>
      <c r="M84" s="31"/>
      <c r="N84" s="27"/>
      <c r="P84" s="32"/>
      <c r="Q84" s="25"/>
      <c r="R84" s="27"/>
      <c r="S84" s="27"/>
      <c r="T84" s="28"/>
      <c r="U84" s="27"/>
      <c r="V84" s="27"/>
      <c r="W84" s="28"/>
      <c r="X84" s="33"/>
      <c r="Y84" s="32"/>
      <c r="Z84" s="25"/>
      <c r="AA84" s="27"/>
      <c r="AB84" s="28"/>
      <c r="AC84" s="27"/>
      <c r="AD84" s="27"/>
      <c r="AE84" s="33"/>
      <c r="AG84" s="25"/>
      <c r="AH84" s="34"/>
      <c r="AI84" s="27" t="s">
        <v>141</v>
      </c>
      <c r="AJ84" s="27">
        <v>0.05</v>
      </c>
      <c r="AK84" s="27">
        <v>0.05</v>
      </c>
      <c r="AL84" s="25"/>
      <c r="AM84" s="34"/>
      <c r="AN84" s="27">
        <v>0.1</v>
      </c>
      <c r="AO84" s="27">
        <v>0.1</v>
      </c>
      <c r="AP84" s="36">
        <v>0.1</v>
      </c>
      <c r="AQ84" s="37"/>
      <c r="AR84" s="32"/>
      <c r="AS84" s="25" t="s">
        <v>96</v>
      </c>
      <c r="AT84" s="27" t="s">
        <v>87</v>
      </c>
      <c r="AU84" s="58" t="s">
        <v>97</v>
      </c>
      <c r="AW84" s="25" t="s">
        <v>90</v>
      </c>
      <c r="AX84" s="27" t="s">
        <v>95</v>
      </c>
      <c r="AY84" s="27"/>
      <c r="AZ84" s="32"/>
      <c r="BA84" s="41"/>
    </row>
    <row r="85" spans="1:53" x14ac:dyDescent="0.2">
      <c r="A85" s="25">
        <v>61</v>
      </c>
      <c r="B85" s="26" t="s">
        <v>140</v>
      </c>
      <c r="C85" s="98">
        <v>44981</v>
      </c>
      <c r="D85" s="25"/>
      <c r="E85" s="28"/>
      <c r="F85" s="27"/>
      <c r="G85" s="28"/>
      <c r="H85" s="27"/>
      <c r="I85" s="28"/>
      <c r="J85" s="27">
        <v>10</v>
      </c>
      <c r="K85" s="29" t="s">
        <v>35</v>
      </c>
      <c r="L85" s="39"/>
      <c r="M85" s="31"/>
      <c r="N85" s="27"/>
      <c r="P85" s="32"/>
      <c r="Q85" s="25"/>
      <c r="R85" s="27"/>
      <c r="S85" s="27"/>
      <c r="T85" s="28"/>
      <c r="U85" s="27"/>
      <c r="V85" s="27"/>
      <c r="W85" s="28"/>
      <c r="X85" s="33"/>
      <c r="Y85" s="32"/>
      <c r="Z85" s="25"/>
      <c r="AA85" s="27"/>
      <c r="AB85" s="28"/>
      <c r="AC85" s="27"/>
      <c r="AD85" s="27"/>
      <c r="AE85" s="33"/>
      <c r="AG85" s="25"/>
      <c r="AH85" s="34"/>
      <c r="AI85" s="27"/>
      <c r="AJ85" s="27"/>
      <c r="AK85" s="27"/>
      <c r="AL85" s="25"/>
      <c r="AM85" s="34"/>
      <c r="AN85" s="27"/>
      <c r="AO85" s="27"/>
      <c r="AP85" s="36"/>
      <c r="AQ85" s="37"/>
      <c r="AR85" s="32"/>
      <c r="AS85" s="25" t="s">
        <v>96</v>
      </c>
      <c r="AT85" s="27" t="s">
        <v>87</v>
      </c>
      <c r="AU85" s="27"/>
      <c r="AW85" s="25" t="s">
        <v>90</v>
      </c>
      <c r="AX85" s="27" t="s">
        <v>95</v>
      </c>
      <c r="AY85" s="27"/>
      <c r="AZ85" s="32"/>
      <c r="BA85" s="41"/>
    </row>
    <row r="86" spans="1:53" x14ac:dyDescent="0.2">
      <c r="A86" s="25">
        <v>62</v>
      </c>
      <c r="B86" s="26" t="s">
        <v>140</v>
      </c>
      <c r="C86" s="98">
        <v>44982</v>
      </c>
      <c r="D86" s="25"/>
      <c r="E86" s="28"/>
      <c r="F86" s="27"/>
      <c r="G86" s="28"/>
      <c r="H86" s="27"/>
      <c r="I86" s="28"/>
      <c r="J86" s="27">
        <v>10</v>
      </c>
      <c r="K86" s="29" t="s">
        <v>35</v>
      </c>
      <c r="L86" s="39"/>
      <c r="M86" s="31"/>
      <c r="N86" s="27"/>
      <c r="P86" s="32"/>
      <c r="Q86" s="25"/>
      <c r="R86" s="27"/>
      <c r="S86" s="27"/>
      <c r="T86" s="28"/>
      <c r="U86" s="27"/>
      <c r="V86" s="27"/>
      <c r="W86" s="28"/>
      <c r="X86" s="33"/>
      <c r="Y86" s="32"/>
      <c r="Z86" s="25"/>
      <c r="AA86" s="27"/>
      <c r="AB86" s="28"/>
      <c r="AC86" s="27"/>
      <c r="AD86" s="27"/>
      <c r="AE86" s="33"/>
      <c r="AG86" s="25"/>
      <c r="AH86" s="34"/>
      <c r="AI86" s="27"/>
      <c r="AJ86" s="27"/>
      <c r="AK86" s="27"/>
      <c r="AL86" s="25"/>
      <c r="AM86" s="34"/>
      <c r="AN86" s="27"/>
      <c r="AO86" s="27"/>
      <c r="AP86" s="36"/>
      <c r="AQ86" s="37"/>
      <c r="AR86" s="32"/>
      <c r="AS86" s="25" t="s">
        <v>96</v>
      </c>
      <c r="AT86" s="27" t="s">
        <v>87</v>
      </c>
      <c r="AU86" s="27"/>
      <c r="AW86" s="25" t="s">
        <v>90</v>
      </c>
      <c r="AX86" s="27" t="s">
        <v>95</v>
      </c>
      <c r="AY86" s="27"/>
      <c r="AZ86" s="32"/>
      <c r="BA86" s="41"/>
    </row>
    <row r="87" spans="1:53" x14ac:dyDescent="0.2">
      <c r="A87" s="25">
        <v>63</v>
      </c>
      <c r="B87" s="26"/>
      <c r="C87" s="98">
        <v>44983</v>
      </c>
      <c r="D87" s="25"/>
      <c r="E87" s="28"/>
      <c r="F87" s="27"/>
      <c r="G87" s="28"/>
      <c r="H87" s="27"/>
      <c r="I87" s="28"/>
      <c r="J87" s="27">
        <v>10</v>
      </c>
      <c r="K87" s="29" t="s">
        <v>35</v>
      </c>
      <c r="L87" s="39"/>
      <c r="M87" s="31"/>
      <c r="N87" s="27"/>
      <c r="P87" s="32"/>
      <c r="Q87" s="25"/>
      <c r="R87" s="27"/>
      <c r="S87" s="27"/>
      <c r="T87" s="28"/>
      <c r="U87" s="27"/>
      <c r="V87" s="27"/>
      <c r="W87" s="28"/>
      <c r="X87" s="33"/>
      <c r="Y87" s="32"/>
      <c r="Z87" s="25"/>
      <c r="AA87" s="27"/>
      <c r="AB87" s="28"/>
      <c r="AC87" s="27"/>
      <c r="AD87" s="27"/>
      <c r="AE87" s="33"/>
      <c r="AG87" s="25"/>
      <c r="AH87" s="34"/>
      <c r="AI87" s="27"/>
      <c r="AJ87" s="27"/>
      <c r="AK87" s="27"/>
      <c r="AL87" s="25"/>
      <c r="AM87" s="34"/>
      <c r="AN87" s="27"/>
      <c r="AO87" s="27"/>
      <c r="AP87" s="36"/>
      <c r="AQ87" s="37"/>
      <c r="AR87" s="32"/>
      <c r="AS87" s="25" t="s">
        <v>96</v>
      </c>
      <c r="AT87" s="27" t="s">
        <v>87</v>
      </c>
      <c r="AU87" s="27"/>
      <c r="AW87" s="25" t="s">
        <v>90</v>
      </c>
      <c r="AX87" s="27" t="s">
        <v>95</v>
      </c>
      <c r="AY87" s="27"/>
      <c r="AZ87" s="32"/>
      <c r="BA87" s="41"/>
    </row>
    <row r="88" spans="1:53" x14ac:dyDescent="0.2">
      <c r="A88" s="25">
        <v>64</v>
      </c>
      <c r="B88" s="26" t="s">
        <v>140</v>
      </c>
      <c r="C88" s="98">
        <v>44984</v>
      </c>
      <c r="D88" s="25"/>
      <c r="E88" s="28"/>
      <c r="F88" s="27"/>
      <c r="G88" s="28"/>
      <c r="H88" s="27"/>
      <c r="I88" s="28"/>
      <c r="J88" s="27">
        <v>10</v>
      </c>
      <c r="K88" s="29" t="s">
        <v>35</v>
      </c>
      <c r="L88" s="39"/>
      <c r="M88" s="31"/>
      <c r="N88" s="27"/>
      <c r="P88" s="32"/>
      <c r="Q88" s="25"/>
      <c r="R88" s="27"/>
      <c r="S88" s="27"/>
      <c r="T88" s="28"/>
      <c r="U88" s="27"/>
      <c r="V88" s="27"/>
      <c r="W88" s="28"/>
      <c r="X88" s="33"/>
      <c r="Y88" s="32"/>
      <c r="Z88" s="25"/>
      <c r="AA88" s="27"/>
      <c r="AB88" s="28"/>
      <c r="AC88" s="27"/>
      <c r="AD88" s="27"/>
      <c r="AE88" s="33"/>
      <c r="AG88" s="25"/>
      <c r="AH88" s="34"/>
      <c r="AI88" s="27"/>
      <c r="AJ88" s="27"/>
      <c r="AK88" s="27"/>
      <c r="AL88" s="25"/>
      <c r="AM88" s="34"/>
      <c r="AN88" s="27"/>
      <c r="AO88" s="27"/>
      <c r="AP88" s="36"/>
      <c r="AQ88" s="37"/>
      <c r="AR88" s="32"/>
      <c r="AS88" s="25" t="s">
        <v>96</v>
      </c>
      <c r="AT88" s="27" t="s">
        <v>87</v>
      </c>
      <c r="AU88" s="27"/>
      <c r="AW88" s="25" t="s">
        <v>90</v>
      </c>
      <c r="AX88" s="27" t="s">
        <v>95</v>
      </c>
      <c r="AY88" s="27"/>
      <c r="AZ88" s="32"/>
      <c r="BA88" s="41"/>
    </row>
    <row r="89" spans="1:53" x14ac:dyDescent="0.2">
      <c r="A89" s="25">
        <v>65</v>
      </c>
      <c r="B89" s="26"/>
      <c r="C89" s="98">
        <v>44985</v>
      </c>
      <c r="D89" s="25"/>
      <c r="E89" s="28"/>
      <c r="F89" s="27"/>
      <c r="G89" s="28"/>
      <c r="H89" s="27"/>
      <c r="I89" s="28"/>
      <c r="J89" s="27">
        <v>10</v>
      </c>
      <c r="K89" s="29" t="s">
        <v>35</v>
      </c>
      <c r="L89" s="39"/>
      <c r="M89" s="31"/>
      <c r="N89" s="27"/>
      <c r="P89" s="32"/>
      <c r="Q89" s="25"/>
      <c r="R89" s="27"/>
      <c r="S89" s="27"/>
      <c r="T89" s="28"/>
      <c r="U89" s="27"/>
      <c r="V89" s="27"/>
      <c r="W89" s="28"/>
      <c r="X89" s="33"/>
      <c r="Y89" s="32"/>
      <c r="Z89" s="25"/>
      <c r="AA89" s="27"/>
      <c r="AB89" s="28"/>
      <c r="AC89" s="27"/>
      <c r="AD89" s="27"/>
      <c r="AE89" s="33"/>
      <c r="AG89" s="25"/>
      <c r="AH89" s="34"/>
      <c r="AI89" s="27"/>
      <c r="AJ89" s="27"/>
      <c r="AK89" s="27"/>
      <c r="AL89" s="25"/>
      <c r="AM89" s="34"/>
      <c r="AN89" s="27"/>
      <c r="AO89" s="27"/>
      <c r="AP89" s="36"/>
      <c r="AQ89" s="37"/>
      <c r="AR89" s="32"/>
      <c r="AS89" s="25" t="s">
        <v>96</v>
      </c>
      <c r="AT89" s="27" t="s">
        <v>87</v>
      </c>
      <c r="AU89" s="27"/>
      <c r="AW89" s="25" t="s">
        <v>90</v>
      </c>
      <c r="AX89" s="27" t="s">
        <v>95</v>
      </c>
      <c r="AY89" s="27"/>
      <c r="AZ89" s="32"/>
      <c r="BA89" s="41">
        <v>0</v>
      </c>
    </row>
    <row r="90" spans="1:53" x14ac:dyDescent="0.2">
      <c r="A90" s="25">
        <v>66</v>
      </c>
      <c r="B90" s="26"/>
      <c r="C90" s="98">
        <v>44986</v>
      </c>
      <c r="D90" s="25"/>
      <c r="E90" s="28"/>
      <c r="F90" s="27"/>
      <c r="G90" s="28"/>
      <c r="H90" s="27"/>
      <c r="I90" s="28"/>
      <c r="J90" s="27">
        <v>10</v>
      </c>
      <c r="K90" s="29" t="s">
        <v>35</v>
      </c>
      <c r="L90" s="39"/>
      <c r="M90" s="31"/>
      <c r="N90" s="27"/>
      <c r="P90" s="32"/>
      <c r="Q90" s="25"/>
      <c r="R90" s="27"/>
      <c r="S90" s="27"/>
      <c r="T90" s="28"/>
      <c r="U90" s="27"/>
      <c r="V90" s="27"/>
      <c r="W90" s="28"/>
      <c r="X90" s="33"/>
      <c r="Y90" s="32"/>
      <c r="Z90" s="25"/>
      <c r="AA90" s="27"/>
      <c r="AB90" s="28"/>
      <c r="AC90" s="27"/>
      <c r="AD90" s="27"/>
      <c r="AE90" s="33"/>
      <c r="AG90" s="25"/>
      <c r="AH90" s="34"/>
      <c r="AI90" s="27"/>
      <c r="AJ90" s="27"/>
      <c r="AK90" s="27"/>
      <c r="AL90" s="25"/>
      <c r="AM90" s="34"/>
      <c r="AN90" s="27"/>
      <c r="AO90" s="27"/>
      <c r="AP90" s="36"/>
      <c r="AQ90" s="37"/>
      <c r="AR90" s="32"/>
      <c r="AS90" s="25" t="s">
        <v>96</v>
      </c>
      <c r="AT90" s="27" t="s">
        <v>87</v>
      </c>
      <c r="AU90" s="27"/>
      <c r="AW90" s="25" t="s">
        <v>90</v>
      </c>
      <c r="AX90" s="27" t="s">
        <v>95</v>
      </c>
      <c r="AY90" s="27"/>
      <c r="AZ90" s="32"/>
      <c r="BA90" s="41">
        <v>0</v>
      </c>
    </row>
    <row r="91" spans="1:53" x14ac:dyDescent="0.2">
      <c r="A91" s="25">
        <v>67</v>
      </c>
      <c r="B91" s="26"/>
      <c r="C91" s="98">
        <v>44987</v>
      </c>
      <c r="D91" s="25"/>
      <c r="E91" s="28"/>
      <c r="F91" s="27"/>
      <c r="G91" s="28"/>
      <c r="H91" s="27"/>
      <c r="I91" s="28"/>
      <c r="J91" s="27">
        <v>10</v>
      </c>
      <c r="K91" s="29" t="s">
        <v>35</v>
      </c>
      <c r="L91" s="39"/>
      <c r="M91" s="31"/>
      <c r="N91" s="27"/>
      <c r="P91" s="32"/>
      <c r="Q91" s="25"/>
      <c r="R91" s="27"/>
      <c r="S91" s="27"/>
      <c r="T91" s="28"/>
      <c r="U91" s="27"/>
      <c r="V91" s="27"/>
      <c r="W91" s="28"/>
      <c r="X91" s="33"/>
      <c r="Y91" s="32"/>
      <c r="Z91" s="25"/>
      <c r="AA91" s="27"/>
      <c r="AB91" s="28"/>
      <c r="AC91" s="27"/>
      <c r="AD91" s="27"/>
      <c r="AE91" s="33"/>
      <c r="AG91" s="25"/>
      <c r="AH91" s="34"/>
      <c r="AI91" s="27"/>
      <c r="AJ91" s="27"/>
      <c r="AK91" s="27"/>
      <c r="AL91" s="25"/>
      <c r="AM91" s="34"/>
      <c r="AN91" s="27"/>
      <c r="AO91" s="27"/>
      <c r="AP91" s="36"/>
      <c r="AQ91" s="37"/>
      <c r="AR91" s="32"/>
      <c r="AS91" s="25" t="s">
        <v>96</v>
      </c>
      <c r="AT91" s="27" t="s">
        <v>87</v>
      </c>
      <c r="AU91" s="27"/>
      <c r="AW91" s="25" t="s">
        <v>90</v>
      </c>
      <c r="AX91" s="27" t="s">
        <v>95</v>
      </c>
      <c r="AY91" s="27"/>
      <c r="AZ91" s="32"/>
      <c r="BA91" s="41">
        <v>0</v>
      </c>
    </row>
    <row r="92" spans="1:53" x14ac:dyDescent="0.2">
      <c r="A92" s="25">
        <v>68</v>
      </c>
      <c r="B92" s="26"/>
      <c r="C92" s="98">
        <v>44988</v>
      </c>
      <c r="D92" s="25"/>
      <c r="E92" s="28"/>
      <c r="F92" s="27"/>
      <c r="G92" s="28"/>
      <c r="H92" s="27"/>
      <c r="I92" s="28"/>
      <c r="J92" s="27">
        <v>10</v>
      </c>
      <c r="K92" s="29" t="s">
        <v>35</v>
      </c>
      <c r="L92" s="39"/>
      <c r="M92" s="31"/>
      <c r="N92" s="27"/>
      <c r="P92" s="32"/>
      <c r="Q92" s="25"/>
      <c r="R92" s="27"/>
      <c r="S92" s="27"/>
      <c r="T92" s="28"/>
      <c r="U92" s="27"/>
      <c r="V92" s="27"/>
      <c r="W92" s="28"/>
      <c r="X92" s="33"/>
      <c r="Y92" s="32"/>
      <c r="Z92" s="25"/>
      <c r="AA92" s="27"/>
      <c r="AB92" s="28"/>
      <c r="AC92" s="27"/>
      <c r="AD92" s="27"/>
      <c r="AE92" s="33"/>
      <c r="AG92" s="25"/>
      <c r="AH92" s="34"/>
      <c r="AI92" s="27"/>
      <c r="AJ92" s="27"/>
      <c r="AK92" s="27"/>
      <c r="AL92" s="25"/>
      <c r="AM92" s="34"/>
      <c r="AN92" s="27"/>
      <c r="AO92" s="27"/>
      <c r="AP92" s="36"/>
      <c r="AQ92" s="37"/>
      <c r="AR92" s="32"/>
      <c r="AS92" s="25" t="s">
        <v>96</v>
      </c>
      <c r="AT92" s="27" t="s">
        <v>87</v>
      </c>
      <c r="AU92" s="27"/>
      <c r="AW92" s="25" t="s">
        <v>90</v>
      </c>
      <c r="AX92" s="27" t="s">
        <v>95</v>
      </c>
      <c r="AY92" s="27"/>
      <c r="AZ92" s="32"/>
      <c r="BA92" s="41">
        <v>0</v>
      </c>
    </row>
    <row r="93" spans="1:53" x14ac:dyDescent="0.2">
      <c r="A93" s="25">
        <v>69</v>
      </c>
      <c r="B93" s="26"/>
      <c r="C93" s="98">
        <v>44989</v>
      </c>
      <c r="D93" s="25"/>
      <c r="E93" s="28"/>
      <c r="F93" s="27"/>
      <c r="G93" s="28"/>
      <c r="H93" s="27"/>
      <c r="I93" s="28"/>
      <c r="J93" s="27">
        <v>10</v>
      </c>
      <c r="K93" s="29" t="s">
        <v>35</v>
      </c>
      <c r="L93" s="39"/>
      <c r="M93" s="31"/>
      <c r="N93" s="27"/>
      <c r="P93" s="32"/>
      <c r="Q93" s="25"/>
      <c r="R93" s="27"/>
      <c r="S93" s="27"/>
      <c r="T93" s="28"/>
      <c r="U93" s="27"/>
      <c r="V93" s="27"/>
      <c r="W93" s="28"/>
      <c r="X93" s="33"/>
      <c r="Y93" s="32"/>
      <c r="Z93" s="25"/>
      <c r="AA93" s="27"/>
      <c r="AB93" s="28"/>
      <c r="AC93" s="27"/>
      <c r="AD93" s="27"/>
      <c r="AE93" s="33"/>
      <c r="AG93" s="25"/>
      <c r="AH93" s="34"/>
      <c r="AI93" s="27"/>
      <c r="AJ93" s="27"/>
      <c r="AK93" s="27"/>
      <c r="AL93" s="25"/>
      <c r="AM93" s="34"/>
      <c r="AN93" s="27"/>
      <c r="AO93" s="27"/>
      <c r="AP93" s="36"/>
      <c r="AQ93" s="37"/>
      <c r="AR93" s="32"/>
      <c r="AS93" s="25" t="s">
        <v>96</v>
      </c>
      <c r="AT93" s="27" t="s">
        <v>87</v>
      </c>
      <c r="AU93" s="27"/>
      <c r="AW93" s="25" t="s">
        <v>90</v>
      </c>
      <c r="AX93" s="27" t="s">
        <v>95</v>
      </c>
      <c r="AY93" s="27"/>
      <c r="AZ93" s="32"/>
      <c r="BA93" s="41">
        <v>0</v>
      </c>
    </row>
    <row r="94" spans="1:53" x14ac:dyDescent="0.2">
      <c r="A94" s="25">
        <v>70</v>
      </c>
      <c r="B94" s="26" t="s">
        <v>140</v>
      </c>
      <c r="C94" s="98">
        <v>44990</v>
      </c>
      <c r="D94" s="25"/>
      <c r="E94" s="28"/>
      <c r="F94" s="27"/>
      <c r="G94" s="28"/>
      <c r="H94" s="27"/>
      <c r="I94" s="28"/>
      <c r="J94" s="27">
        <v>10</v>
      </c>
      <c r="K94" s="29" t="s">
        <v>35</v>
      </c>
      <c r="L94" s="39"/>
      <c r="M94" s="31"/>
      <c r="N94" s="27"/>
      <c r="P94" s="32"/>
      <c r="Q94" s="25"/>
      <c r="R94" s="27"/>
      <c r="S94" s="27"/>
      <c r="T94" s="28"/>
      <c r="U94" s="27"/>
      <c r="V94" s="27"/>
      <c r="W94" s="28"/>
      <c r="X94" s="33"/>
      <c r="Y94" s="32"/>
      <c r="Z94" s="25"/>
      <c r="AA94" s="27"/>
      <c r="AB94" s="28"/>
      <c r="AC94" s="27"/>
      <c r="AD94" s="27"/>
      <c r="AE94" s="33"/>
      <c r="AG94" s="25"/>
      <c r="AH94" s="34"/>
      <c r="AI94" s="27"/>
      <c r="AJ94" s="27"/>
      <c r="AK94" s="27"/>
      <c r="AL94" s="25"/>
      <c r="AM94" s="34"/>
      <c r="AN94" s="27"/>
      <c r="AO94" s="27"/>
      <c r="AP94" s="36"/>
      <c r="AQ94" s="37"/>
      <c r="AR94" s="32"/>
      <c r="AS94" s="25" t="s">
        <v>96</v>
      </c>
      <c r="AT94" s="27" t="s">
        <v>87</v>
      </c>
      <c r="AU94" s="27"/>
      <c r="AW94" s="25" t="s">
        <v>90</v>
      </c>
      <c r="AX94" s="27" t="s">
        <v>95</v>
      </c>
      <c r="AY94" s="27"/>
      <c r="AZ94" s="32"/>
      <c r="BA94" s="41">
        <v>0</v>
      </c>
    </row>
    <row r="95" spans="1:53" x14ac:dyDescent="0.2">
      <c r="A95" s="25">
        <v>71</v>
      </c>
      <c r="B95" s="26" t="s">
        <v>140</v>
      </c>
      <c r="C95" s="98">
        <v>44991</v>
      </c>
      <c r="D95" s="25"/>
      <c r="E95" s="28"/>
      <c r="F95" s="27"/>
      <c r="G95" s="28"/>
      <c r="H95" s="27"/>
      <c r="I95" s="28"/>
      <c r="J95" s="27">
        <v>10</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v>0.05</v>
      </c>
      <c r="AJ95" s="27">
        <v>0.05</v>
      </c>
      <c r="AK95" s="28">
        <v>0.05</v>
      </c>
      <c r="AL95" s="27"/>
      <c r="AM95" s="27"/>
      <c r="AN95" s="27">
        <v>0.1</v>
      </c>
      <c r="AO95" s="27">
        <v>0.1</v>
      </c>
      <c r="AP95" s="36">
        <v>0.1</v>
      </c>
      <c r="AQ95" s="37"/>
      <c r="AS95" s="25" t="s">
        <v>96</v>
      </c>
      <c r="AT95" s="27" t="s">
        <v>87</v>
      </c>
      <c r="AU95" s="27"/>
      <c r="AW95" s="25" t="s">
        <v>90</v>
      </c>
      <c r="AX95" s="27" t="s">
        <v>95</v>
      </c>
      <c r="AY95" s="27"/>
      <c r="AZ95" s="32"/>
      <c r="BA95" s="41">
        <v>0</v>
      </c>
    </row>
    <row r="96" spans="1:53" x14ac:dyDescent="0.2">
      <c r="A96" s="25">
        <v>72</v>
      </c>
      <c r="B96" s="26" t="s">
        <v>117</v>
      </c>
      <c r="C96" s="98">
        <v>44992</v>
      </c>
      <c r="D96" s="25"/>
      <c r="E96" s="28"/>
      <c r="F96" s="27"/>
      <c r="G96" s="28"/>
      <c r="H96" s="27"/>
      <c r="I96" s="28"/>
      <c r="J96" s="27">
        <v>10</v>
      </c>
      <c r="K96" s="29" t="s">
        <v>35</v>
      </c>
      <c r="L96" s="39" t="s">
        <v>142</v>
      </c>
      <c r="M96" s="31"/>
      <c r="N96" s="27"/>
      <c r="P96" s="32"/>
      <c r="Q96" s="25"/>
      <c r="R96" s="27"/>
      <c r="S96" s="27"/>
      <c r="T96" s="28"/>
      <c r="U96" s="27"/>
      <c r="V96" s="27"/>
      <c r="W96" s="28"/>
      <c r="X96" s="33"/>
      <c r="Y96" s="32"/>
      <c r="Z96" s="25"/>
      <c r="AA96" s="27"/>
      <c r="AB96" s="28"/>
      <c r="AC96" s="27"/>
      <c r="AD96" s="27"/>
      <c r="AE96" s="33"/>
      <c r="AF96" s="32"/>
      <c r="AG96" s="90"/>
      <c r="AH96" s="91"/>
      <c r="AI96" s="27">
        <v>0.05</v>
      </c>
      <c r="AJ96" s="27">
        <v>0.05</v>
      </c>
      <c r="AK96" s="28">
        <v>0.05</v>
      </c>
      <c r="AL96" s="27"/>
      <c r="AM96" s="27"/>
      <c r="AN96" s="27">
        <v>0.1</v>
      </c>
      <c r="AO96" s="27">
        <v>0.1</v>
      </c>
      <c r="AP96" s="36">
        <v>0.1</v>
      </c>
      <c r="AQ96" s="37"/>
      <c r="AS96" s="25" t="s">
        <v>96</v>
      </c>
      <c r="AT96" s="27" t="s">
        <v>87</v>
      </c>
      <c r="AU96" s="27"/>
      <c r="AW96" s="25" t="s">
        <v>90</v>
      </c>
      <c r="AX96" s="27" t="s">
        <v>95</v>
      </c>
      <c r="AY96" s="27"/>
      <c r="AZ96" s="32"/>
      <c r="BA96" s="41"/>
    </row>
    <row r="97" spans="1:53" x14ac:dyDescent="0.2">
      <c r="A97" s="25">
        <v>73</v>
      </c>
      <c r="B97" s="26" t="s">
        <v>117</v>
      </c>
      <c r="C97" s="98">
        <v>44993</v>
      </c>
      <c r="D97" s="25"/>
      <c r="E97" s="28"/>
      <c r="F97" s="27"/>
      <c r="G97" s="28"/>
      <c r="H97" s="27"/>
      <c r="I97" s="28"/>
      <c r="J97" s="27">
        <v>10</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c r="AO97" s="27"/>
      <c r="AP97" s="36"/>
      <c r="AQ97" s="37"/>
      <c r="AS97" s="25" t="s">
        <v>96</v>
      </c>
      <c r="AT97" s="27" t="s">
        <v>87</v>
      </c>
      <c r="AU97" s="27"/>
      <c r="AW97" s="25" t="s">
        <v>90</v>
      </c>
      <c r="AX97" s="27" t="s">
        <v>95</v>
      </c>
      <c r="AY97" s="27"/>
      <c r="AZ97" s="32"/>
      <c r="BA97" s="41"/>
    </row>
    <row r="98" spans="1:53" x14ac:dyDescent="0.2">
      <c r="A98" s="25">
        <v>74</v>
      </c>
      <c r="B98" s="26" t="s">
        <v>117</v>
      </c>
      <c r="C98" s="98">
        <v>44994</v>
      </c>
      <c r="D98" s="25"/>
      <c r="E98" s="28"/>
      <c r="F98" s="27"/>
      <c r="G98" s="28"/>
      <c r="H98" s="27"/>
      <c r="I98" s="28"/>
      <c r="J98" s="27">
        <v>10</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v>0.05</v>
      </c>
      <c r="AJ98" s="27">
        <v>0.05</v>
      </c>
      <c r="AK98" s="28">
        <v>0.05</v>
      </c>
      <c r="AL98" s="27"/>
      <c r="AM98" s="27"/>
      <c r="AN98" s="27">
        <v>0.1</v>
      </c>
      <c r="AO98" s="27">
        <v>0.1</v>
      </c>
      <c r="AP98" s="36">
        <v>0.1</v>
      </c>
      <c r="AQ98" s="37"/>
      <c r="AS98" s="25" t="s">
        <v>96</v>
      </c>
      <c r="AT98" s="27" t="s">
        <v>87</v>
      </c>
      <c r="AU98" s="27"/>
      <c r="AW98" s="25" t="s">
        <v>90</v>
      </c>
      <c r="AX98" s="27" t="s">
        <v>95</v>
      </c>
      <c r="AY98" s="27"/>
      <c r="AZ98" s="32"/>
      <c r="BA98" s="41"/>
    </row>
    <row r="99" spans="1:53" x14ac:dyDescent="0.2">
      <c r="A99" s="25">
        <v>75</v>
      </c>
      <c r="B99" s="26"/>
      <c r="C99" s="98">
        <v>44995</v>
      </c>
      <c r="D99" s="25"/>
      <c r="E99" s="28"/>
      <c r="F99" s="27"/>
      <c r="G99" s="28"/>
      <c r="H99" s="27"/>
      <c r="I99" s="28"/>
      <c r="J99" s="27">
        <v>10</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c r="AO99" s="27"/>
      <c r="AP99" s="36"/>
      <c r="AQ99" s="37"/>
      <c r="AR99" s="32"/>
      <c r="AS99" s="25" t="s">
        <v>96</v>
      </c>
      <c r="AT99" s="27" t="s">
        <v>87</v>
      </c>
      <c r="AU99" s="27"/>
      <c r="AW99" s="25" t="s">
        <v>90</v>
      </c>
      <c r="AX99" s="27" t="s">
        <v>95</v>
      </c>
      <c r="AY99" s="27"/>
      <c r="AZ99" s="32"/>
      <c r="BA99" s="41"/>
    </row>
    <row r="100" spans="1:53" x14ac:dyDescent="0.2">
      <c r="A100" s="25">
        <v>76</v>
      </c>
      <c r="B100" s="26"/>
      <c r="C100" s="98">
        <v>44996</v>
      </c>
      <c r="D100" s="25"/>
      <c r="E100" s="28"/>
      <c r="F100" s="27"/>
      <c r="G100" s="28"/>
      <c r="H100" s="27"/>
      <c r="I100" s="28"/>
      <c r="J100" s="27">
        <v>10</v>
      </c>
      <c r="K100" s="29" t="s">
        <v>35</v>
      </c>
      <c r="L100" s="39"/>
      <c r="M100" s="31"/>
      <c r="N100" s="27"/>
      <c r="P100" s="32"/>
      <c r="Q100" s="25"/>
      <c r="R100" s="27"/>
      <c r="S100" s="27"/>
      <c r="T100" s="28"/>
      <c r="U100" s="27"/>
      <c r="V100" s="27"/>
      <c r="W100" s="28"/>
      <c r="X100" s="33"/>
      <c r="Y100" s="32"/>
      <c r="Z100" s="25"/>
      <c r="AA100" s="27"/>
      <c r="AB100" s="28"/>
      <c r="AC100" s="27"/>
      <c r="AD100" s="27"/>
      <c r="AE100" s="33"/>
      <c r="AF100" s="32"/>
      <c r="AG100" s="90"/>
      <c r="AH100" s="91"/>
      <c r="AI100" s="27"/>
      <c r="AJ100" s="27"/>
      <c r="AK100" s="28"/>
      <c r="AL100" s="27"/>
      <c r="AM100" s="27"/>
      <c r="AN100" s="27"/>
      <c r="AO100" s="27"/>
      <c r="AP100" s="36"/>
      <c r="AQ100" s="37"/>
      <c r="AR100" s="32"/>
      <c r="AS100" s="25" t="s">
        <v>96</v>
      </c>
      <c r="AT100" s="27" t="s">
        <v>87</v>
      </c>
      <c r="AU100" s="27"/>
      <c r="AW100" s="25" t="s">
        <v>90</v>
      </c>
      <c r="AX100" s="27" t="s">
        <v>95</v>
      </c>
      <c r="AY100" s="27"/>
      <c r="AZ100" s="32"/>
      <c r="BA100" s="41"/>
    </row>
    <row r="101" spans="1:53" x14ac:dyDescent="0.2">
      <c r="A101" s="25">
        <v>77</v>
      </c>
      <c r="B101" s="26"/>
      <c r="C101" s="98">
        <v>44997</v>
      </c>
      <c r="D101" s="25"/>
      <c r="E101" s="28"/>
      <c r="F101" s="27"/>
      <c r="G101" s="28"/>
      <c r="H101" s="27"/>
      <c r="I101" s="28"/>
      <c r="J101" s="27">
        <v>10</v>
      </c>
      <c r="K101" s="29" t="s">
        <v>35</v>
      </c>
      <c r="L101" s="39"/>
      <c r="M101" s="31"/>
      <c r="N101" s="27"/>
      <c r="P101" s="32"/>
      <c r="Q101" s="25"/>
      <c r="R101" s="27"/>
      <c r="S101" s="27"/>
      <c r="T101" s="28"/>
      <c r="U101" s="27"/>
      <c r="V101" s="27"/>
      <c r="W101" s="28"/>
      <c r="X101" s="33"/>
      <c r="Y101" s="32"/>
      <c r="Z101" s="25"/>
      <c r="AA101" s="27"/>
      <c r="AB101" s="28"/>
      <c r="AC101" s="27"/>
      <c r="AD101" s="27"/>
      <c r="AE101" s="33"/>
      <c r="AF101" s="32"/>
      <c r="AG101" s="90"/>
      <c r="AH101" s="91"/>
      <c r="AI101" s="27"/>
      <c r="AJ101" s="27"/>
      <c r="AK101" s="28"/>
      <c r="AL101" s="27"/>
      <c r="AM101" s="27"/>
      <c r="AN101" s="27"/>
      <c r="AO101" s="27"/>
      <c r="AP101" s="36"/>
      <c r="AQ101" s="37"/>
      <c r="AR101" s="32"/>
      <c r="AS101" s="25" t="s">
        <v>96</v>
      </c>
      <c r="AT101" s="27" t="s">
        <v>87</v>
      </c>
      <c r="AU101" s="27"/>
      <c r="AW101" s="25" t="s">
        <v>90</v>
      </c>
      <c r="AX101" s="27" t="s">
        <v>95</v>
      </c>
      <c r="AY101" s="27"/>
      <c r="AZ101" s="32"/>
      <c r="BA101" s="41"/>
    </row>
    <row r="102" spans="1:53" x14ac:dyDescent="0.2">
      <c r="A102" s="25">
        <v>78</v>
      </c>
      <c r="B102" s="26" t="s">
        <v>140</v>
      </c>
      <c r="C102" s="98">
        <v>44998</v>
      </c>
      <c r="D102" s="25"/>
      <c r="E102" s="28"/>
      <c r="F102" s="27"/>
      <c r="G102" s="28"/>
      <c r="H102" s="27"/>
      <c r="I102" s="28"/>
      <c r="J102" s="27">
        <v>10</v>
      </c>
      <c r="K102" s="29" t="s">
        <v>35</v>
      </c>
      <c r="L102" s="39"/>
      <c r="M102" s="31"/>
      <c r="N102" s="27"/>
      <c r="P102" s="32"/>
      <c r="Q102" s="25"/>
      <c r="R102" s="27"/>
      <c r="S102" s="27"/>
      <c r="T102" s="28"/>
      <c r="U102" s="27"/>
      <c r="V102" s="27"/>
      <c r="W102" s="28"/>
      <c r="X102" s="33"/>
      <c r="Y102" s="32"/>
      <c r="Z102" s="25"/>
      <c r="AA102" s="27"/>
      <c r="AB102" s="28"/>
      <c r="AC102" s="27"/>
      <c r="AD102" s="27"/>
      <c r="AE102" s="33"/>
      <c r="AF102" s="32"/>
      <c r="AG102" s="90"/>
      <c r="AH102" s="91"/>
      <c r="AI102" s="27">
        <v>0.05</v>
      </c>
      <c r="AJ102" s="27">
        <v>0.05</v>
      </c>
      <c r="AK102" s="28">
        <v>0.05</v>
      </c>
      <c r="AL102" s="27"/>
      <c r="AM102" s="27"/>
      <c r="AN102" s="27">
        <v>0.1</v>
      </c>
      <c r="AO102" s="27">
        <v>0.1</v>
      </c>
      <c r="AP102" s="36">
        <v>0.1</v>
      </c>
      <c r="AQ102" s="37"/>
      <c r="AR102" s="32"/>
      <c r="AS102" s="25" t="s">
        <v>96</v>
      </c>
      <c r="AT102" s="27" t="s">
        <v>87</v>
      </c>
      <c r="AU102" s="27"/>
      <c r="AW102" s="25" t="s">
        <v>90</v>
      </c>
      <c r="AX102" s="27" t="s">
        <v>95</v>
      </c>
      <c r="AY102" s="27"/>
      <c r="AZ102" s="32"/>
      <c r="BA102" s="41"/>
    </row>
    <row r="103" spans="1:53" x14ac:dyDescent="0.2">
      <c r="A103" s="25">
        <v>79</v>
      </c>
      <c r="B103" s="26" t="s">
        <v>140</v>
      </c>
      <c r="C103" s="98">
        <v>44999</v>
      </c>
      <c r="D103" s="25"/>
      <c r="E103" s="28"/>
      <c r="F103" s="27"/>
      <c r="G103" s="28"/>
      <c r="H103" s="27"/>
      <c r="I103" s="28"/>
      <c r="J103" s="27">
        <v>10</v>
      </c>
      <c r="K103" s="29" t="s">
        <v>35</v>
      </c>
      <c r="L103" s="39"/>
      <c r="M103" s="31"/>
      <c r="N103" s="27"/>
      <c r="P103" s="32"/>
      <c r="Q103" s="25"/>
      <c r="R103" s="27"/>
      <c r="S103" s="27"/>
      <c r="T103" s="28"/>
      <c r="U103" s="27"/>
      <c r="V103" s="27"/>
      <c r="W103" s="28"/>
      <c r="X103" s="33"/>
      <c r="Y103" s="32"/>
      <c r="Z103" s="25"/>
      <c r="AA103" s="27"/>
      <c r="AB103" s="28"/>
      <c r="AC103" s="27"/>
      <c r="AD103" s="27"/>
      <c r="AE103" s="33"/>
      <c r="AF103" s="32"/>
      <c r="AG103" s="90"/>
      <c r="AH103" s="91"/>
      <c r="AI103" s="27">
        <v>0.05</v>
      </c>
      <c r="AJ103" s="27">
        <v>0.05</v>
      </c>
      <c r="AK103" s="28">
        <v>0.05</v>
      </c>
      <c r="AL103" s="27"/>
      <c r="AM103" s="27"/>
      <c r="AN103" s="27">
        <v>0.1</v>
      </c>
      <c r="AO103" s="27">
        <v>0.1</v>
      </c>
      <c r="AP103" s="36">
        <v>0.1</v>
      </c>
      <c r="AQ103" s="37"/>
      <c r="AR103" s="32"/>
      <c r="AS103" s="25" t="s">
        <v>96</v>
      </c>
      <c r="AT103" s="27" t="s">
        <v>87</v>
      </c>
      <c r="AU103" s="27"/>
      <c r="AW103" s="25" t="s">
        <v>90</v>
      </c>
      <c r="AX103" s="27" t="s">
        <v>95</v>
      </c>
      <c r="AY103" s="27"/>
      <c r="AZ103" s="32"/>
      <c r="BA103" s="41"/>
    </row>
    <row r="104" spans="1:53" x14ac:dyDescent="0.2">
      <c r="A104" s="25">
        <v>80</v>
      </c>
      <c r="B104" s="26" t="s">
        <v>140</v>
      </c>
      <c r="C104" s="98">
        <v>45000</v>
      </c>
      <c r="D104" s="25"/>
      <c r="E104" s="28"/>
      <c r="F104" s="27"/>
      <c r="G104" s="28"/>
      <c r="H104" s="27"/>
      <c r="I104" s="28"/>
      <c r="J104" s="27">
        <v>10</v>
      </c>
      <c r="K104" s="29" t="s">
        <v>35</v>
      </c>
      <c r="L104" s="39"/>
      <c r="M104" s="31"/>
      <c r="N104" s="27"/>
      <c r="P104" s="32"/>
      <c r="Q104" s="25"/>
      <c r="R104" s="27"/>
      <c r="S104" s="27"/>
      <c r="T104" s="28"/>
      <c r="U104" s="27"/>
      <c r="V104" s="27"/>
      <c r="W104" s="28"/>
      <c r="X104" s="33"/>
      <c r="Y104" s="32"/>
      <c r="Z104" s="25"/>
      <c r="AA104" s="27"/>
      <c r="AB104" s="28"/>
      <c r="AC104" s="27"/>
      <c r="AD104" s="27"/>
      <c r="AE104" s="33"/>
      <c r="AF104" s="32"/>
      <c r="AG104" s="90"/>
      <c r="AH104" s="91"/>
      <c r="AI104" s="27">
        <v>0.05</v>
      </c>
      <c r="AJ104" s="27">
        <v>0.05</v>
      </c>
      <c r="AK104" s="28">
        <v>0.05</v>
      </c>
      <c r="AL104" s="27"/>
      <c r="AM104" s="27"/>
      <c r="AN104" s="27">
        <v>0.1</v>
      </c>
      <c r="AO104" s="27">
        <v>0.1</v>
      </c>
      <c r="AP104" s="36">
        <v>0.1</v>
      </c>
      <c r="AQ104" s="37"/>
      <c r="AR104" s="32"/>
      <c r="AS104" s="25" t="s">
        <v>96</v>
      </c>
      <c r="AT104" s="27" t="s">
        <v>87</v>
      </c>
      <c r="AU104" s="27"/>
      <c r="AW104" s="25" t="s">
        <v>90</v>
      </c>
      <c r="AX104" s="27" t="s">
        <v>95</v>
      </c>
      <c r="AY104" s="27"/>
      <c r="AZ104" s="32"/>
      <c r="BA104" s="41"/>
    </row>
    <row r="105" spans="1:53" x14ac:dyDescent="0.2">
      <c r="A105" s="25">
        <v>81</v>
      </c>
      <c r="B105" s="26" t="s">
        <v>140</v>
      </c>
      <c r="C105" s="98">
        <v>45001</v>
      </c>
      <c r="D105" s="25"/>
      <c r="E105" s="28"/>
      <c r="F105" s="27"/>
      <c r="G105" s="28"/>
      <c r="H105" s="27"/>
      <c r="I105" s="28"/>
      <c r="J105" s="27">
        <v>10</v>
      </c>
      <c r="K105" s="29" t="s">
        <v>35</v>
      </c>
      <c r="L105" s="39"/>
      <c r="M105" s="31"/>
      <c r="N105" s="27"/>
      <c r="P105" s="32"/>
      <c r="Q105" s="25"/>
      <c r="R105" s="27"/>
      <c r="S105" s="27"/>
      <c r="T105" s="28"/>
      <c r="U105" s="27"/>
      <c r="V105" s="27"/>
      <c r="W105" s="28"/>
      <c r="X105" s="33"/>
      <c r="Y105" s="32"/>
      <c r="Z105" s="25"/>
      <c r="AA105" s="27"/>
      <c r="AB105" s="28"/>
      <c r="AC105" s="27"/>
      <c r="AD105" s="27"/>
      <c r="AE105" s="33"/>
      <c r="AF105" s="32"/>
      <c r="AG105" s="90"/>
      <c r="AH105" s="91"/>
      <c r="AI105" s="27"/>
      <c r="AJ105" s="27"/>
      <c r="AK105" s="28"/>
      <c r="AL105" s="27"/>
      <c r="AM105" s="27"/>
      <c r="AN105" s="27"/>
      <c r="AO105" s="27"/>
      <c r="AP105" s="36"/>
      <c r="AQ105" s="37"/>
      <c r="AR105" s="32"/>
      <c r="AS105" s="25" t="s">
        <v>96</v>
      </c>
      <c r="AT105" s="27" t="s">
        <v>87</v>
      </c>
      <c r="AU105" s="27"/>
      <c r="AW105" s="25" t="s">
        <v>90</v>
      </c>
      <c r="AX105" s="27" t="s">
        <v>95</v>
      </c>
      <c r="AY105" s="27"/>
      <c r="AZ105" s="32"/>
      <c r="BA105" s="41"/>
    </row>
    <row r="106" spans="1:53" x14ac:dyDescent="0.2">
      <c r="A106" s="25">
        <v>82</v>
      </c>
      <c r="B106" s="26"/>
      <c r="C106" s="98">
        <v>45002</v>
      </c>
      <c r="D106" s="25"/>
      <c r="E106" s="28"/>
      <c r="F106" s="27"/>
      <c r="G106" s="28"/>
      <c r="H106" s="27"/>
      <c r="I106" s="28"/>
      <c r="J106" s="27">
        <v>10</v>
      </c>
      <c r="K106" s="29" t="s">
        <v>35</v>
      </c>
      <c r="L106" s="39"/>
      <c r="M106" s="31"/>
      <c r="N106" s="27"/>
      <c r="P106" s="32"/>
      <c r="Q106" s="25"/>
      <c r="R106" s="27"/>
      <c r="S106" s="27"/>
      <c r="T106" s="28"/>
      <c r="U106" s="27"/>
      <c r="V106" s="27"/>
      <c r="W106" s="28"/>
      <c r="X106" s="33"/>
      <c r="Y106" s="32"/>
      <c r="Z106" s="25"/>
      <c r="AA106" s="27"/>
      <c r="AB106" s="28"/>
      <c r="AC106" s="27"/>
      <c r="AD106" s="27"/>
      <c r="AE106" s="33"/>
      <c r="AF106" s="32"/>
      <c r="AG106" s="90"/>
      <c r="AH106" s="91"/>
      <c r="AI106" s="27"/>
      <c r="AJ106" s="27"/>
      <c r="AK106" s="28"/>
      <c r="AL106" s="27"/>
      <c r="AM106" s="27"/>
      <c r="AN106" s="27"/>
      <c r="AO106" s="27"/>
      <c r="AP106" s="36"/>
      <c r="AQ106" s="37"/>
      <c r="AR106" s="32"/>
      <c r="AS106" s="25" t="s">
        <v>96</v>
      </c>
      <c r="AT106" s="27" t="s">
        <v>87</v>
      </c>
      <c r="AU106" s="27"/>
      <c r="AW106" s="25" t="s">
        <v>90</v>
      </c>
      <c r="AX106" s="27" t="s">
        <v>95</v>
      </c>
      <c r="AY106" s="27"/>
      <c r="AZ106" s="32"/>
      <c r="BA106" s="41"/>
    </row>
    <row r="107" spans="1:53" x14ac:dyDescent="0.2">
      <c r="A107" s="25">
        <v>83</v>
      </c>
      <c r="B107" s="26"/>
      <c r="C107" s="98">
        <v>45003</v>
      </c>
      <c r="D107" s="25"/>
      <c r="E107" s="28"/>
      <c r="F107" s="27"/>
      <c r="G107" s="28"/>
      <c r="H107" s="27"/>
      <c r="I107" s="28"/>
      <c r="J107" s="27">
        <v>10</v>
      </c>
      <c r="K107" s="29" t="s">
        <v>35</v>
      </c>
      <c r="L107" s="39"/>
      <c r="M107" s="31"/>
      <c r="N107" s="27"/>
      <c r="P107" s="32"/>
      <c r="Q107" s="25"/>
      <c r="R107" s="27"/>
      <c r="S107" s="27"/>
      <c r="T107" s="28"/>
      <c r="U107" s="27"/>
      <c r="V107" s="27"/>
      <c r="W107" s="28"/>
      <c r="X107" s="33"/>
      <c r="Y107" s="32"/>
      <c r="Z107" s="25"/>
      <c r="AA107" s="27"/>
      <c r="AB107" s="28"/>
      <c r="AC107" s="27"/>
      <c r="AD107" s="27"/>
      <c r="AE107" s="33"/>
      <c r="AF107" s="32"/>
      <c r="AG107" s="90"/>
      <c r="AH107" s="91"/>
      <c r="AI107" s="27"/>
      <c r="AJ107" s="27"/>
      <c r="AK107" s="28"/>
      <c r="AL107" s="27"/>
      <c r="AM107" s="27"/>
      <c r="AN107" s="27"/>
      <c r="AO107" s="27"/>
      <c r="AP107" s="36"/>
      <c r="AQ107" s="37"/>
      <c r="AR107" s="32"/>
      <c r="AS107" s="25" t="s">
        <v>96</v>
      </c>
      <c r="AT107" s="27" t="s">
        <v>87</v>
      </c>
      <c r="AU107" s="27"/>
      <c r="AW107" s="25" t="s">
        <v>90</v>
      </c>
      <c r="AX107" s="27" t="s">
        <v>95</v>
      </c>
      <c r="AY107" s="27"/>
      <c r="AZ107" s="32"/>
      <c r="BA107" s="41"/>
    </row>
    <row r="108" spans="1:53" x14ac:dyDescent="0.2">
      <c r="A108" s="25">
        <v>84</v>
      </c>
      <c r="B108" s="26" t="s">
        <v>140</v>
      </c>
      <c r="C108" s="98">
        <v>45004</v>
      </c>
      <c r="D108" s="25"/>
      <c r="E108" s="28"/>
      <c r="F108" s="27"/>
      <c r="G108" s="28"/>
      <c r="H108" s="27"/>
      <c r="I108" s="28"/>
      <c r="J108" s="27">
        <v>10</v>
      </c>
      <c r="K108" s="29" t="s">
        <v>35</v>
      </c>
      <c r="L108" s="39"/>
      <c r="M108" s="31"/>
      <c r="N108" s="27"/>
      <c r="P108" s="32"/>
      <c r="Q108" s="25"/>
      <c r="R108" s="27"/>
      <c r="S108" s="27"/>
      <c r="T108" s="28"/>
      <c r="U108" s="27"/>
      <c r="V108" s="27"/>
      <c r="W108" s="28"/>
      <c r="X108" s="33"/>
      <c r="Y108" s="32"/>
      <c r="Z108" s="25"/>
      <c r="AA108" s="27"/>
      <c r="AB108" s="28"/>
      <c r="AC108" s="27"/>
      <c r="AD108" s="27"/>
      <c r="AE108" s="33"/>
      <c r="AF108" s="32"/>
      <c r="AG108" s="90"/>
      <c r="AH108" s="91"/>
      <c r="AI108" s="27">
        <v>0.05</v>
      </c>
      <c r="AJ108" s="27">
        <v>0.05</v>
      </c>
      <c r="AK108" s="28">
        <v>0.05</v>
      </c>
      <c r="AL108" s="27"/>
      <c r="AM108" s="27"/>
      <c r="AN108" s="27">
        <v>0.1</v>
      </c>
      <c r="AO108" s="27">
        <v>0.1</v>
      </c>
      <c r="AP108" s="36">
        <v>0.1</v>
      </c>
      <c r="AQ108" s="37"/>
      <c r="AR108" s="32"/>
      <c r="AS108" s="25" t="s">
        <v>96</v>
      </c>
      <c r="AT108" s="27" t="s">
        <v>87</v>
      </c>
      <c r="AU108" s="27"/>
      <c r="AW108" s="25" t="s">
        <v>90</v>
      </c>
      <c r="AX108" s="27" t="s">
        <v>95</v>
      </c>
      <c r="AY108" s="27"/>
      <c r="AZ108" s="32"/>
      <c r="BA108" s="41"/>
    </row>
    <row r="109" spans="1:53" x14ac:dyDescent="0.2">
      <c r="A109" s="25">
        <v>85</v>
      </c>
      <c r="B109" s="26" t="s">
        <v>117</v>
      </c>
      <c r="C109" s="98">
        <v>45005</v>
      </c>
      <c r="D109" s="25"/>
      <c r="E109" s="28"/>
      <c r="F109" s="27"/>
      <c r="G109" s="28"/>
      <c r="H109" s="27"/>
      <c r="I109" s="28"/>
      <c r="J109" s="27">
        <v>10</v>
      </c>
      <c r="K109" s="29" t="s">
        <v>35</v>
      </c>
      <c r="L109" s="39"/>
      <c r="M109" s="31"/>
      <c r="N109" s="27"/>
      <c r="P109" s="32"/>
      <c r="Q109" s="25"/>
      <c r="R109" s="27"/>
      <c r="S109" s="27"/>
      <c r="T109" s="28"/>
      <c r="U109" s="27"/>
      <c r="V109" s="27"/>
      <c r="W109" s="28"/>
      <c r="X109" s="33"/>
      <c r="Y109" s="32"/>
      <c r="Z109" s="25"/>
      <c r="AA109" s="27"/>
      <c r="AB109" s="28"/>
      <c r="AC109" s="27"/>
      <c r="AD109" s="27"/>
      <c r="AE109" s="33"/>
      <c r="AF109" s="32"/>
      <c r="AG109" s="90"/>
      <c r="AH109" s="91"/>
      <c r="AI109" s="27">
        <v>0.05</v>
      </c>
      <c r="AJ109" s="27">
        <v>0.5</v>
      </c>
      <c r="AK109" s="28">
        <v>0.05</v>
      </c>
      <c r="AL109" s="27"/>
      <c r="AM109" s="27"/>
      <c r="AN109" s="27">
        <v>0.1</v>
      </c>
      <c r="AO109" s="27">
        <v>0.1</v>
      </c>
      <c r="AP109" s="36">
        <v>0.1</v>
      </c>
      <c r="AQ109" s="37"/>
      <c r="AR109" s="32"/>
      <c r="AS109" s="25" t="s">
        <v>96</v>
      </c>
      <c r="AT109" s="27" t="s">
        <v>87</v>
      </c>
      <c r="AU109" s="27"/>
      <c r="AW109" s="25" t="s">
        <v>90</v>
      </c>
      <c r="AX109" s="27" t="s">
        <v>95</v>
      </c>
      <c r="AY109" s="27"/>
      <c r="AZ109" s="32"/>
      <c r="BA109" s="41"/>
    </row>
    <row r="110" spans="1:53" x14ac:dyDescent="0.2">
      <c r="A110" s="25">
        <v>86</v>
      </c>
      <c r="B110" s="26" t="s">
        <v>117</v>
      </c>
      <c r="C110" s="98">
        <v>45006</v>
      </c>
      <c r="D110" s="25"/>
      <c r="E110" s="28"/>
      <c r="F110" s="27"/>
      <c r="G110" s="28"/>
      <c r="H110" s="27"/>
      <c r="I110" s="28"/>
      <c r="J110" s="27">
        <v>10</v>
      </c>
      <c r="K110" s="29" t="s">
        <v>35</v>
      </c>
      <c r="L110" s="39"/>
      <c r="M110" s="31"/>
      <c r="N110" s="27"/>
      <c r="P110" s="32"/>
      <c r="Q110" s="25"/>
      <c r="R110" s="27"/>
      <c r="S110" s="27"/>
      <c r="T110" s="28"/>
      <c r="U110" s="27"/>
      <c r="V110" s="27"/>
      <c r="W110" s="28"/>
      <c r="X110" s="33"/>
      <c r="Y110" s="32"/>
      <c r="Z110" s="25"/>
      <c r="AA110" s="27"/>
      <c r="AB110" s="28"/>
      <c r="AC110" s="27"/>
      <c r="AD110" s="27"/>
      <c r="AE110" s="33"/>
      <c r="AF110" s="32"/>
      <c r="AG110" s="90"/>
      <c r="AH110" s="91"/>
      <c r="AI110" s="27">
        <v>0.05</v>
      </c>
      <c r="AJ110" s="27">
        <v>0.05</v>
      </c>
      <c r="AK110" s="28">
        <v>0.05</v>
      </c>
      <c r="AL110" s="27"/>
      <c r="AM110" s="27"/>
      <c r="AN110" s="27">
        <v>0.1</v>
      </c>
      <c r="AO110" s="27">
        <v>0.1</v>
      </c>
      <c r="AP110" s="36">
        <v>0.1</v>
      </c>
      <c r="AQ110" s="37"/>
      <c r="AR110" s="32"/>
      <c r="AS110" s="25" t="s">
        <v>96</v>
      </c>
      <c r="AT110" s="27" t="s">
        <v>87</v>
      </c>
      <c r="AU110" s="27"/>
      <c r="AW110" s="25" t="s">
        <v>90</v>
      </c>
      <c r="AX110" s="27" t="s">
        <v>95</v>
      </c>
      <c r="AY110" s="27"/>
      <c r="AZ110" s="32"/>
      <c r="BA110" s="41"/>
    </row>
    <row r="111" spans="1:53" x14ac:dyDescent="0.2">
      <c r="A111" s="25">
        <v>87</v>
      </c>
      <c r="B111" s="26" t="s">
        <v>140</v>
      </c>
      <c r="C111" s="98">
        <v>45007</v>
      </c>
      <c r="D111" s="25"/>
      <c r="E111" s="28"/>
      <c r="F111" s="27"/>
      <c r="G111" s="28"/>
      <c r="H111" s="27"/>
      <c r="I111" s="28"/>
      <c r="J111" s="27">
        <v>10</v>
      </c>
      <c r="K111" s="29" t="s">
        <v>35</v>
      </c>
      <c r="L111" s="39"/>
      <c r="M111" s="31"/>
      <c r="N111" s="27"/>
      <c r="P111" s="32"/>
      <c r="Q111" s="25"/>
      <c r="R111" s="27"/>
      <c r="S111" s="27"/>
      <c r="T111" s="28"/>
      <c r="U111" s="27"/>
      <c r="V111" s="27"/>
      <c r="W111" s="28"/>
      <c r="X111" s="33"/>
      <c r="Y111" s="32"/>
      <c r="Z111" s="25"/>
      <c r="AA111" s="27"/>
      <c r="AB111" s="28"/>
      <c r="AC111" s="27"/>
      <c r="AD111" s="27"/>
      <c r="AE111" s="33"/>
      <c r="AF111" s="32"/>
      <c r="AG111" s="90"/>
      <c r="AH111" s="91"/>
      <c r="AI111" s="27"/>
      <c r="AJ111" s="27"/>
      <c r="AK111" s="28"/>
      <c r="AL111" s="27"/>
      <c r="AM111" s="27"/>
      <c r="AN111" s="27"/>
      <c r="AO111" s="27"/>
      <c r="AP111" s="36"/>
      <c r="AQ111" s="37"/>
      <c r="AR111" s="32"/>
      <c r="AS111" s="25" t="s">
        <v>96</v>
      </c>
      <c r="AT111" s="27" t="s">
        <v>87</v>
      </c>
      <c r="AU111" s="27"/>
      <c r="AW111" s="25" t="s">
        <v>90</v>
      </c>
      <c r="AX111" s="27" t="s">
        <v>95</v>
      </c>
      <c r="AY111" s="27"/>
      <c r="AZ111" s="32"/>
      <c r="BA111" s="41"/>
    </row>
    <row r="112" spans="1:53" x14ac:dyDescent="0.2">
      <c r="A112" s="25">
        <v>88</v>
      </c>
      <c r="B112" s="26" t="s">
        <v>140</v>
      </c>
      <c r="C112" s="98">
        <v>45008</v>
      </c>
      <c r="D112" s="25"/>
      <c r="E112" s="28"/>
      <c r="F112" s="27"/>
      <c r="G112" s="28"/>
      <c r="H112" s="27"/>
      <c r="I112" s="28"/>
      <c r="J112" s="27">
        <v>10</v>
      </c>
      <c r="K112" s="29" t="s">
        <v>35</v>
      </c>
      <c r="L112" s="39"/>
      <c r="M112" s="31"/>
      <c r="N112" s="27"/>
      <c r="P112" s="32"/>
      <c r="Q112" s="25"/>
      <c r="R112" s="27"/>
      <c r="S112" s="27"/>
      <c r="T112" s="28"/>
      <c r="U112" s="27"/>
      <c r="V112" s="27"/>
      <c r="W112" s="28"/>
      <c r="X112" s="33"/>
      <c r="Y112" s="32"/>
      <c r="Z112" s="25"/>
      <c r="AA112" s="27"/>
      <c r="AB112" s="28"/>
      <c r="AC112" s="27"/>
      <c r="AD112" s="27"/>
      <c r="AE112" s="33"/>
      <c r="AF112" s="32"/>
      <c r="AG112" s="90"/>
      <c r="AH112" s="91"/>
      <c r="AI112" s="27"/>
      <c r="AJ112" s="27"/>
      <c r="AK112" s="28"/>
      <c r="AL112" s="27"/>
      <c r="AM112" s="27"/>
      <c r="AN112" s="27"/>
      <c r="AO112" s="27"/>
      <c r="AP112" s="36"/>
      <c r="AQ112" s="37"/>
      <c r="AR112" s="32"/>
      <c r="AS112" s="25" t="s">
        <v>96</v>
      </c>
      <c r="AT112" s="27" t="s">
        <v>87</v>
      </c>
      <c r="AU112" s="27"/>
      <c r="AW112" s="25" t="s">
        <v>90</v>
      </c>
      <c r="AX112" s="27" t="s">
        <v>95</v>
      </c>
      <c r="AY112" s="27"/>
      <c r="AZ112" s="32"/>
      <c r="BA112" s="41"/>
    </row>
    <row r="113" spans="1:53" x14ac:dyDescent="0.2">
      <c r="A113" s="25">
        <v>89</v>
      </c>
      <c r="B113" s="26"/>
      <c r="C113" s="98">
        <v>45009</v>
      </c>
      <c r="D113" s="25"/>
      <c r="E113" s="28"/>
      <c r="F113" s="27"/>
      <c r="G113" s="28"/>
      <c r="H113" s="27"/>
      <c r="I113" s="28"/>
      <c r="J113" s="27">
        <v>10</v>
      </c>
      <c r="K113" s="29" t="s">
        <v>35</v>
      </c>
      <c r="L113" s="39"/>
      <c r="M113" s="31"/>
      <c r="N113" s="27"/>
      <c r="P113" s="32"/>
      <c r="Q113" s="25"/>
      <c r="R113" s="27"/>
      <c r="S113" s="27"/>
      <c r="T113" s="28"/>
      <c r="U113" s="27"/>
      <c r="V113" s="27"/>
      <c r="W113" s="28"/>
      <c r="X113" s="33"/>
      <c r="Y113" s="32"/>
      <c r="Z113" s="25"/>
      <c r="AA113" s="27"/>
      <c r="AB113" s="28"/>
      <c r="AC113" s="27"/>
      <c r="AD113" s="27"/>
      <c r="AE113" s="33"/>
      <c r="AF113" s="32"/>
      <c r="AG113" s="90"/>
      <c r="AH113" s="91"/>
      <c r="AI113" s="27"/>
      <c r="AJ113" s="27"/>
      <c r="AK113" s="28"/>
      <c r="AL113" s="27"/>
      <c r="AM113" s="27"/>
      <c r="AN113" s="27"/>
      <c r="AO113" s="27"/>
      <c r="AP113" s="36"/>
      <c r="AQ113" s="37"/>
      <c r="AR113" s="32"/>
      <c r="AS113" s="25" t="s">
        <v>96</v>
      </c>
      <c r="AT113" s="27" t="s">
        <v>87</v>
      </c>
      <c r="AU113" s="27"/>
      <c r="AW113" s="25" t="s">
        <v>90</v>
      </c>
      <c r="AX113" s="27" t="s">
        <v>95</v>
      </c>
      <c r="AY113" s="27"/>
      <c r="AZ113" s="32"/>
      <c r="BA113" s="41"/>
    </row>
    <row r="114" spans="1:53" x14ac:dyDescent="0.2">
      <c r="A114" s="25">
        <v>90</v>
      </c>
      <c r="B114" s="26"/>
      <c r="C114" s="98">
        <v>45010</v>
      </c>
      <c r="D114" s="25"/>
      <c r="E114" s="28"/>
      <c r="F114" s="27"/>
      <c r="G114" s="28"/>
      <c r="H114" s="27"/>
      <c r="I114" s="28"/>
      <c r="J114" s="27">
        <v>10</v>
      </c>
      <c r="K114" s="29" t="s">
        <v>35</v>
      </c>
      <c r="L114" s="39"/>
      <c r="M114" s="31"/>
      <c r="N114" s="27"/>
      <c r="P114" s="32"/>
      <c r="Q114" s="25"/>
      <c r="R114" s="27"/>
      <c r="S114" s="27"/>
      <c r="T114" s="28"/>
      <c r="U114" s="27"/>
      <c r="V114" s="27"/>
      <c r="W114" s="28"/>
      <c r="X114" s="33"/>
      <c r="Y114" s="32"/>
      <c r="Z114" s="25"/>
      <c r="AA114" s="27"/>
      <c r="AB114" s="28"/>
      <c r="AC114" s="27"/>
      <c r="AD114" s="27"/>
      <c r="AE114" s="33"/>
      <c r="AF114" s="32"/>
      <c r="AG114" s="90"/>
      <c r="AH114" s="91"/>
      <c r="AI114" s="27"/>
      <c r="AJ114" s="27"/>
      <c r="AK114" s="28"/>
      <c r="AL114" s="27"/>
      <c r="AM114" s="27"/>
      <c r="AN114" s="27"/>
      <c r="AO114" s="27"/>
      <c r="AP114" s="36"/>
      <c r="AQ114" s="37"/>
      <c r="AR114" s="32"/>
      <c r="AS114" s="25" t="s">
        <v>96</v>
      </c>
      <c r="AT114" s="27" t="s">
        <v>87</v>
      </c>
      <c r="AU114" s="27"/>
      <c r="AW114" s="25" t="s">
        <v>90</v>
      </c>
      <c r="AX114" s="27" t="s">
        <v>95</v>
      </c>
      <c r="AY114" s="27"/>
      <c r="AZ114" s="32"/>
      <c r="BA114" s="41"/>
    </row>
    <row r="115" spans="1:53" s="125" customFormat="1" ht="16" thickBot="1" x14ac:dyDescent="0.25">
      <c r="A115" s="137"/>
      <c r="B115" s="138"/>
      <c r="C115" s="138"/>
      <c r="D115" s="137"/>
      <c r="E115" s="139"/>
      <c r="F115" s="138"/>
      <c r="G115" s="139"/>
      <c r="H115" s="138"/>
      <c r="I115" s="139"/>
      <c r="J115" s="138"/>
      <c r="K115" s="140"/>
      <c r="L115" s="141" t="s">
        <v>156</v>
      </c>
      <c r="M115" s="142"/>
      <c r="N115" s="143"/>
      <c r="O115" s="138"/>
      <c r="P115" s="144"/>
      <c r="Q115" s="145"/>
      <c r="R115" s="143"/>
      <c r="S115" s="143"/>
      <c r="T115" s="146"/>
      <c r="U115" s="143"/>
      <c r="V115" s="143"/>
      <c r="W115" s="146"/>
      <c r="X115" s="147"/>
      <c r="Y115" s="144"/>
      <c r="Z115" s="145"/>
      <c r="AA115" s="143"/>
      <c r="AB115" s="146"/>
      <c r="AC115" s="143"/>
      <c r="AD115" s="143"/>
      <c r="AE115" s="147"/>
      <c r="AF115" s="144"/>
      <c r="AG115" s="148"/>
      <c r="AH115" s="149"/>
      <c r="AI115" s="143"/>
      <c r="AJ115" s="143"/>
      <c r="AK115" s="146"/>
      <c r="AL115" s="143"/>
      <c r="AM115" s="143"/>
      <c r="AN115" s="143"/>
      <c r="AO115" s="143"/>
      <c r="AP115" s="150"/>
      <c r="AQ115" s="151"/>
      <c r="AR115" s="144"/>
      <c r="AS115" s="108" t="s">
        <v>96</v>
      </c>
      <c r="AT115" s="112" t="s">
        <v>87</v>
      </c>
      <c r="AU115" s="112"/>
      <c r="AV115" s="121"/>
      <c r="AW115" s="108" t="s">
        <v>90</v>
      </c>
      <c r="AX115" s="112" t="s">
        <v>95</v>
      </c>
      <c r="AY115" s="112"/>
      <c r="AZ115" s="144"/>
      <c r="BA115" s="152"/>
    </row>
    <row r="116" spans="1:53" x14ac:dyDescent="0.2">
      <c r="AS116" s="25" t="s">
        <v>96</v>
      </c>
      <c r="AT116" s="27" t="s">
        <v>87</v>
      </c>
      <c r="AU116" s="27"/>
      <c r="AW116" s="25" t="s">
        <v>90</v>
      </c>
      <c r="AX116" s="27" t="s">
        <v>95</v>
      </c>
      <c r="AY116" s="27"/>
    </row>
    <row r="117" spans="1:53" x14ac:dyDescent="0.2">
      <c r="AS117" s="25" t="s">
        <v>96</v>
      </c>
      <c r="AT117" s="27" t="s">
        <v>87</v>
      </c>
      <c r="AU117" s="27"/>
      <c r="AW117" s="25" t="s">
        <v>90</v>
      </c>
      <c r="AX117" s="27" t="s">
        <v>95</v>
      </c>
      <c r="AY117" s="27"/>
    </row>
  </sheetData>
  <mergeCells count="57">
    <mergeCell ref="AY21:AY23"/>
    <mergeCell ref="AZ21:AZ23"/>
    <mergeCell ref="BA21:BA23"/>
    <mergeCell ref="X28:X35"/>
    <mergeCell ref="O44:O64"/>
    <mergeCell ref="AS21:AS23"/>
    <mergeCell ref="AT21:AT23"/>
    <mergeCell ref="AU21:AU23"/>
    <mergeCell ref="AV21:AV23"/>
    <mergeCell ref="AW21:AW23"/>
    <mergeCell ref="AX21:AX23"/>
    <mergeCell ref="AI21:AK22"/>
    <mergeCell ref="AL21:AL23"/>
    <mergeCell ref="AM21:AM22"/>
    <mergeCell ref="AN21:AP22"/>
    <mergeCell ref="AQ21:AQ23"/>
    <mergeCell ref="R21:T22"/>
    <mergeCell ref="U21:W22"/>
    <mergeCell ref="X21:X23"/>
    <mergeCell ref="AR21:AR23"/>
    <mergeCell ref="Z21:AB22"/>
    <mergeCell ref="AC21:AD22"/>
    <mergeCell ref="AE21:AE23"/>
    <mergeCell ref="AF21:AF23"/>
    <mergeCell ref="AG21:AG22"/>
    <mergeCell ref="AH21:AH23"/>
    <mergeCell ref="A21:A23"/>
    <mergeCell ref="B21:B23"/>
    <mergeCell ref="C21:C23"/>
    <mergeCell ref="D21:E22"/>
    <mergeCell ref="F21:G22"/>
    <mergeCell ref="H21:I22"/>
    <mergeCell ref="AG18:AP19"/>
    <mergeCell ref="AS18:AV20"/>
    <mergeCell ref="AW18:AZ20"/>
    <mergeCell ref="BA18:BA20"/>
    <mergeCell ref="AG20:AK20"/>
    <mergeCell ref="AM20:AP20"/>
    <mergeCell ref="Y21:Y23"/>
    <mergeCell ref="J21:J23"/>
    <mergeCell ref="K21:K23"/>
    <mergeCell ref="L21:L23"/>
    <mergeCell ref="M21:M23"/>
    <mergeCell ref="N21:N23"/>
    <mergeCell ref="O21:O23"/>
    <mergeCell ref="P21:P23"/>
    <mergeCell ref="Q21:Q23"/>
    <mergeCell ref="A1:C2"/>
    <mergeCell ref="B4:K4"/>
    <mergeCell ref="Q12:Y17"/>
    <mergeCell ref="Z12:AF17"/>
    <mergeCell ref="AG12:AR17"/>
    <mergeCell ref="A18:C20"/>
    <mergeCell ref="D18:M20"/>
    <mergeCell ref="N18:P20"/>
    <mergeCell ref="Q18:Y20"/>
    <mergeCell ref="Z18:AF20"/>
  </mergeCell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S115"/>
  <sheetViews>
    <sheetView zoomScale="80" zoomScaleNormal="80" workbookViewId="0">
      <pane xSplit="1" ySplit="2" topLeftCell="B12" activePane="bottomRight" state="frozen"/>
      <selection activeCell="C36" sqref="C36"/>
      <selection pane="topRight" activeCell="C36" sqref="C36"/>
      <selection pane="bottomLeft" activeCell="C36" sqref="C36"/>
      <selection pane="bottomRight" activeCell="K21" sqref="K21:K23"/>
    </sheetView>
  </sheetViews>
  <sheetFormatPr baseColWidth="10" defaultColWidth="8.83203125" defaultRowHeight="15" x14ac:dyDescent="0.2"/>
  <cols>
    <col min="1" max="1" width="18.83203125" customWidth="1"/>
    <col min="2" max="2" width="18.33203125" customWidth="1"/>
    <col min="3" max="3" width="17.5" bestFit="1" customWidth="1"/>
    <col min="4" max="9" width="9.1640625" hidden="1" customWidth="1"/>
    <col min="10" max="10" width="9.1640625" customWidth="1"/>
    <col min="11" max="11" width="10.33203125" style="92" customWidth="1"/>
    <col min="12" max="12" width="71.5" bestFit="1" customWidth="1"/>
    <col min="13" max="13" width="40.5" customWidth="1"/>
    <col min="14" max="14" width="18.1640625" bestFit="1" customWidth="1"/>
    <col min="15" max="15" width="47.83203125" bestFit="1" customWidth="1"/>
    <col min="16" max="16" width="36" customWidth="1"/>
    <col min="17" max="17" width="11.5" hidden="1" customWidth="1"/>
    <col min="18" max="19" width="0" hidden="1" customWidth="1"/>
    <col min="20" max="20" width="10.6640625" hidden="1" customWidth="1"/>
    <col min="22" max="22" width="0" hidden="1" customWidth="1"/>
    <col min="24" max="24" width="33.6640625" customWidth="1"/>
    <col min="25" max="25" width="36.5" customWidth="1"/>
    <col min="26" max="28" width="0" hidden="1" customWidth="1"/>
    <col min="29" max="29" width="18" customWidth="1"/>
    <col min="30" max="30" width="0" hidden="1" customWidth="1"/>
    <col min="31" max="31" width="44.5" bestFit="1" customWidth="1"/>
    <col min="32" max="32" width="40.83203125" customWidth="1"/>
    <col min="43" max="43" width="46.6640625" customWidth="1"/>
    <col min="44" max="44" width="61" customWidth="1"/>
    <col min="45" max="45" width="13.5" customWidth="1"/>
    <col min="46" max="46" width="12.83203125" customWidth="1"/>
    <col min="47" max="47" width="26.5" customWidth="1"/>
    <col min="48" max="48" width="46.33203125" customWidth="1"/>
    <col min="49" max="49" width="12.1640625" customWidth="1"/>
    <col min="50" max="50" width="12.83203125" customWidth="1"/>
    <col min="51" max="51" width="69.1640625" customWidth="1"/>
    <col min="52" max="52" width="35" customWidth="1"/>
    <col min="53" max="53" width="18.1640625" customWidth="1"/>
    <col min="71" max="71" width="20.5" customWidth="1"/>
  </cols>
  <sheetData>
    <row r="1" spans="1:44" ht="16.5" customHeight="1" x14ac:dyDescent="0.2">
      <c r="A1" s="402" t="s">
        <v>98</v>
      </c>
      <c r="B1" s="402"/>
      <c r="C1" s="402"/>
    </row>
    <row r="2" spans="1:44" ht="16.5" customHeight="1" x14ac:dyDescent="0.2">
      <c r="A2" s="402"/>
      <c r="B2" s="402"/>
      <c r="C2" s="402"/>
    </row>
    <row r="3" spans="1:44" ht="16" thickBot="1" x14ac:dyDescent="0.25"/>
    <row r="4" spans="1:44" ht="25" thickBot="1" x14ac:dyDescent="0.25">
      <c r="A4" s="93" t="s">
        <v>99</v>
      </c>
      <c r="B4" s="403"/>
      <c r="C4" s="404"/>
      <c r="D4" s="404"/>
      <c r="E4" s="404"/>
      <c r="F4" s="404"/>
      <c r="G4" s="404"/>
      <c r="H4" s="404"/>
      <c r="I4" s="404"/>
      <c r="J4" s="404"/>
      <c r="K4" s="405"/>
    </row>
    <row r="6" spans="1:44" x14ac:dyDescent="0.2">
      <c r="B6" s="94" t="s">
        <v>100</v>
      </c>
      <c r="C6" s="95"/>
    </row>
    <row r="7" spans="1:44" x14ac:dyDescent="0.2">
      <c r="B7" s="94" t="s">
        <v>101</v>
      </c>
      <c r="C7" s="95" t="s">
        <v>143</v>
      </c>
    </row>
    <row r="8" spans="1:44" x14ac:dyDescent="0.2">
      <c r="B8" s="94" t="s">
        <v>102</v>
      </c>
      <c r="C8" s="96">
        <v>7</v>
      </c>
    </row>
    <row r="9" spans="1:44" x14ac:dyDescent="0.2">
      <c r="B9" s="94" t="s">
        <v>103</v>
      </c>
      <c r="C9" s="96" t="e">
        <f>(C8/C7)*100</f>
        <v>#VALUE!</v>
      </c>
    </row>
    <row r="10" spans="1:44" x14ac:dyDescent="0.2">
      <c r="B10" s="94" t="s">
        <v>104</v>
      </c>
      <c r="C10" s="96"/>
    </row>
    <row r="11" spans="1:44" ht="15" customHeight="1" x14ac:dyDescent="0.2">
      <c r="B11" s="94" t="s">
        <v>106</v>
      </c>
      <c r="C11" s="96"/>
    </row>
    <row r="12" spans="1:44" x14ac:dyDescent="0.2">
      <c r="Q12" s="406"/>
      <c r="R12" s="406"/>
      <c r="S12" s="406"/>
      <c r="T12" s="406"/>
      <c r="U12" s="406"/>
      <c r="V12" s="406"/>
      <c r="W12" s="406"/>
      <c r="X12" s="406"/>
      <c r="Y12" s="406"/>
      <c r="Z12" s="408"/>
      <c r="AA12" s="408"/>
      <c r="AB12" s="408"/>
      <c r="AC12" s="408"/>
      <c r="AD12" s="408"/>
      <c r="AE12" s="408"/>
      <c r="AF12" s="408"/>
      <c r="AG12" s="406"/>
      <c r="AH12" s="406"/>
      <c r="AI12" s="406"/>
      <c r="AJ12" s="406"/>
      <c r="AK12" s="406"/>
      <c r="AL12" s="406"/>
      <c r="AM12" s="406"/>
      <c r="AN12" s="406"/>
      <c r="AO12" s="406"/>
      <c r="AP12" s="406"/>
      <c r="AQ12" s="406"/>
      <c r="AR12" s="406"/>
    </row>
    <row r="13" spans="1:44" ht="24" x14ac:dyDescent="0.2">
      <c r="B13" s="97" t="s">
        <v>108</v>
      </c>
      <c r="L13">
        <v>21</v>
      </c>
      <c r="Q13" s="406"/>
      <c r="R13" s="406"/>
      <c r="S13" s="406"/>
      <c r="T13" s="406"/>
      <c r="U13" s="406"/>
      <c r="V13" s="406"/>
      <c r="W13" s="406"/>
      <c r="X13" s="406"/>
      <c r="Y13" s="406"/>
      <c r="Z13" s="408"/>
      <c r="AA13" s="408"/>
      <c r="AB13" s="408"/>
      <c r="AC13" s="408"/>
      <c r="AD13" s="408"/>
      <c r="AE13" s="408"/>
      <c r="AF13" s="408"/>
      <c r="AG13" s="406"/>
      <c r="AH13" s="406"/>
      <c r="AI13" s="406"/>
      <c r="AJ13" s="406"/>
      <c r="AK13" s="406"/>
      <c r="AL13" s="406"/>
      <c r="AM13" s="406"/>
      <c r="AN13" s="406"/>
      <c r="AO13" s="406"/>
      <c r="AP13" s="406"/>
      <c r="AQ13" s="406"/>
      <c r="AR13" s="406"/>
    </row>
    <row r="14" spans="1:44" ht="15" customHeight="1" x14ac:dyDescent="0.2">
      <c r="B14" s="94" t="s">
        <v>109</v>
      </c>
      <c r="Q14" s="406"/>
      <c r="R14" s="406"/>
      <c r="S14" s="406"/>
      <c r="T14" s="406"/>
      <c r="U14" s="406"/>
      <c r="V14" s="406"/>
      <c r="W14" s="406"/>
      <c r="X14" s="406"/>
      <c r="Y14" s="406"/>
      <c r="Z14" s="408"/>
      <c r="AA14" s="408"/>
      <c r="AB14" s="408"/>
      <c r="AC14" s="408"/>
      <c r="AD14" s="408"/>
      <c r="AE14" s="408"/>
      <c r="AF14" s="408"/>
      <c r="AG14" s="406"/>
      <c r="AH14" s="406"/>
      <c r="AI14" s="406"/>
      <c r="AJ14" s="406"/>
      <c r="AK14" s="406"/>
      <c r="AL14" s="406"/>
      <c r="AM14" s="406"/>
      <c r="AN14" s="406"/>
      <c r="AO14" s="406"/>
      <c r="AP14" s="406"/>
      <c r="AQ14" s="406"/>
      <c r="AR14" s="406"/>
    </row>
    <row r="15" spans="1:44" ht="15" customHeight="1" x14ac:dyDescent="0.2">
      <c r="A15" s="94"/>
      <c r="B15" s="95"/>
      <c r="Q15" s="406"/>
      <c r="R15" s="406"/>
      <c r="S15" s="406"/>
      <c r="T15" s="406"/>
      <c r="U15" s="406"/>
      <c r="V15" s="406"/>
      <c r="W15" s="406"/>
      <c r="X15" s="406"/>
      <c r="Y15" s="406"/>
      <c r="Z15" s="408"/>
      <c r="AA15" s="408"/>
      <c r="AB15" s="408"/>
      <c r="AC15" s="408"/>
      <c r="AD15" s="408"/>
      <c r="AE15" s="408"/>
      <c r="AF15" s="408"/>
      <c r="AG15" s="406"/>
      <c r="AH15" s="406"/>
      <c r="AI15" s="406"/>
      <c r="AJ15" s="406"/>
      <c r="AK15" s="406"/>
      <c r="AL15" s="406"/>
      <c r="AM15" s="406"/>
      <c r="AN15" s="406"/>
      <c r="AO15" s="406"/>
      <c r="AP15" s="406"/>
      <c r="AQ15" s="406"/>
      <c r="AR15" s="406"/>
    </row>
    <row r="16" spans="1:44" ht="15" customHeight="1" x14ac:dyDescent="0.2">
      <c r="A16" s="94"/>
      <c r="B16" s="95"/>
      <c r="Q16" s="406"/>
      <c r="R16" s="406"/>
      <c r="S16" s="406"/>
      <c r="T16" s="406"/>
      <c r="U16" s="406"/>
      <c r="V16" s="406"/>
      <c r="W16" s="406"/>
      <c r="X16" s="406"/>
      <c r="Y16" s="406"/>
      <c r="Z16" s="408"/>
      <c r="AA16" s="408"/>
      <c r="AB16" s="408"/>
      <c r="AC16" s="408"/>
      <c r="AD16" s="408"/>
      <c r="AE16" s="408"/>
      <c r="AF16" s="408"/>
      <c r="AG16" s="406"/>
      <c r="AH16" s="406"/>
      <c r="AI16" s="406"/>
      <c r="AJ16" s="406"/>
      <c r="AK16" s="406"/>
      <c r="AL16" s="406"/>
      <c r="AM16" s="406"/>
      <c r="AN16" s="406"/>
      <c r="AO16" s="406"/>
      <c r="AP16" s="406"/>
      <c r="AQ16" s="406"/>
      <c r="AR16" s="406"/>
    </row>
    <row r="17" spans="1:53" ht="15.75" customHeight="1" thickBot="1" x14ac:dyDescent="0.25">
      <c r="Q17" s="407"/>
      <c r="R17" s="407"/>
      <c r="S17" s="407"/>
      <c r="T17" s="407"/>
      <c r="U17" s="407"/>
      <c r="V17" s="407"/>
      <c r="W17" s="407"/>
      <c r="X17" s="407"/>
      <c r="Y17" s="407"/>
      <c r="Z17" s="409"/>
      <c r="AA17" s="409"/>
      <c r="AB17" s="409"/>
      <c r="AC17" s="409"/>
      <c r="AD17" s="409"/>
      <c r="AE17" s="409"/>
      <c r="AF17" s="409"/>
      <c r="AG17" s="407"/>
      <c r="AH17" s="407"/>
      <c r="AI17" s="407"/>
      <c r="AJ17" s="407"/>
      <c r="AK17" s="407"/>
      <c r="AL17" s="407"/>
      <c r="AM17" s="407"/>
      <c r="AN17" s="407"/>
      <c r="AO17" s="407"/>
      <c r="AP17" s="407"/>
      <c r="AQ17" s="407"/>
      <c r="AR17" s="407"/>
    </row>
    <row r="18" spans="1:53" ht="15" customHeight="1" x14ac:dyDescent="0.2">
      <c r="A18" s="209" t="s">
        <v>0</v>
      </c>
      <c r="B18" s="210"/>
      <c r="C18" s="210"/>
      <c r="D18" s="215" t="s">
        <v>1</v>
      </c>
      <c r="E18" s="215"/>
      <c r="F18" s="215"/>
      <c r="G18" s="215"/>
      <c r="H18" s="215"/>
      <c r="I18" s="215"/>
      <c r="J18" s="215"/>
      <c r="K18" s="215"/>
      <c r="L18" s="215"/>
      <c r="M18" s="215"/>
      <c r="N18" s="218" t="s">
        <v>2</v>
      </c>
      <c r="O18" s="218"/>
      <c r="P18" s="219"/>
      <c r="Q18" s="224" t="s">
        <v>3</v>
      </c>
      <c r="R18" s="225"/>
      <c r="S18" s="225"/>
      <c r="T18" s="225"/>
      <c r="U18" s="225"/>
      <c r="V18" s="225"/>
      <c r="W18" s="225"/>
      <c r="X18" s="225"/>
      <c r="Y18" s="226"/>
      <c r="Z18" s="230" t="s">
        <v>4</v>
      </c>
      <c r="AA18" s="231"/>
      <c r="AB18" s="231"/>
      <c r="AC18" s="231"/>
      <c r="AD18" s="231"/>
      <c r="AE18" s="231"/>
      <c r="AF18" s="232"/>
      <c r="AG18" s="271" t="s">
        <v>5</v>
      </c>
      <c r="AH18" s="271"/>
      <c r="AI18" s="271"/>
      <c r="AJ18" s="271"/>
      <c r="AK18" s="271"/>
      <c r="AL18" s="271"/>
      <c r="AM18" s="271"/>
      <c r="AN18" s="271"/>
      <c r="AO18" s="271"/>
      <c r="AP18" s="271"/>
      <c r="AQ18" s="1"/>
      <c r="AR18" s="2"/>
      <c r="AS18" s="251" t="s">
        <v>6</v>
      </c>
      <c r="AT18" s="252"/>
      <c r="AU18" s="252"/>
      <c r="AV18" s="252"/>
      <c r="AW18" s="257" t="s">
        <v>7</v>
      </c>
      <c r="AX18" s="258"/>
      <c r="AY18" s="258"/>
      <c r="AZ18" s="259"/>
      <c r="BA18" s="266" t="s">
        <v>8</v>
      </c>
    </row>
    <row r="19" spans="1:53" ht="15" customHeight="1" x14ac:dyDescent="0.2">
      <c r="A19" s="211"/>
      <c r="B19" s="212"/>
      <c r="C19" s="212"/>
      <c r="D19" s="216"/>
      <c r="E19" s="216"/>
      <c r="F19" s="216"/>
      <c r="G19" s="216"/>
      <c r="H19" s="216"/>
      <c r="I19" s="216"/>
      <c r="J19" s="216"/>
      <c r="K19" s="216"/>
      <c r="L19" s="216"/>
      <c r="M19" s="216"/>
      <c r="N19" s="220"/>
      <c r="O19" s="220"/>
      <c r="P19" s="221"/>
      <c r="Q19" s="227"/>
      <c r="R19" s="228"/>
      <c r="S19" s="228"/>
      <c r="T19" s="228"/>
      <c r="U19" s="228"/>
      <c r="V19" s="228"/>
      <c r="W19" s="228"/>
      <c r="X19" s="228"/>
      <c r="Y19" s="229"/>
      <c r="Z19" s="233"/>
      <c r="AA19" s="234"/>
      <c r="AB19" s="234"/>
      <c r="AC19" s="234"/>
      <c r="AD19" s="234"/>
      <c r="AE19" s="234"/>
      <c r="AF19" s="235"/>
      <c r="AG19" s="272"/>
      <c r="AH19" s="272"/>
      <c r="AI19" s="272"/>
      <c r="AJ19" s="272"/>
      <c r="AK19" s="272"/>
      <c r="AL19" s="272"/>
      <c r="AM19" s="272"/>
      <c r="AN19" s="272"/>
      <c r="AO19" s="272"/>
      <c r="AP19" s="272"/>
      <c r="AQ19" s="3"/>
      <c r="AR19" s="4"/>
      <c r="AS19" s="253"/>
      <c r="AT19" s="254"/>
      <c r="AU19" s="254"/>
      <c r="AV19" s="254"/>
      <c r="AW19" s="260"/>
      <c r="AX19" s="261"/>
      <c r="AY19" s="261"/>
      <c r="AZ19" s="262"/>
      <c r="BA19" s="267"/>
    </row>
    <row r="20" spans="1:53" ht="15" customHeight="1" thickBot="1" x14ac:dyDescent="0.25">
      <c r="A20" s="213"/>
      <c r="B20" s="214"/>
      <c r="C20" s="214"/>
      <c r="D20" s="217"/>
      <c r="E20" s="217"/>
      <c r="F20" s="217"/>
      <c r="G20" s="217"/>
      <c r="H20" s="217"/>
      <c r="I20" s="217"/>
      <c r="J20" s="217"/>
      <c r="K20" s="217"/>
      <c r="L20" s="217"/>
      <c r="M20" s="217"/>
      <c r="N20" s="222"/>
      <c r="O20" s="222"/>
      <c r="P20" s="223"/>
      <c r="Q20" s="227"/>
      <c r="R20" s="228"/>
      <c r="S20" s="228"/>
      <c r="T20" s="228"/>
      <c r="U20" s="228"/>
      <c r="V20" s="228"/>
      <c r="W20" s="228"/>
      <c r="X20" s="228"/>
      <c r="Y20" s="229"/>
      <c r="Z20" s="233"/>
      <c r="AA20" s="234"/>
      <c r="AB20" s="234"/>
      <c r="AC20" s="234"/>
      <c r="AD20" s="234"/>
      <c r="AE20" s="234"/>
      <c r="AF20" s="235"/>
      <c r="AG20" s="269" t="s">
        <v>9</v>
      </c>
      <c r="AH20" s="269"/>
      <c r="AI20" s="269"/>
      <c r="AJ20" s="269"/>
      <c r="AK20" s="270"/>
      <c r="AL20" s="5"/>
      <c r="AM20" s="269" t="s">
        <v>10</v>
      </c>
      <c r="AN20" s="269"/>
      <c r="AO20" s="269"/>
      <c r="AP20" s="270"/>
      <c r="AQ20" s="6"/>
      <c r="AR20" s="7"/>
      <c r="AS20" s="255"/>
      <c r="AT20" s="256"/>
      <c r="AU20" s="256"/>
      <c r="AV20" s="256"/>
      <c r="AW20" s="263"/>
      <c r="AX20" s="264"/>
      <c r="AY20" s="264"/>
      <c r="AZ20" s="265"/>
      <c r="BA20" s="268"/>
    </row>
    <row r="21" spans="1:53" ht="15" customHeight="1" x14ac:dyDescent="0.2">
      <c r="A21" s="236" t="s">
        <v>11</v>
      </c>
      <c r="B21" s="239" t="s">
        <v>12</v>
      </c>
      <c r="C21" s="239" t="s">
        <v>13</v>
      </c>
      <c r="D21" s="242" t="s">
        <v>14</v>
      </c>
      <c r="E21" s="243"/>
      <c r="F21" s="246" t="s">
        <v>15</v>
      </c>
      <c r="G21" s="243"/>
      <c r="H21" s="292" t="s">
        <v>16</v>
      </c>
      <c r="I21" s="293"/>
      <c r="J21" s="296" t="s">
        <v>17</v>
      </c>
      <c r="K21" s="299" t="s">
        <v>18</v>
      </c>
      <c r="L21" s="292" t="s">
        <v>19</v>
      </c>
      <c r="M21" s="303" t="s">
        <v>20</v>
      </c>
      <c r="N21" s="248" t="s">
        <v>21</v>
      </c>
      <c r="O21" s="248" t="s">
        <v>19</v>
      </c>
      <c r="P21" s="248" t="s">
        <v>20</v>
      </c>
      <c r="Q21" s="273" t="s">
        <v>22</v>
      </c>
      <c r="R21" s="276" t="s">
        <v>23</v>
      </c>
      <c r="S21" s="276"/>
      <c r="T21" s="277"/>
      <c r="U21" s="280" t="s">
        <v>24</v>
      </c>
      <c r="V21" s="280"/>
      <c r="W21" s="281"/>
      <c r="X21" s="353" t="s">
        <v>19</v>
      </c>
      <c r="Y21" s="330" t="s">
        <v>20</v>
      </c>
      <c r="Z21" s="333" t="s">
        <v>23</v>
      </c>
      <c r="AA21" s="334"/>
      <c r="AB21" s="335"/>
      <c r="AC21" s="339" t="s">
        <v>24</v>
      </c>
      <c r="AD21" s="339"/>
      <c r="AE21" s="339" t="s">
        <v>19</v>
      </c>
      <c r="AF21" s="342" t="s">
        <v>20</v>
      </c>
      <c r="AG21" s="351" t="s">
        <v>25</v>
      </c>
      <c r="AH21" s="318" t="s">
        <v>26</v>
      </c>
      <c r="AI21" s="321" t="s">
        <v>24</v>
      </c>
      <c r="AJ21" s="321"/>
      <c r="AK21" s="321"/>
      <c r="AL21" s="323" t="s">
        <v>27</v>
      </c>
      <c r="AM21" s="325" t="s">
        <v>25</v>
      </c>
      <c r="AN21" s="321" t="s">
        <v>24</v>
      </c>
      <c r="AO21" s="321"/>
      <c r="AP21" s="309"/>
      <c r="AQ21" s="327" t="s">
        <v>19</v>
      </c>
      <c r="AR21" s="309" t="s">
        <v>20</v>
      </c>
      <c r="AS21" s="312" t="s">
        <v>28</v>
      </c>
      <c r="AT21" s="315" t="s">
        <v>29</v>
      </c>
      <c r="AU21" s="315" t="s">
        <v>19</v>
      </c>
      <c r="AV21" s="315" t="s">
        <v>20</v>
      </c>
      <c r="AW21" s="348" t="s">
        <v>30</v>
      </c>
      <c r="AX21" s="284" t="s">
        <v>29</v>
      </c>
      <c r="AY21" s="284" t="s">
        <v>19</v>
      </c>
      <c r="AZ21" s="287" t="s">
        <v>20</v>
      </c>
      <c r="BA21" s="290" t="s">
        <v>31</v>
      </c>
    </row>
    <row r="22" spans="1:53" x14ac:dyDescent="0.2">
      <c r="A22" s="237"/>
      <c r="B22" s="240"/>
      <c r="C22" s="240"/>
      <c r="D22" s="244"/>
      <c r="E22" s="245"/>
      <c r="F22" s="247"/>
      <c r="G22" s="245"/>
      <c r="H22" s="294"/>
      <c r="I22" s="295"/>
      <c r="J22" s="297"/>
      <c r="K22" s="300"/>
      <c r="L22" s="294"/>
      <c r="M22" s="304"/>
      <c r="N22" s="249"/>
      <c r="O22" s="249"/>
      <c r="P22" s="249"/>
      <c r="Q22" s="274"/>
      <c r="R22" s="278"/>
      <c r="S22" s="278"/>
      <c r="T22" s="279"/>
      <c r="U22" s="282"/>
      <c r="V22" s="282"/>
      <c r="W22" s="283"/>
      <c r="X22" s="354"/>
      <c r="Y22" s="331"/>
      <c r="Z22" s="336"/>
      <c r="AA22" s="337"/>
      <c r="AB22" s="338"/>
      <c r="AC22" s="340"/>
      <c r="AD22" s="340"/>
      <c r="AE22" s="340"/>
      <c r="AF22" s="343"/>
      <c r="AG22" s="352"/>
      <c r="AH22" s="319"/>
      <c r="AI22" s="322"/>
      <c r="AJ22" s="322"/>
      <c r="AK22" s="322"/>
      <c r="AL22" s="324"/>
      <c r="AM22" s="326"/>
      <c r="AN22" s="322"/>
      <c r="AO22" s="322"/>
      <c r="AP22" s="310"/>
      <c r="AQ22" s="328"/>
      <c r="AR22" s="310"/>
      <c r="AS22" s="313"/>
      <c r="AT22" s="316"/>
      <c r="AU22" s="316"/>
      <c r="AV22" s="316"/>
      <c r="AW22" s="349"/>
      <c r="AX22" s="285"/>
      <c r="AY22" s="285"/>
      <c r="AZ22" s="288"/>
      <c r="BA22" s="290"/>
    </row>
    <row r="23" spans="1:53" ht="20.25" customHeight="1" thickBot="1" x14ac:dyDescent="0.25">
      <c r="A23" s="238"/>
      <c r="B23" s="241"/>
      <c r="C23" s="241"/>
      <c r="D23" s="8" t="s">
        <v>32</v>
      </c>
      <c r="E23" s="9" t="s">
        <v>33</v>
      </c>
      <c r="F23" s="10" t="s">
        <v>32</v>
      </c>
      <c r="G23" s="9" t="s">
        <v>33</v>
      </c>
      <c r="H23" s="11" t="s">
        <v>32</v>
      </c>
      <c r="I23" s="12" t="s">
        <v>33</v>
      </c>
      <c r="J23" s="298"/>
      <c r="K23" s="301"/>
      <c r="L23" s="302"/>
      <c r="M23" s="305"/>
      <c r="N23" s="250"/>
      <c r="O23" s="250"/>
      <c r="P23" s="250"/>
      <c r="Q23" s="275"/>
      <c r="R23" s="13" t="s">
        <v>32</v>
      </c>
      <c r="S23" s="13" t="s">
        <v>34</v>
      </c>
      <c r="T23" s="14" t="s">
        <v>33</v>
      </c>
      <c r="U23" s="15" t="s">
        <v>32</v>
      </c>
      <c r="V23" s="15" t="s">
        <v>34</v>
      </c>
      <c r="W23" s="16" t="s">
        <v>33</v>
      </c>
      <c r="X23" s="355"/>
      <c r="Y23" s="332"/>
      <c r="Z23" s="17" t="s">
        <v>32</v>
      </c>
      <c r="AA23" s="18" t="s">
        <v>34</v>
      </c>
      <c r="AB23" s="19" t="s">
        <v>33</v>
      </c>
      <c r="AC23" s="20" t="s">
        <v>32</v>
      </c>
      <c r="AD23" s="20" t="s">
        <v>34</v>
      </c>
      <c r="AE23" s="341"/>
      <c r="AF23" s="344"/>
      <c r="AG23" s="21" t="s">
        <v>34</v>
      </c>
      <c r="AH23" s="320"/>
      <c r="AI23" s="22" t="s">
        <v>32</v>
      </c>
      <c r="AJ23" s="22" t="s">
        <v>34</v>
      </c>
      <c r="AK23" s="22" t="s">
        <v>33</v>
      </c>
      <c r="AL23" s="324"/>
      <c r="AM23" s="23" t="s">
        <v>33</v>
      </c>
      <c r="AN23" s="22" t="s">
        <v>32</v>
      </c>
      <c r="AO23" s="22" t="s">
        <v>34</v>
      </c>
      <c r="AP23" s="24" t="s">
        <v>33</v>
      </c>
      <c r="AQ23" s="329"/>
      <c r="AR23" s="311"/>
      <c r="AS23" s="314"/>
      <c r="AT23" s="317"/>
      <c r="AU23" s="317"/>
      <c r="AV23" s="317"/>
      <c r="AW23" s="350"/>
      <c r="AX23" s="286"/>
      <c r="AY23" s="286"/>
      <c r="AZ23" s="289"/>
      <c r="BA23" s="291"/>
    </row>
    <row r="24" spans="1:53" ht="16" thickBot="1" x14ac:dyDescent="0.25">
      <c r="A24" s="25">
        <v>0</v>
      </c>
      <c r="B24" s="26" t="s">
        <v>110</v>
      </c>
      <c r="C24" s="98">
        <v>44920</v>
      </c>
      <c r="D24" s="25"/>
      <c r="E24" s="28"/>
      <c r="F24" s="27"/>
      <c r="G24" s="28"/>
      <c r="H24" s="27"/>
      <c r="I24" s="28"/>
      <c r="J24" s="27">
        <v>4</v>
      </c>
      <c r="K24" s="29" t="s">
        <v>35</v>
      </c>
      <c r="L24" s="30" t="s">
        <v>111</v>
      </c>
      <c r="M24" s="31"/>
      <c r="N24" s="27"/>
      <c r="P24" s="32"/>
      <c r="Q24" s="25"/>
      <c r="R24" s="27"/>
      <c r="S24" s="27"/>
      <c r="T24" s="28"/>
      <c r="U24" s="27"/>
      <c r="V24" s="27"/>
      <c r="W24" s="28"/>
      <c r="X24" s="33"/>
      <c r="Y24" s="32"/>
      <c r="Z24" s="25"/>
      <c r="AA24" s="27"/>
      <c r="AB24" s="28"/>
      <c r="AC24" s="27"/>
      <c r="AD24" s="27"/>
      <c r="AE24" s="33"/>
      <c r="AG24" s="25"/>
      <c r="AH24" s="34"/>
      <c r="AI24" s="27"/>
      <c r="AJ24" s="27"/>
      <c r="AK24" s="27"/>
      <c r="AL24" s="25"/>
      <c r="AM24" s="35"/>
      <c r="AN24" s="27"/>
      <c r="AO24" s="27"/>
      <c r="AP24" s="36"/>
      <c r="AQ24" s="37"/>
      <c r="AR24" s="32"/>
      <c r="AS24" s="25"/>
      <c r="AT24" s="27"/>
      <c r="AU24" s="27"/>
      <c r="AW24" s="25"/>
      <c r="AX24" s="27"/>
      <c r="AY24" s="27"/>
      <c r="AZ24" s="32"/>
      <c r="BA24" s="41"/>
    </row>
    <row r="25" spans="1:53" ht="16" thickBot="1" x14ac:dyDescent="0.25">
      <c r="A25" s="25">
        <v>1</v>
      </c>
      <c r="B25" s="26" t="s">
        <v>110</v>
      </c>
      <c r="C25" s="98">
        <v>44921</v>
      </c>
      <c r="D25" s="25"/>
      <c r="E25" s="28"/>
      <c r="F25" s="27"/>
      <c r="G25" s="28"/>
      <c r="H25" s="27"/>
      <c r="I25" s="28"/>
      <c r="J25" s="27">
        <v>4</v>
      </c>
      <c r="K25" s="29" t="s">
        <v>35</v>
      </c>
      <c r="L25" s="39"/>
      <c r="M25" s="31"/>
      <c r="N25" s="27"/>
      <c r="P25" s="32"/>
      <c r="Q25" s="40"/>
      <c r="R25" s="27"/>
      <c r="S25" s="27"/>
      <c r="T25" s="28"/>
      <c r="U25" s="27"/>
      <c r="V25" s="27"/>
      <c r="W25" s="28"/>
      <c r="X25" s="33"/>
      <c r="Y25" s="32"/>
      <c r="Z25" s="25"/>
      <c r="AA25" s="27"/>
      <c r="AB25" s="28"/>
      <c r="AC25" s="27"/>
      <c r="AD25" s="27"/>
      <c r="AE25" s="33"/>
      <c r="AG25" s="25"/>
      <c r="AH25" s="34"/>
      <c r="AI25" s="27"/>
      <c r="AJ25" s="27"/>
      <c r="AK25" s="27"/>
      <c r="AL25" s="25"/>
      <c r="AM25" s="34"/>
      <c r="AN25" s="27"/>
      <c r="AO25" s="27"/>
      <c r="AP25" s="36"/>
      <c r="AQ25" s="37"/>
      <c r="AR25" s="32"/>
      <c r="AS25" s="25"/>
      <c r="AT25" s="27"/>
      <c r="AU25" s="27"/>
      <c r="AW25" s="25"/>
      <c r="AX25" s="27"/>
      <c r="AY25" s="27"/>
      <c r="AZ25" s="32"/>
      <c r="BA25" s="41"/>
    </row>
    <row r="26" spans="1:53" ht="16" thickBot="1" x14ac:dyDescent="0.25">
      <c r="A26" s="25">
        <v>2</v>
      </c>
      <c r="B26" s="26" t="s">
        <v>112</v>
      </c>
      <c r="C26" s="98">
        <v>44922</v>
      </c>
      <c r="D26" s="25"/>
      <c r="E26" s="28"/>
      <c r="F26" s="27"/>
      <c r="G26" s="28"/>
      <c r="H26" s="27"/>
      <c r="I26" s="28"/>
      <c r="J26" s="27">
        <v>4</v>
      </c>
      <c r="K26" s="29" t="s">
        <v>35</v>
      </c>
      <c r="L26" s="39"/>
      <c r="M26" s="31"/>
      <c r="N26" s="27"/>
      <c r="O26" s="42"/>
      <c r="Q26" s="43" t="s">
        <v>37</v>
      </c>
      <c r="R26" s="27"/>
      <c r="S26" s="27"/>
      <c r="T26" s="28"/>
      <c r="U26" s="27"/>
      <c r="V26" s="27"/>
      <c r="W26" s="28"/>
      <c r="X26" s="33"/>
      <c r="Y26" s="32"/>
      <c r="Z26" s="25"/>
      <c r="AA26" s="27"/>
      <c r="AB26" s="28"/>
      <c r="AC26" s="27"/>
      <c r="AD26" s="27"/>
      <c r="AE26" s="33"/>
      <c r="AG26" s="25"/>
      <c r="AH26" s="34"/>
      <c r="AI26" s="27"/>
      <c r="AJ26" s="27"/>
      <c r="AK26" s="27"/>
      <c r="AL26" s="25"/>
      <c r="AM26" s="34"/>
      <c r="AN26" s="27"/>
      <c r="AO26" s="27"/>
      <c r="AP26" s="36"/>
      <c r="AQ26" s="37"/>
      <c r="AR26" s="32"/>
      <c r="AS26" s="25"/>
      <c r="AT26" s="27"/>
      <c r="AU26" s="27"/>
      <c r="AW26" s="25"/>
      <c r="AX26" s="27"/>
      <c r="AY26" s="27"/>
      <c r="AZ26" s="32"/>
      <c r="BA26" s="41"/>
    </row>
    <row r="27" spans="1:53" ht="16" thickBot="1" x14ac:dyDescent="0.25">
      <c r="A27" s="25">
        <v>3</v>
      </c>
      <c r="B27" s="26" t="s">
        <v>113</v>
      </c>
      <c r="C27" s="98">
        <v>44923</v>
      </c>
      <c r="D27" s="25"/>
      <c r="E27" s="28"/>
      <c r="F27" s="27"/>
      <c r="G27" s="28"/>
      <c r="H27" s="27"/>
      <c r="I27" s="28"/>
      <c r="J27" s="27">
        <v>6</v>
      </c>
      <c r="K27" s="29" t="s">
        <v>35</v>
      </c>
      <c r="L27" s="99" t="s">
        <v>114</v>
      </c>
      <c r="M27" s="31"/>
      <c r="N27" s="27" t="s">
        <v>40</v>
      </c>
      <c r="O27" s="45" t="s">
        <v>41</v>
      </c>
      <c r="P27" s="46" t="s">
        <v>115</v>
      </c>
      <c r="Q27" s="25"/>
      <c r="R27" s="27"/>
      <c r="S27" s="27"/>
      <c r="T27" s="28"/>
      <c r="U27" s="27">
        <v>5</v>
      </c>
      <c r="V27" s="27"/>
      <c r="W27" s="28">
        <v>5</v>
      </c>
      <c r="X27" s="47" t="s">
        <v>43</v>
      </c>
      <c r="Y27" s="32"/>
      <c r="Z27" s="25"/>
      <c r="AA27" s="27"/>
      <c r="AB27" s="28"/>
      <c r="AC27" s="27"/>
      <c r="AD27" s="27"/>
      <c r="AE27" s="33"/>
      <c r="AG27" s="25"/>
      <c r="AH27" s="34"/>
      <c r="AI27" s="27"/>
      <c r="AJ27" s="27"/>
      <c r="AK27" s="27"/>
      <c r="AL27" s="25"/>
      <c r="AM27" s="34"/>
      <c r="AN27" s="27"/>
      <c r="AO27" s="27"/>
      <c r="AP27" s="36"/>
      <c r="AQ27" s="37"/>
      <c r="AR27" s="32"/>
      <c r="AS27" s="25"/>
      <c r="AT27" s="27"/>
      <c r="AU27" s="27"/>
      <c r="AW27" s="25"/>
      <c r="AX27" s="27"/>
      <c r="AY27" s="27"/>
      <c r="AZ27" s="32"/>
      <c r="BA27" s="41"/>
    </row>
    <row r="28" spans="1:53" x14ac:dyDescent="0.2">
      <c r="A28" s="25">
        <v>4</v>
      </c>
      <c r="B28" s="26" t="s">
        <v>113</v>
      </c>
      <c r="C28" s="98">
        <v>44924</v>
      </c>
      <c r="D28" s="25"/>
      <c r="E28" s="28"/>
      <c r="F28" s="27"/>
      <c r="G28" s="28"/>
      <c r="H28" s="27"/>
      <c r="I28" s="28"/>
      <c r="J28" s="27">
        <v>6</v>
      </c>
      <c r="K28" s="29" t="s">
        <v>35</v>
      </c>
      <c r="L28" s="39"/>
      <c r="M28" s="31"/>
      <c r="N28" s="27" t="s">
        <v>40</v>
      </c>
      <c r="P28" s="32"/>
      <c r="Q28" s="25"/>
      <c r="R28" s="27"/>
      <c r="S28" s="27"/>
      <c r="T28" s="28"/>
      <c r="U28" s="27">
        <v>5</v>
      </c>
      <c r="V28" s="27"/>
      <c r="W28" s="28">
        <v>5</v>
      </c>
      <c r="X28" s="345" t="s">
        <v>47</v>
      </c>
      <c r="Y28" s="32"/>
      <c r="Z28" s="25"/>
      <c r="AA28" s="27"/>
      <c r="AB28" s="28"/>
      <c r="AC28" s="27"/>
      <c r="AD28" s="27"/>
      <c r="AE28" s="33"/>
      <c r="AG28" s="25"/>
      <c r="AH28" s="34"/>
      <c r="AI28" s="27"/>
      <c r="AJ28" s="27"/>
      <c r="AK28" s="27"/>
      <c r="AL28" s="25"/>
      <c r="AM28" s="34"/>
      <c r="AN28" s="27"/>
      <c r="AO28" s="27"/>
      <c r="AP28" s="36"/>
      <c r="AQ28" s="37"/>
      <c r="AR28" s="32"/>
      <c r="AS28" s="25"/>
      <c r="AT28" s="27"/>
      <c r="AU28" s="27"/>
      <c r="AW28" s="25"/>
      <c r="AX28" s="27"/>
      <c r="AY28" s="27"/>
      <c r="AZ28" s="32"/>
      <c r="BA28" s="41"/>
    </row>
    <row r="29" spans="1:53" x14ac:dyDescent="0.2">
      <c r="A29" s="25">
        <v>5</v>
      </c>
      <c r="B29" s="26" t="s">
        <v>116</v>
      </c>
      <c r="C29" s="98">
        <v>44925</v>
      </c>
      <c r="D29" s="25"/>
      <c r="E29" s="28"/>
      <c r="F29" s="27"/>
      <c r="G29" s="28"/>
      <c r="H29" s="27"/>
      <c r="I29" s="28"/>
      <c r="J29" s="27">
        <v>6</v>
      </c>
      <c r="K29" s="29" t="s">
        <v>35</v>
      </c>
      <c r="L29" s="39"/>
      <c r="M29" s="31"/>
      <c r="N29" s="27" t="s">
        <v>40</v>
      </c>
      <c r="P29" s="32"/>
      <c r="Q29" s="25"/>
      <c r="R29" s="27"/>
      <c r="S29" s="27"/>
      <c r="T29" s="28"/>
      <c r="U29" s="27">
        <v>5</v>
      </c>
      <c r="V29" s="27"/>
      <c r="W29" s="28">
        <v>5</v>
      </c>
      <c r="X29" s="346"/>
      <c r="Y29" s="32"/>
      <c r="Z29" s="25"/>
      <c r="AA29" s="27"/>
      <c r="AB29" s="28"/>
      <c r="AC29" s="27"/>
      <c r="AD29" s="27"/>
      <c r="AE29" s="33"/>
      <c r="AG29" s="25"/>
      <c r="AH29" s="34"/>
      <c r="AI29" s="27"/>
      <c r="AJ29" s="27"/>
      <c r="AK29" s="27"/>
      <c r="AL29" s="25"/>
      <c r="AM29" s="34"/>
      <c r="AN29" s="27"/>
      <c r="AO29" s="27"/>
      <c r="AP29" s="36"/>
      <c r="AQ29" s="37"/>
      <c r="AR29" s="32"/>
      <c r="AS29" s="25"/>
      <c r="AT29" s="27"/>
      <c r="AU29" s="27"/>
      <c r="AW29" s="25"/>
      <c r="AX29" s="27"/>
      <c r="AY29" s="27"/>
      <c r="AZ29" s="32"/>
      <c r="BA29" s="41"/>
    </row>
    <row r="30" spans="1:53" x14ac:dyDescent="0.2">
      <c r="A30" s="25">
        <v>6</v>
      </c>
      <c r="B30" s="26" t="s">
        <v>110</v>
      </c>
      <c r="C30" s="98">
        <v>44926</v>
      </c>
      <c r="D30" s="25"/>
      <c r="E30" s="28"/>
      <c r="F30" s="27"/>
      <c r="G30" s="28"/>
      <c r="H30" s="27"/>
      <c r="I30" s="28"/>
      <c r="J30" s="27">
        <v>6</v>
      </c>
      <c r="K30" s="29" t="s">
        <v>35</v>
      </c>
      <c r="L30" s="39"/>
      <c r="M30" s="31"/>
      <c r="N30" s="27" t="s">
        <v>40</v>
      </c>
      <c r="P30" s="32"/>
      <c r="Q30" s="25"/>
      <c r="R30" s="27"/>
      <c r="S30" s="27"/>
      <c r="T30" s="28"/>
      <c r="U30" s="27">
        <v>5</v>
      </c>
      <c r="V30" s="27"/>
      <c r="W30" s="28">
        <v>5</v>
      </c>
      <c r="X30" s="346"/>
      <c r="Y30" s="32"/>
      <c r="Z30" s="25"/>
      <c r="AA30" s="27"/>
      <c r="AB30" s="28"/>
      <c r="AC30" s="27"/>
      <c r="AD30" s="27"/>
      <c r="AE30" s="33"/>
      <c r="AG30" s="25"/>
      <c r="AH30" s="34"/>
      <c r="AI30" s="27"/>
      <c r="AJ30" s="27"/>
      <c r="AK30" s="27"/>
      <c r="AL30" s="25"/>
      <c r="AM30" s="34"/>
      <c r="AN30" s="27"/>
      <c r="AO30" s="27"/>
      <c r="AP30" s="36"/>
      <c r="AQ30" s="37"/>
      <c r="AR30" s="32"/>
      <c r="AS30" s="25"/>
      <c r="AT30" s="27"/>
      <c r="AU30" s="27"/>
      <c r="AW30" s="25"/>
      <c r="AX30" s="27"/>
      <c r="AY30" s="27"/>
      <c r="AZ30" s="32"/>
      <c r="BA30" s="41"/>
    </row>
    <row r="31" spans="1:53" x14ac:dyDescent="0.2">
      <c r="A31" s="25">
        <v>7</v>
      </c>
      <c r="B31" s="26"/>
      <c r="C31" s="98">
        <v>44927</v>
      </c>
      <c r="D31" s="25"/>
      <c r="E31" s="28"/>
      <c r="F31" s="27"/>
      <c r="G31" s="28"/>
      <c r="H31" s="27"/>
      <c r="I31" s="28"/>
      <c r="J31" s="27">
        <v>6</v>
      </c>
      <c r="K31" s="29" t="s">
        <v>35</v>
      </c>
      <c r="L31" s="39"/>
      <c r="M31" s="31"/>
      <c r="N31" s="27" t="s">
        <v>40</v>
      </c>
      <c r="P31" s="32"/>
      <c r="Q31" s="25"/>
      <c r="R31" s="27"/>
      <c r="S31" s="27"/>
      <c r="T31" s="28"/>
      <c r="U31" s="27"/>
      <c r="V31" s="27"/>
      <c r="W31" s="28"/>
      <c r="X31" s="346"/>
      <c r="Y31" s="32"/>
      <c r="Z31" s="25"/>
      <c r="AA31" s="27"/>
      <c r="AB31" s="28"/>
      <c r="AC31" s="27"/>
      <c r="AD31" s="27"/>
      <c r="AE31" s="33"/>
      <c r="AG31" s="25"/>
      <c r="AH31" s="34"/>
      <c r="AI31" s="27"/>
      <c r="AJ31" s="27"/>
      <c r="AK31" s="27"/>
      <c r="AL31" s="25"/>
      <c r="AM31" s="34"/>
      <c r="AN31" s="27"/>
      <c r="AO31" s="27"/>
      <c r="AP31" s="36"/>
      <c r="AQ31" s="37"/>
      <c r="AR31" s="32"/>
      <c r="AS31" s="25"/>
      <c r="AT31" s="27"/>
      <c r="AU31" s="27"/>
      <c r="AW31" s="25"/>
      <c r="AX31" s="27"/>
      <c r="AY31" s="27"/>
      <c r="AZ31" s="32"/>
      <c r="BA31" s="41"/>
    </row>
    <row r="32" spans="1:53" x14ac:dyDescent="0.2">
      <c r="A32" s="25">
        <v>8</v>
      </c>
      <c r="B32" s="26" t="s">
        <v>117</v>
      </c>
      <c r="C32" s="98">
        <v>44928</v>
      </c>
      <c r="D32" s="25"/>
      <c r="E32" s="28"/>
      <c r="F32" s="27"/>
      <c r="G32" s="28"/>
      <c r="H32" s="27"/>
      <c r="I32" s="28"/>
      <c r="J32" s="27">
        <v>6</v>
      </c>
      <c r="K32" s="29" t="s">
        <v>35</v>
      </c>
      <c r="L32" s="39"/>
      <c r="M32" s="31"/>
      <c r="N32" s="27" t="s">
        <v>40</v>
      </c>
      <c r="P32" s="32"/>
      <c r="Q32" s="25"/>
      <c r="R32" s="27"/>
      <c r="S32" s="27"/>
      <c r="T32" s="28"/>
      <c r="U32" s="27">
        <v>5</v>
      </c>
      <c r="V32" s="27"/>
      <c r="W32" s="28">
        <v>5</v>
      </c>
      <c r="X32" s="346"/>
      <c r="Y32" s="32"/>
      <c r="Z32" s="25"/>
      <c r="AA32" s="27"/>
      <c r="AB32" s="28"/>
      <c r="AC32" s="27"/>
      <c r="AD32" s="27"/>
      <c r="AE32" s="33"/>
      <c r="AG32" s="25"/>
      <c r="AH32" s="34"/>
      <c r="AI32" s="27"/>
      <c r="AJ32" s="27"/>
      <c r="AK32" s="27"/>
      <c r="AL32" s="25"/>
      <c r="AM32" s="34"/>
      <c r="AN32" s="27"/>
      <c r="AO32" s="27"/>
      <c r="AP32" s="36"/>
      <c r="AQ32" s="37"/>
      <c r="AR32" s="32"/>
      <c r="AS32" s="25"/>
      <c r="AT32" s="27"/>
      <c r="AU32" s="27"/>
      <c r="AW32" s="25"/>
      <c r="AX32" s="27"/>
      <c r="AY32" s="27"/>
      <c r="AZ32" s="32"/>
      <c r="BA32" s="41"/>
    </row>
    <row r="33" spans="1:71" ht="16" thickBot="1" x14ac:dyDescent="0.25">
      <c r="A33" s="25">
        <v>9</v>
      </c>
      <c r="B33" s="26" t="s">
        <v>117</v>
      </c>
      <c r="C33" s="98">
        <v>44929</v>
      </c>
      <c r="D33" s="25"/>
      <c r="E33" s="28"/>
      <c r="F33" s="27"/>
      <c r="G33" s="28"/>
      <c r="H33" s="27"/>
      <c r="I33" s="28"/>
      <c r="J33" s="27">
        <v>6</v>
      </c>
      <c r="K33" s="29" t="s">
        <v>35</v>
      </c>
      <c r="L33" s="39"/>
      <c r="M33" s="31"/>
      <c r="N33" s="27" t="s">
        <v>40</v>
      </c>
      <c r="P33" s="32"/>
      <c r="Q33" s="25"/>
      <c r="R33" s="27"/>
      <c r="S33" s="27"/>
      <c r="T33" s="28"/>
      <c r="U33" s="27">
        <v>5</v>
      </c>
      <c r="V33" s="27"/>
      <c r="W33" s="28">
        <v>5</v>
      </c>
      <c r="X33" s="346"/>
      <c r="Y33" s="32"/>
      <c r="Z33" s="25"/>
      <c r="AA33" s="27"/>
      <c r="AB33" s="28"/>
      <c r="AC33" s="27"/>
      <c r="AD33" s="27"/>
      <c r="AE33" s="33"/>
      <c r="AG33" s="25"/>
      <c r="AH33" s="34"/>
      <c r="AI33" s="27"/>
      <c r="AJ33" s="27"/>
      <c r="AK33" s="27"/>
      <c r="AL33" s="25"/>
      <c r="AM33" s="34"/>
      <c r="AN33" s="27"/>
      <c r="AO33" s="27"/>
      <c r="AP33" s="36"/>
      <c r="AQ33" s="37"/>
      <c r="AR33" s="32"/>
      <c r="AS33" s="25"/>
      <c r="AT33" s="27"/>
      <c r="AU33" s="27"/>
      <c r="AW33" s="25"/>
      <c r="AX33" s="27"/>
      <c r="AY33" s="27"/>
      <c r="AZ33" s="32"/>
      <c r="BA33" s="41"/>
    </row>
    <row r="34" spans="1:71" ht="16" thickBot="1" x14ac:dyDescent="0.25">
      <c r="A34" s="25">
        <v>10</v>
      </c>
      <c r="B34" s="26" t="s">
        <v>117</v>
      </c>
      <c r="C34" s="98">
        <v>44930</v>
      </c>
      <c r="D34" s="25"/>
      <c r="E34" s="28"/>
      <c r="F34" s="27"/>
      <c r="G34" s="28"/>
      <c r="H34" s="27"/>
      <c r="I34" s="28"/>
      <c r="J34" s="27">
        <v>6</v>
      </c>
      <c r="K34" s="29" t="s">
        <v>35</v>
      </c>
      <c r="L34" s="39"/>
      <c r="M34" s="31"/>
      <c r="N34" s="27" t="s">
        <v>40</v>
      </c>
      <c r="O34" s="49"/>
      <c r="P34" s="32"/>
      <c r="Q34" s="25"/>
      <c r="R34" s="27"/>
      <c r="S34" s="27"/>
      <c r="T34" s="28"/>
      <c r="U34" s="27">
        <v>5</v>
      </c>
      <c r="V34" s="27"/>
      <c r="W34" s="28">
        <v>5</v>
      </c>
      <c r="X34" s="346"/>
      <c r="Y34" s="32"/>
      <c r="Z34" s="25"/>
      <c r="AA34" s="27"/>
      <c r="AB34" s="28"/>
      <c r="AC34" s="27">
        <v>15</v>
      </c>
      <c r="AD34" s="27"/>
      <c r="AE34" s="50" t="s">
        <v>118</v>
      </c>
      <c r="AF34" s="51" t="s">
        <v>119</v>
      </c>
      <c r="AG34" s="25"/>
      <c r="AH34" s="34"/>
      <c r="AI34" s="27"/>
      <c r="AJ34" s="27"/>
      <c r="AK34" s="27"/>
      <c r="AL34" s="25"/>
      <c r="AM34" s="34"/>
      <c r="AN34" s="27"/>
      <c r="AO34" s="27"/>
      <c r="AP34" s="36"/>
      <c r="AQ34" s="37"/>
      <c r="AR34" s="32"/>
      <c r="AS34" s="25"/>
      <c r="AT34" s="27"/>
      <c r="AU34" s="27"/>
      <c r="AW34" s="25"/>
      <c r="AX34" s="27"/>
      <c r="AY34" s="27"/>
      <c r="AZ34" s="32"/>
      <c r="BA34" s="41"/>
    </row>
    <row r="35" spans="1:71" ht="16" thickBot="1" x14ac:dyDescent="0.25">
      <c r="A35" s="25">
        <v>11</v>
      </c>
      <c r="B35" s="26" t="s">
        <v>117</v>
      </c>
      <c r="C35" s="98">
        <v>44931</v>
      </c>
      <c r="D35" s="25"/>
      <c r="E35" s="28"/>
      <c r="F35" s="27"/>
      <c r="G35" s="28"/>
      <c r="H35" s="27"/>
      <c r="I35" s="28"/>
      <c r="J35" s="27">
        <v>6</v>
      </c>
      <c r="K35" s="29" t="s">
        <v>35</v>
      </c>
      <c r="L35" s="100" t="s">
        <v>120</v>
      </c>
      <c r="M35" s="31"/>
      <c r="N35" s="27" t="s">
        <v>40</v>
      </c>
      <c r="P35" s="32"/>
      <c r="Q35" s="25"/>
      <c r="R35" s="27"/>
      <c r="S35" s="27"/>
      <c r="T35" s="28"/>
      <c r="U35" s="27">
        <v>5</v>
      </c>
      <c r="V35" s="27"/>
      <c r="W35" s="28">
        <v>5</v>
      </c>
      <c r="X35" s="347"/>
      <c r="Y35" s="32"/>
      <c r="Z35" s="25"/>
      <c r="AA35" s="27"/>
      <c r="AB35" s="28"/>
      <c r="AC35" s="27">
        <v>15</v>
      </c>
      <c r="AD35" s="27"/>
      <c r="AE35" s="33"/>
      <c r="AF35" s="46" t="s">
        <v>121</v>
      </c>
      <c r="AG35" s="25"/>
      <c r="AH35" s="34"/>
      <c r="AI35" s="27"/>
      <c r="AJ35" s="27"/>
      <c r="AK35" s="27"/>
      <c r="AL35" s="25"/>
      <c r="AM35" s="34"/>
      <c r="AN35" s="27"/>
      <c r="AO35" s="27"/>
      <c r="AP35" s="36"/>
      <c r="AQ35" s="37"/>
      <c r="AR35" s="32"/>
      <c r="AS35" s="25"/>
      <c r="AT35" s="27"/>
      <c r="AU35" s="27"/>
      <c r="AW35" s="25"/>
      <c r="AX35" s="27"/>
      <c r="AY35" s="27"/>
      <c r="AZ35" s="32"/>
      <c r="BA35" s="41"/>
    </row>
    <row r="36" spans="1:71" ht="16" thickBot="1" x14ac:dyDescent="0.25">
      <c r="A36" s="25">
        <v>12</v>
      </c>
      <c r="B36" s="26" t="s">
        <v>122</v>
      </c>
      <c r="C36" s="98">
        <v>44932</v>
      </c>
      <c r="D36" s="25"/>
      <c r="E36" s="28"/>
      <c r="F36" s="27"/>
      <c r="G36" s="28"/>
      <c r="H36" s="27"/>
      <c r="I36" s="28"/>
      <c r="J36" s="27">
        <v>6</v>
      </c>
      <c r="K36" s="29" t="s">
        <v>35</v>
      </c>
      <c r="L36" s="53"/>
      <c r="M36" s="31"/>
      <c r="N36" s="27" t="s">
        <v>40</v>
      </c>
      <c r="P36" s="32"/>
      <c r="Q36" s="25"/>
      <c r="R36" s="27"/>
      <c r="S36" s="27"/>
      <c r="T36" s="28"/>
      <c r="U36" s="27">
        <v>5</v>
      </c>
      <c r="V36" s="27"/>
      <c r="W36" s="28">
        <v>5</v>
      </c>
      <c r="X36" s="54" t="s">
        <v>49</v>
      </c>
      <c r="Y36" s="32"/>
      <c r="Z36" s="25"/>
      <c r="AA36" s="27"/>
      <c r="AB36" s="28"/>
      <c r="AC36" s="27">
        <v>15</v>
      </c>
      <c r="AD36" s="27"/>
      <c r="AE36" s="33"/>
      <c r="AG36" s="25"/>
      <c r="AH36" s="34"/>
      <c r="AI36" s="27"/>
      <c r="AJ36" s="27"/>
      <c r="AK36" s="27"/>
      <c r="AL36" s="25"/>
      <c r="AM36" s="34"/>
      <c r="AN36" s="27"/>
      <c r="AO36" s="27"/>
      <c r="AP36" s="36"/>
      <c r="AQ36" s="37"/>
      <c r="AR36" s="32"/>
      <c r="AS36" s="25"/>
      <c r="AT36" s="27"/>
      <c r="AU36" s="27"/>
      <c r="AW36" s="25"/>
      <c r="AX36" s="27"/>
      <c r="AY36" s="27"/>
      <c r="AZ36" s="32"/>
      <c r="BA36" s="41"/>
    </row>
    <row r="37" spans="1:71" ht="16" thickBot="1" x14ac:dyDescent="0.25">
      <c r="A37" s="25">
        <v>13</v>
      </c>
      <c r="B37" s="26"/>
      <c r="C37" s="98">
        <v>44933</v>
      </c>
      <c r="D37" s="25"/>
      <c r="E37" s="28"/>
      <c r="F37" s="27"/>
      <c r="G37" s="28"/>
      <c r="H37" s="27"/>
      <c r="I37" s="28"/>
      <c r="J37" s="27">
        <v>6</v>
      </c>
      <c r="K37" s="29" t="s">
        <v>35</v>
      </c>
      <c r="L37" s="39"/>
      <c r="M37" s="31"/>
      <c r="N37" s="27" t="s">
        <v>40</v>
      </c>
      <c r="P37" s="32"/>
      <c r="Q37" s="25"/>
      <c r="R37" s="27"/>
      <c r="S37" s="27"/>
      <c r="T37" s="28"/>
      <c r="U37" s="27"/>
      <c r="V37" s="27"/>
      <c r="W37" s="28"/>
      <c r="X37" s="33"/>
      <c r="Y37" s="32"/>
      <c r="Z37" s="55"/>
      <c r="AA37" s="56"/>
      <c r="AB37" s="57"/>
      <c r="AC37" s="27">
        <v>15</v>
      </c>
      <c r="AD37" s="27"/>
      <c r="AE37" s="33"/>
      <c r="AG37" s="25"/>
      <c r="AH37" s="34"/>
      <c r="AI37" s="27"/>
      <c r="AJ37" s="27"/>
      <c r="AK37" s="27"/>
      <c r="AL37" s="25"/>
      <c r="AM37" s="34"/>
      <c r="AN37" s="27"/>
      <c r="AO37" s="27"/>
      <c r="AP37" s="36"/>
      <c r="AQ37" s="37"/>
      <c r="AR37" s="32"/>
      <c r="AS37" s="25" t="s">
        <v>51</v>
      </c>
      <c r="AT37" s="27" t="s">
        <v>52</v>
      </c>
      <c r="AU37" s="58" t="s">
        <v>53</v>
      </c>
      <c r="AW37" s="25"/>
      <c r="AX37" s="27"/>
      <c r="AY37" s="27"/>
      <c r="AZ37" s="32"/>
      <c r="BA37" s="41"/>
      <c r="BS37" t="s">
        <v>123</v>
      </c>
    </row>
    <row r="38" spans="1:71" ht="16" thickBot="1" x14ac:dyDescent="0.25">
      <c r="A38" s="25">
        <v>14</v>
      </c>
      <c r="B38" s="26" t="s">
        <v>117</v>
      </c>
      <c r="C38" s="98">
        <v>44934</v>
      </c>
      <c r="D38" s="25"/>
      <c r="E38" s="28"/>
      <c r="F38" s="27"/>
      <c r="G38" s="28"/>
      <c r="H38" s="27"/>
      <c r="I38" s="28"/>
      <c r="J38" s="27">
        <v>6</v>
      </c>
      <c r="K38" s="29" t="s">
        <v>35</v>
      </c>
      <c r="L38" s="39"/>
      <c r="M38" s="31"/>
      <c r="N38" s="27" t="s">
        <v>40</v>
      </c>
      <c r="P38" s="32"/>
      <c r="Q38" s="25"/>
      <c r="R38" s="27"/>
      <c r="S38" s="27"/>
      <c r="T38" s="28"/>
      <c r="U38" s="27">
        <v>1</v>
      </c>
      <c r="V38" s="27"/>
      <c r="W38" s="27">
        <v>1</v>
      </c>
      <c r="X38" s="33"/>
      <c r="Y38" s="32"/>
      <c r="Z38" s="59"/>
      <c r="AA38" s="60"/>
      <c r="AB38" s="61"/>
      <c r="AC38" s="27">
        <v>15</v>
      </c>
      <c r="AD38" s="27"/>
      <c r="AE38" s="33"/>
      <c r="AG38" s="25"/>
      <c r="AH38" s="34"/>
      <c r="AI38" s="27"/>
      <c r="AJ38" s="27"/>
      <c r="AK38" s="27"/>
      <c r="AL38" s="25"/>
      <c r="AM38" s="34"/>
      <c r="AN38" s="27"/>
      <c r="AO38" s="27"/>
      <c r="AP38" s="36"/>
      <c r="AQ38" s="37"/>
      <c r="AR38" s="32"/>
      <c r="AS38" s="25" t="s">
        <v>51</v>
      </c>
      <c r="AT38" s="27" t="s">
        <v>52</v>
      </c>
      <c r="AW38" s="25"/>
      <c r="AX38" s="27"/>
      <c r="AY38" s="27"/>
      <c r="AZ38" s="32"/>
      <c r="BS38">
        <f>[1]Sheet1!B2</f>
        <v>16.100000000000001</v>
      </c>
    </row>
    <row r="39" spans="1:71" ht="16" thickBot="1" x14ac:dyDescent="0.25">
      <c r="A39" s="25">
        <v>15</v>
      </c>
      <c r="B39" s="26" t="s">
        <v>117</v>
      </c>
      <c r="C39" s="98">
        <v>44935</v>
      </c>
      <c r="D39" s="25"/>
      <c r="E39" s="28"/>
      <c r="F39" s="27"/>
      <c r="G39" s="28"/>
      <c r="H39" s="27"/>
      <c r="I39" s="28"/>
      <c r="J39" s="27">
        <v>6</v>
      </c>
      <c r="K39" s="29" t="s">
        <v>35</v>
      </c>
      <c r="L39" s="39"/>
      <c r="M39" s="31"/>
      <c r="N39" s="27" t="s">
        <v>40</v>
      </c>
      <c r="P39" s="32"/>
      <c r="Q39" s="25"/>
      <c r="R39" s="27"/>
      <c r="S39" s="27"/>
      <c r="T39" s="28"/>
      <c r="U39" s="27">
        <v>1</v>
      </c>
      <c r="V39" s="27"/>
      <c r="W39" s="28">
        <v>1</v>
      </c>
      <c r="X39" s="33"/>
      <c r="Y39" s="32"/>
      <c r="Z39" s="25"/>
      <c r="AA39" s="27"/>
      <c r="AB39" s="28"/>
      <c r="AC39" s="27">
        <v>15</v>
      </c>
      <c r="AD39" s="27"/>
      <c r="AE39" s="33"/>
      <c r="AG39" s="25"/>
      <c r="AH39" s="34"/>
      <c r="AI39" s="27"/>
      <c r="AJ39" s="27"/>
      <c r="AK39" s="27"/>
      <c r="AL39" s="25"/>
      <c r="AM39" s="34"/>
      <c r="AN39" s="27"/>
      <c r="AO39" s="27"/>
      <c r="AP39" s="36"/>
      <c r="AQ39" s="37"/>
      <c r="AR39" s="46" t="s">
        <v>124</v>
      </c>
      <c r="AS39" s="25" t="s">
        <v>57</v>
      </c>
      <c r="AT39" s="27" t="s">
        <v>52</v>
      </c>
      <c r="AU39" s="58" t="s">
        <v>58</v>
      </c>
      <c r="AW39" s="25"/>
      <c r="AX39" s="27"/>
      <c r="AY39" s="27"/>
      <c r="AZ39" s="32"/>
      <c r="BA39" s="80" t="s">
        <v>68</v>
      </c>
      <c r="BS39">
        <f>[1]Sheet1!B3</f>
        <v>17.09375</v>
      </c>
    </row>
    <row r="40" spans="1:71" ht="16" thickBot="1" x14ac:dyDescent="0.25">
      <c r="A40" s="25">
        <v>16</v>
      </c>
      <c r="B40" s="26" t="s">
        <v>117</v>
      </c>
      <c r="C40" s="98">
        <v>44936</v>
      </c>
      <c r="D40" s="25"/>
      <c r="E40" s="28"/>
      <c r="F40" s="27"/>
      <c r="G40" s="28"/>
      <c r="H40" s="27"/>
      <c r="I40" s="28"/>
      <c r="J40" s="27">
        <v>6</v>
      </c>
      <c r="K40" s="29" t="s">
        <v>35</v>
      </c>
      <c r="L40" s="39"/>
      <c r="M40" s="31"/>
      <c r="N40" s="27" t="s">
        <v>40</v>
      </c>
      <c r="P40" s="32"/>
      <c r="Q40" s="25"/>
      <c r="R40" s="27"/>
      <c r="S40" s="27"/>
      <c r="T40" s="28"/>
      <c r="U40" s="27">
        <v>1</v>
      </c>
      <c r="V40" s="27"/>
      <c r="W40" s="28">
        <v>1</v>
      </c>
      <c r="X40" s="63" t="s">
        <v>60</v>
      </c>
      <c r="Y40" s="46" t="s">
        <v>61</v>
      </c>
      <c r="AB40" s="28"/>
      <c r="AC40" s="27">
        <v>15</v>
      </c>
      <c r="AD40" s="27"/>
      <c r="AE40" s="33"/>
      <c r="AG40" s="25"/>
      <c r="AH40" s="34"/>
      <c r="AI40" s="27"/>
      <c r="AJ40" s="27"/>
      <c r="AK40" s="27"/>
      <c r="AL40" s="25"/>
      <c r="AM40" s="34"/>
      <c r="AN40" s="27"/>
      <c r="AO40" s="27"/>
      <c r="AP40" s="36"/>
      <c r="AQ40" s="64"/>
      <c r="AR40" s="65"/>
      <c r="AS40" s="25" t="s">
        <v>57</v>
      </c>
      <c r="AT40" s="27" t="s">
        <v>52</v>
      </c>
      <c r="AU40" s="27"/>
      <c r="AW40" s="25"/>
      <c r="AX40" s="27"/>
      <c r="AY40" s="27"/>
      <c r="AZ40" s="32"/>
      <c r="BA40" s="41">
        <v>14</v>
      </c>
      <c r="BS40">
        <f>[1]Sheet1!B4</f>
        <v>38.861111111111114</v>
      </c>
    </row>
    <row r="41" spans="1:71" x14ac:dyDescent="0.2">
      <c r="A41" s="25">
        <v>17</v>
      </c>
      <c r="B41" s="26" t="s">
        <v>117</v>
      </c>
      <c r="C41" s="98">
        <v>44937</v>
      </c>
      <c r="D41" s="25"/>
      <c r="E41" s="28"/>
      <c r="F41" s="27"/>
      <c r="G41" s="28"/>
      <c r="H41" s="27"/>
      <c r="I41" s="28"/>
      <c r="J41" s="27">
        <v>6</v>
      </c>
      <c r="K41" s="29" t="s">
        <v>35</v>
      </c>
      <c r="L41" s="39"/>
      <c r="M41" s="31"/>
      <c r="N41" s="27" t="s">
        <v>40</v>
      </c>
      <c r="P41" s="32"/>
      <c r="Q41" s="25"/>
      <c r="R41" s="27"/>
      <c r="S41" s="27"/>
      <c r="T41" s="28"/>
      <c r="U41" s="27">
        <v>1</v>
      </c>
      <c r="V41" s="27"/>
      <c r="W41" s="28">
        <v>1</v>
      </c>
      <c r="X41" s="33"/>
      <c r="Y41" s="32"/>
      <c r="Z41" s="25"/>
      <c r="AA41" s="27"/>
      <c r="AB41" s="28"/>
      <c r="AC41" s="27">
        <v>15</v>
      </c>
      <c r="AD41" s="27"/>
      <c r="AE41" s="33"/>
      <c r="AG41" s="25"/>
      <c r="AH41" s="34"/>
      <c r="AI41" s="27"/>
      <c r="AJ41" s="27"/>
      <c r="AK41" s="27"/>
      <c r="AL41" s="25"/>
      <c r="AM41" s="34"/>
      <c r="AN41" s="27"/>
      <c r="AO41" s="27"/>
      <c r="AP41" s="36"/>
      <c r="AQ41" s="37"/>
      <c r="AR41" s="32"/>
      <c r="AS41" s="25" t="s">
        <v>57</v>
      </c>
      <c r="AT41" s="27" t="s">
        <v>52</v>
      </c>
      <c r="AU41" s="27"/>
      <c r="AW41" s="25"/>
      <c r="AX41" s="27"/>
      <c r="AY41" s="27"/>
      <c r="AZ41" s="32"/>
      <c r="BA41" s="41">
        <v>36</v>
      </c>
      <c r="BS41">
        <f>[1]Sheet1!B5</f>
        <v>19.86046511627907</v>
      </c>
    </row>
    <row r="42" spans="1:71" ht="16" thickBot="1" x14ac:dyDescent="0.25">
      <c r="A42" s="25">
        <v>18</v>
      </c>
      <c r="B42" s="26" t="s">
        <v>117</v>
      </c>
      <c r="C42" s="98">
        <v>44938</v>
      </c>
      <c r="D42" s="25"/>
      <c r="E42" s="28"/>
      <c r="F42" s="27"/>
      <c r="G42" s="28"/>
      <c r="H42" s="27"/>
      <c r="I42" s="28"/>
      <c r="J42" s="27">
        <v>6</v>
      </c>
      <c r="K42" s="29" t="s">
        <v>35</v>
      </c>
      <c r="L42" s="101" t="s">
        <v>125</v>
      </c>
      <c r="M42" s="31" t="s">
        <v>126</v>
      </c>
      <c r="N42" s="27" t="s">
        <v>40</v>
      </c>
      <c r="P42" s="66"/>
      <c r="Q42" s="25"/>
      <c r="R42" s="27"/>
      <c r="S42" s="27"/>
      <c r="T42" s="28"/>
      <c r="U42" s="27"/>
      <c r="V42" s="27"/>
      <c r="W42" s="28"/>
      <c r="X42" s="33"/>
      <c r="Y42" s="32"/>
      <c r="Z42" s="25"/>
      <c r="AA42" s="27"/>
      <c r="AB42" s="28"/>
      <c r="AC42" s="27">
        <v>15</v>
      </c>
      <c r="AD42" s="27"/>
      <c r="AE42" s="33"/>
      <c r="AG42" s="25"/>
      <c r="AH42" s="34"/>
      <c r="AI42" s="27">
        <v>2.5000000000000001E-2</v>
      </c>
      <c r="AJ42" s="27"/>
      <c r="AK42" s="36">
        <v>2.5000000000000001E-2</v>
      </c>
      <c r="AL42" s="25"/>
      <c r="AM42" s="34"/>
      <c r="AQ42" s="67" t="s">
        <v>127</v>
      </c>
      <c r="AR42" s="46" t="s">
        <v>128</v>
      </c>
      <c r="AS42" s="25" t="s">
        <v>57</v>
      </c>
      <c r="AT42" s="27" t="s">
        <v>52</v>
      </c>
      <c r="AW42" s="25"/>
      <c r="AX42" s="27"/>
      <c r="AY42" s="27"/>
      <c r="AZ42" s="32"/>
      <c r="BA42" s="41">
        <v>72</v>
      </c>
      <c r="BS42">
        <f>[1]Sheet1!B6</f>
        <v>30.34090909090909</v>
      </c>
    </row>
    <row r="43" spans="1:71" ht="16" thickBot="1" x14ac:dyDescent="0.25">
      <c r="A43" s="25">
        <v>19</v>
      </c>
      <c r="B43" s="26"/>
      <c r="C43" s="98">
        <v>44939</v>
      </c>
      <c r="D43" s="25"/>
      <c r="E43" s="28"/>
      <c r="F43" s="27"/>
      <c r="G43" s="28"/>
      <c r="H43" s="27"/>
      <c r="I43" s="28"/>
      <c r="J43" s="27">
        <v>6</v>
      </c>
      <c r="K43" s="29" t="s">
        <v>35</v>
      </c>
      <c r="M43" s="31"/>
      <c r="N43" s="27" t="s">
        <v>40</v>
      </c>
      <c r="P43" s="32"/>
      <c r="Q43" s="25"/>
      <c r="R43" s="27"/>
      <c r="S43" s="27"/>
      <c r="T43" s="28"/>
      <c r="U43" s="27"/>
      <c r="V43" s="27"/>
      <c r="W43" s="28"/>
      <c r="X43" s="33"/>
      <c r="Y43" s="32"/>
      <c r="Z43" s="25"/>
      <c r="AA43" s="27"/>
      <c r="AB43" s="28"/>
      <c r="AC43" s="27">
        <v>15</v>
      </c>
      <c r="AD43" s="27"/>
      <c r="AE43" s="33"/>
      <c r="AG43" s="25"/>
      <c r="AH43" s="34"/>
      <c r="AI43" s="27"/>
      <c r="AJ43" s="27"/>
      <c r="AK43" s="36"/>
      <c r="AL43" s="25"/>
      <c r="AM43" s="34"/>
      <c r="AQ43" s="68" t="s">
        <v>129</v>
      </c>
      <c r="AR43" s="32"/>
      <c r="AS43" s="25" t="s">
        <v>57</v>
      </c>
      <c r="AT43" s="27" t="s">
        <v>52</v>
      </c>
      <c r="AU43" s="27"/>
      <c r="AW43" s="25"/>
      <c r="AX43" s="27"/>
      <c r="AY43" s="27"/>
      <c r="AZ43" s="32"/>
      <c r="BS43">
        <f>[1]Sheet1!B7</f>
        <v>20.367346938775512</v>
      </c>
    </row>
    <row r="44" spans="1:71" x14ac:dyDescent="0.2">
      <c r="A44" s="25">
        <v>20</v>
      </c>
      <c r="B44" s="26"/>
      <c r="C44" s="98">
        <v>44940</v>
      </c>
      <c r="D44" s="25"/>
      <c r="E44" s="28"/>
      <c r="F44" s="27"/>
      <c r="G44" s="28"/>
      <c r="H44" s="27"/>
      <c r="I44" s="28"/>
      <c r="J44" s="27">
        <v>6</v>
      </c>
      <c r="K44" s="29" t="s">
        <v>35</v>
      </c>
      <c r="M44" s="69" t="s">
        <v>130</v>
      </c>
      <c r="N44" s="27" t="s">
        <v>40</v>
      </c>
      <c r="O44" s="306" t="s">
        <v>66</v>
      </c>
      <c r="P44" s="32"/>
      <c r="Q44" s="25"/>
      <c r="R44" s="27"/>
      <c r="S44" s="27"/>
      <c r="T44" s="28"/>
      <c r="U44" s="27"/>
      <c r="V44" s="27"/>
      <c r="W44" s="28"/>
      <c r="X44" s="33"/>
      <c r="Y44" s="32"/>
      <c r="Z44" s="25"/>
      <c r="AA44" s="27"/>
      <c r="AB44" s="28"/>
      <c r="AC44" s="27">
        <v>15</v>
      </c>
      <c r="AD44" s="27"/>
      <c r="AE44" s="33"/>
      <c r="AG44" s="25"/>
      <c r="AH44" s="34"/>
      <c r="AI44" s="27"/>
      <c r="AJ44" s="27"/>
      <c r="AK44" s="36"/>
      <c r="AL44" s="25"/>
      <c r="AM44" s="34"/>
      <c r="AQ44" s="37"/>
      <c r="AR44" s="32"/>
      <c r="AS44" s="25" t="s">
        <v>57</v>
      </c>
      <c r="AT44" s="27" t="s">
        <v>52</v>
      </c>
      <c r="AU44" s="27"/>
      <c r="AW44" s="25"/>
      <c r="AX44" s="27"/>
      <c r="AY44" s="27"/>
      <c r="AZ44" s="32"/>
      <c r="BA44" s="41"/>
      <c r="BS44">
        <f>[1]Sheet1!B8</f>
        <v>24.936170212765958</v>
      </c>
    </row>
    <row r="45" spans="1:71" s="76" customFormat="1" ht="17.25" customHeight="1" thickBot="1" x14ac:dyDescent="0.25">
      <c r="A45" s="70">
        <v>21</v>
      </c>
      <c r="B45" s="102" t="s">
        <v>117</v>
      </c>
      <c r="C45" s="98">
        <v>44941</v>
      </c>
      <c r="D45" s="70"/>
      <c r="E45" s="72"/>
      <c r="F45" s="71"/>
      <c r="G45" s="72"/>
      <c r="H45" s="71"/>
      <c r="I45" s="72"/>
      <c r="J45" s="71">
        <v>6</v>
      </c>
      <c r="K45" s="29" t="s">
        <v>35</v>
      </c>
      <c r="L45"/>
      <c r="M45" s="73" t="s">
        <v>131</v>
      </c>
      <c r="N45" s="27" t="s">
        <v>40</v>
      </c>
      <c r="O45" s="307"/>
      <c r="P45" s="74"/>
      <c r="Q45" s="70"/>
      <c r="R45" s="71"/>
      <c r="S45" s="71"/>
      <c r="T45" s="72"/>
      <c r="U45" s="71"/>
      <c r="V45" s="71"/>
      <c r="W45" s="72"/>
      <c r="X45" s="33"/>
      <c r="Y45" s="75"/>
      <c r="Z45" s="70"/>
      <c r="AA45" s="71"/>
      <c r="AB45" s="72"/>
      <c r="AC45" s="27">
        <v>15</v>
      </c>
      <c r="AD45" s="71"/>
      <c r="AE45" s="33"/>
      <c r="AG45" s="70"/>
      <c r="AH45" s="77"/>
      <c r="AI45" s="71">
        <v>2.5000000000000001E-2</v>
      </c>
      <c r="AJ45" s="71">
        <v>2.5000000000000001E-2</v>
      </c>
      <c r="AK45" s="78">
        <v>2.5000000000000001E-2</v>
      </c>
      <c r="AL45" s="70"/>
      <c r="AM45" s="77"/>
      <c r="AQ45" s="37"/>
      <c r="AR45" s="75"/>
      <c r="AS45" s="70" t="s">
        <v>57</v>
      </c>
      <c r="AT45" s="27" t="s">
        <v>52</v>
      </c>
      <c r="AU45" s="71"/>
      <c r="AW45" s="70"/>
      <c r="AX45" s="71"/>
      <c r="AY45" s="71"/>
      <c r="AZ45" s="75"/>
      <c r="BA45" s="79">
        <v>2</v>
      </c>
      <c r="BS45" s="76">
        <f>[1]Sheet1!B9</f>
        <v>26.042553191489361</v>
      </c>
    </row>
    <row r="46" spans="1:71" ht="16" thickBot="1" x14ac:dyDescent="0.25">
      <c r="A46" s="25">
        <v>22</v>
      </c>
      <c r="B46" s="26" t="s">
        <v>117</v>
      </c>
      <c r="C46" s="98">
        <v>44942</v>
      </c>
      <c r="D46" s="25"/>
      <c r="E46" s="28"/>
      <c r="F46" s="27"/>
      <c r="G46" s="28"/>
      <c r="H46" s="27"/>
      <c r="I46" s="28"/>
      <c r="J46" s="27">
        <v>6</v>
      </c>
      <c r="K46" s="29" t="s">
        <v>35</v>
      </c>
      <c r="L46" s="39"/>
      <c r="M46" s="69" t="s">
        <v>132</v>
      </c>
      <c r="N46" s="27" t="s">
        <v>40</v>
      </c>
      <c r="O46" s="307"/>
      <c r="P46" s="32"/>
      <c r="Q46" s="43"/>
      <c r="R46" s="27"/>
      <c r="S46" s="27"/>
      <c r="T46" s="28"/>
      <c r="U46" s="27"/>
      <c r="V46" s="27"/>
      <c r="W46" s="28"/>
      <c r="X46" s="33"/>
      <c r="Y46" s="32"/>
      <c r="Z46" s="60"/>
      <c r="AA46" s="60"/>
      <c r="AB46" s="61"/>
      <c r="AC46" s="27">
        <v>15</v>
      </c>
      <c r="AD46" s="27"/>
      <c r="AE46" s="33"/>
      <c r="AG46" s="25"/>
      <c r="AH46" s="34"/>
      <c r="AI46" s="27">
        <v>2.5000000000000001E-2</v>
      </c>
      <c r="AJ46" s="27">
        <v>2.5000000000000001E-2</v>
      </c>
      <c r="AK46" s="36">
        <v>2.5000000000000001E-2</v>
      </c>
      <c r="AL46" s="25"/>
      <c r="AM46" s="34"/>
      <c r="AQ46" s="37"/>
      <c r="AR46" s="32"/>
      <c r="AS46" s="25" t="s">
        <v>57</v>
      </c>
      <c r="AT46" s="27" t="s">
        <v>52</v>
      </c>
      <c r="AU46" s="27"/>
      <c r="AW46" s="25"/>
      <c r="AX46" s="27"/>
      <c r="AY46" s="27"/>
      <c r="AZ46" s="32"/>
      <c r="BA46" s="41">
        <v>1</v>
      </c>
      <c r="BS46">
        <f>[1]Sheet1!B10</f>
        <v>37.326530612244895</v>
      </c>
    </row>
    <row r="47" spans="1:71" ht="16" thickBot="1" x14ac:dyDescent="0.25">
      <c r="A47" s="25">
        <v>23</v>
      </c>
      <c r="B47" s="26" t="s">
        <v>117</v>
      </c>
      <c r="C47" s="98">
        <v>44943</v>
      </c>
      <c r="D47" s="25"/>
      <c r="E47" s="28"/>
      <c r="F47" s="27"/>
      <c r="G47" s="28"/>
      <c r="H47" s="27"/>
      <c r="I47" s="28"/>
      <c r="J47" s="27">
        <v>6</v>
      </c>
      <c r="K47" s="29" t="s">
        <v>35</v>
      </c>
      <c r="L47" s="44" t="s">
        <v>133</v>
      </c>
      <c r="M47" s="31"/>
      <c r="N47" s="27" t="s">
        <v>76</v>
      </c>
      <c r="O47" s="307"/>
      <c r="P47" s="32"/>
      <c r="Q47" s="25"/>
      <c r="R47" s="27"/>
      <c r="S47" s="27"/>
      <c r="T47" s="28"/>
      <c r="U47" s="27"/>
      <c r="V47" s="27"/>
      <c r="W47" s="28"/>
      <c r="X47" s="33"/>
      <c r="Y47" s="32"/>
      <c r="Z47" s="25"/>
      <c r="AA47" s="27"/>
      <c r="AB47" s="28"/>
      <c r="AC47" s="27">
        <v>15</v>
      </c>
      <c r="AD47" s="27"/>
      <c r="AE47" s="33"/>
      <c r="AG47" s="25"/>
      <c r="AH47" s="34"/>
      <c r="AI47" s="27"/>
      <c r="AJ47" s="27"/>
      <c r="AK47" s="36"/>
      <c r="AL47" s="25"/>
      <c r="AM47" s="34"/>
      <c r="AQ47" s="37"/>
      <c r="AR47" s="32"/>
      <c r="AS47" s="25" t="s">
        <v>57</v>
      </c>
      <c r="AT47" s="27" t="s">
        <v>52</v>
      </c>
      <c r="AU47" s="58" t="s">
        <v>70</v>
      </c>
      <c r="AW47" s="25"/>
      <c r="AX47" s="27"/>
      <c r="AY47" s="27"/>
      <c r="AZ47" s="32"/>
      <c r="BA47" s="41">
        <v>3</v>
      </c>
      <c r="BS47">
        <f>[1]Sheet1!B11</f>
        <v>49.14</v>
      </c>
    </row>
    <row r="48" spans="1:71" ht="16" thickBot="1" x14ac:dyDescent="0.25">
      <c r="A48" s="25">
        <v>24</v>
      </c>
      <c r="B48" s="26" t="s">
        <v>117</v>
      </c>
      <c r="C48" s="98">
        <v>44944</v>
      </c>
      <c r="D48" s="25"/>
      <c r="E48" s="28"/>
      <c r="F48" s="27"/>
      <c r="G48" s="28"/>
      <c r="H48" s="27"/>
      <c r="I48" s="28"/>
      <c r="J48" s="27">
        <v>6</v>
      </c>
      <c r="K48" s="29" t="s">
        <v>35</v>
      </c>
      <c r="L48" s="39"/>
      <c r="M48" s="31"/>
      <c r="N48" s="27" t="s">
        <v>76</v>
      </c>
      <c r="O48" s="307"/>
      <c r="P48" s="32"/>
      <c r="Q48" s="25"/>
      <c r="R48" s="27"/>
      <c r="S48" s="27"/>
      <c r="T48" s="28"/>
      <c r="U48" s="27"/>
      <c r="V48" s="27"/>
      <c r="W48" s="28"/>
      <c r="X48" s="33"/>
      <c r="Y48" s="32"/>
      <c r="Z48" s="25"/>
      <c r="AA48" s="27"/>
      <c r="AB48" s="28"/>
      <c r="AC48" s="27">
        <v>15</v>
      </c>
      <c r="AD48" s="27"/>
      <c r="AE48" s="50" t="s">
        <v>134</v>
      </c>
      <c r="AF48" s="46" t="s">
        <v>61</v>
      </c>
      <c r="AG48" s="25"/>
      <c r="AH48" s="34"/>
      <c r="AI48" s="27">
        <v>2.5000000000000001E-2</v>
      </c>
      <c r="AJ48" s="27">
        <v>2.5000000000000001E-2</v>
      </c>
      <c r="AK48" s="36">
        <v>2.5000000000000001E-2</v>
      </c>
      <c r="AL48" s="25"/>
      <c r="AM48" s="34"/>
      <c r="AQ48" s="37"/>
      <c r="AR48" s="46" t="s">
        <v>135</v>
      </c>
      <c r="AS48" s="25" t="s">
        <v>72</v>
      </c>
      <c r="AT48" s="27" t="s">
        <v>52</v>
      </c>
      <c r="AU48" s="58" t="s">
        <v>73</v>
      </c>
      <c r="AW48" s="25"/>
      <c r="AX48" s="27"/>
      <c r="AY48" s="27"/>
      <c r="AZ48" s="32"/>
      <c r="BA48" s="41">
        <v>2</v>
      </c>
      <c r="BS48">
        <f>[1]Sheet1!B12</f>
        <v>43.86</v>
      </c>
    </row>
    <row r="49" spans="1:71" ht="16" thickBot="1" x14ac:dyDescent="0.25">
      <c r="A49" s="25">
        <v>25</v>
      </c>
      <c r="B49" s="26" t="s">
        <v>117</v>
      </c>
      <c r="C49" s="98">
        <v>44945</v>
      </c>
      <c r="D49" s="25"/>
      <c r="E49" s="28"/>
      <c r="F49" s="27"/>
      <c r="G49" s="28"/>
      <c r="H49" s="27"/>
      <c r="I49" s="28"/>
      <c r="J49" s="27">
        <v>6</v>
      </c>
      <c r="K49" s="29" t="s">
        <v>35</v>
      </c>
      <c r="L49" s="39"/>
      <c r="M49" s="31"/>
      <c r="N49" s="27" t="s">
        <v>76</v>
      </c>
      <c r="O49" s="307"/>
      <c r="P49" s="81" t="s">
        <v>74</v>
      </c>
      <c r="Q49" s="43"/>
      <c r="R49" s="27"/>
      <c r="S49" s="27"/>
      <c r="T49" s="28"/>
      <c r="U49" s="27"/>
      <c r="V49" s="27"/>
      <c r="W49" s="28"/>
      <c r="X49" s="33"/>
      <c r="Y49" s="32"/>
      <c r="Z49" s="27"/>
      <c r="AA49" s="27"/>
      <c r="AB49" s="28"/>
      <c r="AC49" s="27"/>
      <c r="AD49" s="27"/>
      <c r="AE49" s="33"/>
      <c r="AG49" s="25"/>
      <c r="AH49" s="34"/>
      <c r="AI49" s="27">
        <v>2.5000000000000001E-2</v>
      </c>
      <c r="AJ49" s="27">
        <v>2.5000000000000001E-2</v>
      </c>
      <c r="AK49" s="27">
        <v>2.5000000000000001E-2</v>
      </c>
      <c r="AL49" s="25"/>
      <c r="AM49" s="34"/>
      <c r="AN49" s="27"/>
      <c r="AO49" s="27"/>
      <c r="AP49" s="36"/>
      <c r="AQ49" s="37"/>
      <c r="AR49" s="32"/>
      <c r="AS49" s="25" t="s">
        <v>72</v>
      </c>
      <c r="AT49" s="27" t="s">
        <v>52</v>
      </c>
      <c r="AW49" s="25"/>
      <c r="AX49" s="27"/>
      <c r="AY49" s="27"/>
      <c r="AZ49" s="32"/>
      <c r="BA49" s="41">
        <v>0</v>
      </c>
      <c r="BS49">
        <f>[1]Sheet1!B13</f>
        <v>43.571428571428569</v>
      </c>
    </row>
    <row r="50" spans="1:71" ht="16" thickBot="1" x14ac:dyDescent="0.25">
      <c r="A50" s="25">
        <v>26</v>
      </c>
      <c r="B50" s="26"/>
      <c r="C50" s="98">
        <v>44946</v>
      </c>
      <c r="D50" s="25"/>
      <c r="E50" s="28"/>
      <c r="F50" s="27"/>
      <c r="G50" s="28"/>
      <c r="H50" s="27"/>
      <c r="I50" s="28"/>
      <c r="J50" s="27">
        <v>6</v>
      </c>
      <c r="K50" s="29" t="s">
        <v>35</v>
      </c>
      <c r="L50" s="39"/>
      <c r="M50" s="31"/>
      <c r="N50" s="27" t="s">
        <v>76</v>
      </c>
      <c r="O50" s="307"/>
      <c r="P50" s="32"/>
      <c r="Q50" s="25"/>
      <c r="R50" s="27"/>
      <c r="S50" s="27"/>
      <c r="T50" s="28"/>
      <c r="U50" s="27"/>
      <c r="V50" s="27"/>
      <c r="W50" s="28"/>
      <c r="X50" s="33"/>
      <c r="Y50" s="32"/>
      <c r="Z50" s="25"/>
      <c r="AA50" s="27"/>
      <c r="AB50" s="28"/>
      <c r="AC50" s="27"/>
      <c r="AD50" s="27"/>
      <c r="AE50" s="33"/>
      <c r="AG50" s="25"/>
      <c r="AH50" s="34"/>
      <c r="AI50" s="27"/>
      <c r="AJ50" s="27"/>
      <c r="AK50" s="27"/>
      <c r="AL50" s="25"/>
      <c r="AM50" s="34"/>
      <c r="AN50" s="27"/>
      <c r="AO50" s="27"/>
      <c r="AP50" s="36"/>
      <c r="AQ50" s="37"/>
      <c r="AR50" s="32"/>
      <c r="AS50" s="25" t="s">
        <v>72</v>
      </c>
      <c r="AT50" s="27" t="s">
        <v>52</v>
      </c>
      <c r="AW50" s="25"/>
      <c r="AX50" s="27"/>
      <c r="AY50" s="27"/>
      <c r="AZ50" s="32"/>
      <c r="BA50" s="41"/>
      <c r="BS50">
        <f>[1]Sheet1!B14</f>
        <v>47.48</v>
      </c>
    </row>
    <row r="51" spans="1:71" ht="16" thickBot="1" x14ac:dyDescent="0.25">
      <c r="A51" s="25">
        <v>27</v>
      </c>
      <c r="B51" s="26"/>
      <c r="C51" s="98">
        <v>44947</v>
      </c>
      <c r="D51" s="25"/>
      <c r="E51" s="28"/>
      <c r="F51" s="27"/>
      <c r="G51" s="28"/>
      <c r="H51" s="27"/>
      <c r="I51" s="28"/>
      <c r="J51" s="27">
        <v>6</v>
      </c>
      <c r="K51" s="29" t="s">
        <v>35</v>
      </c>
      <c r="L51" s="39"/>
      <c r="M51" s="31"/>
      <c r="N51" s="27" t="s">
        <v>76</v>
      </c>
      <c r="O51" s="307"/>
      <c r="P51" s="32"/>
      <c r="Q51" s="25"/>
      <c r="R51" s="27"/>
      <c r="S51" s="27"/>
      <c r="T51" s="28"/>
      <c r="U51" s="27"/>
      <c r="V51" s="27"/>
      <c r="W51" s="28"/>
      <c r="X51" s="33"/>
      <c r="Y51" s="32"/>
      <c r="Z51" s="25"/>
      <c r="AA51" s="27"/>
      <c r="AB51" s="28"/>
      <c r="AC51" s="27"/>
      <c r="AD51" s="27"/>
      <c r="AE51" s="33"/>
      <c r="AG51" s="25"/>
      <c r="AH51" s="34"/>
      <c r="AI51" s="27"/>
      <c r="AJ51" s="27"/>
      <c r="AK51" s="27"/>
      <c r="AL51" s="25"/>
      <c r="AM51" s="34"/>
      <c r="AN51" s="27">
        <v>0.05</v>
      </c>
      <c r="AO51" s="27"/>
      <c r="AP51" s="36">
        <v>0.05</v>
      </c>
      <c r="AQ51" s="82" t="s">
        <v>136</v>
      </c>
      <c r="AR51" s="32"/>
      <c r="AS51" s="25" t="s">
        <v>72</v>
      </c>
      <c r="AT51" s="27" t="s">
        <v>52</v>
      </c>
      <c r="AU51" s="27"/>
      <c r="AW51" s="25"/>
      <c r="AX51" s="27"/>
      <c r="AY51" s="27"/>
      <c r="AZ51" s="32"/>
      <c r="BA51" s="41"/>
      <c r="BS51">
        <f>[1]Sheet1!B15</f>
        <v>43.354166666666664</v>
      </c>
    </row>
    <row r="52" spans="1:71" x14ac:dyDescent="0.2">
      <c r="A52" s="25">
        <v>28</v>
      </c>
      <c r="B52" s="26"/>
      <c r="C52" s="98">
        <v>44948</v>
      </c>
      <c r="D52" s="25"/>
      <c r="E52" s="28"/>
      <c r="F52" s="27"/>
      <c r="G52" s="28"/>
      <c r="H52" s="27"/>
      <c r="I52" s="28"/>
      <c r="J52" s="27">
        <v>6</v>
      </c>
      <c r="K52" s="29" t="s">
        <v>35</v>
      </c>
      <c r="L52" s="39"/>
      <c r="M52" s="31"/>
      <c r="N52" s="27" t="s">
        <v>76</v>
      </c>
      <c r="O52" s="307"/>
      <c r="P52" s="32"/>
      <c r="Q52" s="25"/>
      <c r="R52" s="27"/>
      <c r="S52" s="27"/>
      <c r="T52" s="28"/>
      <c r="U52" s="27"/>
      <c r="V52" s="27"/>
      <c r="W52" s="28"/>
      <c r="Y52" s="32"/>
      <c r="Z52" s="25"/>
      <c r="AA52" s="27"/>
      <c r="AB52" s="28"/>
      <c r="AC52" s="27"/>
      <c r="AD52" s="27"/>
      <c r="AE52" s="33"/>
      <c r="AG52" s="25"/>
      <c r="AH52" s="34"/>
      <c r="AI52" s="27"/>
      <c r="AJ52" s="27"/>
      <c r="AK52" s="27"/>
      <c r="AL52" s="25"/>
      <c r="AM52" s="34"/>
      <c r="AN52" s="27"/>
      <c r="AO52" s="27"/>
      <c r="AP52" s="36"/>
      <c r="AR52" s="32"/>
      <c r="AS52" s="25" t="s">
        <v>72</v>
      </c>
      <c r="AT52" s="27" t="s">
        <v>52</v>
      </c>
      <c r="AU52" s="27"/>
      <c r="AW52" s="25"/>
      <c r="AX52" s="27"/>
      <c r="AY52" s="27"/>
      <c r="AZ52" s="32"/>
      <c r="BA52" s="41">
        <v>2</v>
      </c>
      <c r="BS52">
        <f>[1]Sheet1!B16</f>
        <v>39.8125</v>
      </c>
    </row>
    <row r="53" spans="1:71" ht="16" thickBot="1" x14ac:dyDescent="0.25">
      <c r="A53" s="25">
        <v>29</v>
      </c>
      <c r="B53" s="26" t="s">
        <v>117</v>
      </c>
      <c r="C53" s="98">
        <v>44949</v>
      </c>
      <c r="D53" s="25"/>
      <c r="E53" s="28"/>
      <c r="F53" s="27"/>
      <c r="G53" s="28"/>
      <c r="H53" s="27"/>
      <c r="I53" s="28"/>
      <c r="J53" s="27">
        <v>6</v>
      </c>
      <c r="K53" s="29" t="s">
        <v>35</v>
      </c>
      <c r="L53" s="39"/>
      <c r="M53" s="31"/>
      <c r="N53" s="27" t="s">
        <v>76</v>
      </c>
      <c r="O53" s="307"/>
      <c r="P53" s="32"/>
      <c r="Q53" s="25"/>
      <c r="R53" s="27"/>
      <c r="S53" s="27"/>
      <c r="T53" s="28"/>
      <c r="U53" s="27"/>
      <c r="V53" s="27"/>
      <c r="W53" s="28"/>
      <c r="X53" s="33"/>
      <c r="Y53" s="32"/>
      <c r="Z53" s="25"/>
      <c r="AA53" s="27"/>
      <c r="AB53" s="28"/>
      <c r="AC53" s="27"/>
      <c r="AD53" s="27"/>
      <c r="AE53" s="33"/>
      <c r="AG53" s="25"/>
      <c r="AH53" s="34"/>
      <c r="AI53" s="27"/>
      <c r="AJ53" s="27"/>
      <c r="AK53" s="27"/>
      <c r="AL53" s="25"/>
      <c r="AM53" s="34"/>
      <c r="AN53" s="27">
        <v>0.05</v>
      </c>
      <c r="AO53" s="27">
        <v>0.05</v>
      </c>
      <c r="AP53" s="36">
        <v>0.05</v>
      </c>
      <c r="AQ53" s="37"/>
      <c r="AR53" s="32"/>
      <c r="AS53" s="25" t="s">
        <v>72</v>
      </c>
      <c r="AT53" s="27" t="s">
        <v>52</v>
      </c>
      <c r="AU53" s="27"/>
      <c r="AW53" s="25"/>
      <c r="AX53" s="27"/>
      <c r="AY53" s="27"/>
      <c r="AZ53" s="32"/>
      <c r="BA53" s="41">
        <v>0</v>
      </c>
      <c r="BS53">
        <f>[1]Sheet1!B17</f>
        <v>34.78</v>
      </c>
    </row>
    <row r="54" spans="1:71" x14ac:dyDescent="0.2">
      <c r="A54" s="25">
        <v>30</v>
      </c>
      <c r="B54" s="26" t="s">
        <v>117</v>
      </c>
      <c r="C54" s="98">
        <v>44950</v>
      </c>
      <c r="D54" s="25"/>
      <c r="E54" s="28"/>
      <c r="F54" s="27"/>
      <c r="G54" s="28"/>
      <c r="H54" s="27"/>
      <c r="I54" s="28"/>
      <c r="J54" s="27">
        <v>6</v>
      </c>
      <c r="K54" s="29" t="s">
        <v>35</v>
      </c>
      <c r="L54" s="39"/>
      <c r="M54" s="31"/>
      <c r="N54" s="27" t="s">
        <v>76</v>
      </c>
      <c r="O54" s="307"/>
      <c r="P54" s="32"/>
      <c r="Q54" s="25"/>
      <c r="R54" s="27"/>
      <c r="S54" s="27"/>
      <c r="T54" s="28"/>
      <c r="U54" s="27"/>
      <c r="V54" s="27"/>
      <c r="W54" s="28"/>
      <c r="X54" s="33"/>
      <c r="Y54" s="32"/>
      <c r="Z54" s="25"/>
      <c r="AA54" s="27"/>
      <c r="AB54" s="28"/>
      <c r="AC54" s="27"/>
      <c r="AD54" s="27"/>
      <c r="AE54" s="33"/>
      <c r="AG54" s="25"/>
      <c r="AH54" s="34"/>
      <c r="AI54" s="27"/>
      <c r="AJ54" s="27"/>
      <c r="AK54" s="27"/>
      <c r="AL54" s="25"/>
      <c r="AM54" s="34"/>
      <c r="AN54" s="27"/>
      <c r="AO54" s="27"/>
      <c r="AP54" s="36"/>
      <c r="AQ54" s="103" t="s">
        <v>137</v>
      </c>
      <c r="AR54" s="32"/>
      <c r="AS54" s="25" t="s">
        <v>72</v>
      </c>
      <c r="AT54" s="27" t="s">
        <v>52</v>
      </c>
      <c r="AU54" s="27"/>
      <c r="AW54" s="25"/>
      <c r="AX54" s="27"/>
      <c r="AY54" s="27"/>
      <c r="AZ54" s="32"/>
      <c r="BA54" s="41"/>
      <c r="BS54">
        <f>[1]Sheet1!B18</f>
        <v>31.48936170212766</v>
      </c>
    </row>
    <row r="55" spans="1:71" x14ac:dyDescent="0.2">
      <c r="A55" s="25">
        <v>31</v>
      </c>
      <c r="B55" s="26" t="s">
        <v>117</v>
      </c>
      <c r="C55" s="98">
        <v>44951</v>
      </c>
      <c r="D55" s="25"/>
      <c r="E55" s="28"/>
      <c r="F55" s="27"/>
      <c r="G55" s="28"/>
      <c r="H55" s="27"/>
      <c r="I55" s="28"/>
      <c r="J55" s="27">
        <v>6</v>
      </c>
      <c r="K55" s="29" t="s">
        <v>35</v>
      </c>
      <c r="L55" s="39"/>
      <c r="M55" s="31"/>
      <c r="N55" s="27" t="s">
        <v>76</v>
      </c>
      <c r="O55" s="307"/>
      <c r="P55" s="32"/>
      <c r="Q55" s="25"/>
      <c r="R55" s="27"/>
      <c r="S55" s="27"/>
      <c r="T55" s="28"/>
      <c r="U55" s="27"/>
      <c r="V55" s="27"/>
      <c r="W55" s="28"/>
      <c r="X55" s="33"/>
      <c r="Y55" s="32"/>
      <c r="Z55" s="25"/>
      <c r="AA55" s="27"/>
      <c r="AB55" s="28"/>
      <c r="AC55" s="27"/>
      <c r="AD55" s="27"/>
      <c r="AE55" s="33"/>
      <c r="AG55" s="25"/>
      <c r="AH55" s="34"/>
      <c r="AI55" s="27"/>
      <c r="AJ55" s="27"/>
      <c r="AK55" s="27"/>
      <c r="AL55" s="25"/>
      <c r="AM55" s="34"/>
      <c r="AN55" s="27">
        <v>0.05</v>
      </c>
      <c r="AO55" s="27">
        <v>0.05</v>
      </c>
      <c r="AP55" s="36">
        <v>0.05</v>
      </c>
      <c r="AQ55" s="37"/>
      <c r="AR55" s="46" t="s">
        <v>138</v>
      </c>
      <c r="AS55" s="25" t="s">
        <v>72</v>
      </c>
      <c r="AT55" s="27" t="s">
        <v>52</v>
      </c>
      <c r="AU55" s="27"/>
      <c r="AW55" s="25"/>
      <c r="AX55" s="27"/>
      <c r="AY55" s="27"/>
      <c r="AZ55" s="32"/>
      <c r="BA55" s="41"/>
      <c r="BS55">
        <f>[1]Sheet1!B19</f>
        <v>36.612244897959187</v>
      </c>
    </row>
    <row r="56" spans="1:71" x14ac:dyDescent="0.2">
      <c r="A56" s="25">
        <v>32</v>
      </c>
      <c r="B56" s="26" t="s">
        <v>117</v>
      </c>
      <c r="C56" s="98">
        <v>44952</v>
      </c>
      <c r="D56" s="25"/>
      <c r="E56" s="28"/>
      <c r="F56" s="27"/>
      <c r="G56" s="28"/>
      <c r="H56" s="27"/>
      <c r="I56" s="28"/>
      <c r="J56" s="27">
        <v>6</v>
      </c>
      <c r="K56" s="29" t="s">
        <v>35</v>
      </c>
      <c r="L56" s="39"/>
      <c r="M56" s="31"/>
      <c r="N56" s="27" t="s">
        <v>76</v>
      </c>
      <c r="O56" s="307"/>
      <c r="P56" s="32"/>
      <c r="Q56" s="25"/>
      <c r="R56" s="27"/>
      <c r="S56" s="27"/>
      <c r="T56" s="28"/>
      <c r="U56" s="27"/>
      <c r="V56" s="27"/>
      <c r="W56" s="28"/>
      <c r="X56" s="33"/>
      <c r="Y56" s="32"/>
      <c r="Z56" s="25"/>
      <c r="AA56" s="27"/>
      <c r="AB56" s="28"/>
      <c r="AC56" s="27"/>
      <c r="AD56" s="27"/>
      <c r="AE56" s="33"/>
      <c r="AG56" s="25"/>
      <c r="AH56" s="34"/>
      <c r="AI56" s="27"/>
      <c r="AJ56" s="27"/>
      <c r="AK56" s="27"/>
      <c r="AL56" s="25"/>
      <c r="AM56" s="34"/>
      <c r="AN56" s="27"/>
      <c r="AO56" s="27"/>
      <c r="AP56" s="36"/>
      <c r="AQ56" s="37"/>
      <c r="AR56" s="32"/>
      <c r="AS56" s="25" t="s">
        <v>72</v>
      </c>
      <c r="AT56" s="27" t="s">
        <v>52</v>
      </c>
      <c r="AU56" s="27"/>
      <c r="AW56" s="25"/>
      <c r="AX56" s="27"/>
      <c r="AY56" s="27"/>
      <c r="AZ56" s="32"/>
      <c r="BA56" s="41"/>
      <c r="BS56">
        <f>[1]Sheet1!B20</f>
        <v>34.714285714285715</v>
      </c>
    </row>
    <row r="57" spans="1:71" x14ac:dyDescent="0.2">
      <c r="A57" s="25">
        <v>33</v>
      </c>
      <c r="B57" s="26" t="s">
        <v>117</v>
      </c>
      <c r="C57" s="98">
        <v>44953</v>
      </c>
      <c r="D57" s="25"/>
      <c r="E57" s="28"/>
      <c r="F57" s="27"/>
      <c r="G57" s="28"/>
      <c r="H57" s="27"/>
      <c r="I57" s="28"/>
      <c r="J57" s="27">
        <v>6</v>
      </c>
      <c r="K57" s="29" t="s">
        <v>35</v>
      </c>
      <c r="L57" s="39"/>
      <c r="M57" s="31"/>
      <c r="N57" s="27" t="s">
        <v>76</v>
      </c>
      <c r="O57" s="307"/>
      <c r="P57" s="32"/>
      <c r="Q57" s="25"/>
      <c r="R57" s="27"/>
      <c r="S57" s="27"/>
      <c r="T57" s="28"/>
      <c r="U57" s="27"/>
      <c r="V57" s="27"/>
      <c r="W57" s="28"/>
      <c r="X57" s="33"/>
      <c r="Y57" s="32"/>
      <c r="Z57" s="25"/>
      <c r="AA57" s="27"/>
      <c r="AB57" s="28"/>
      <c r="AC57" s="27"/>
      <c r="AD57" s="27"/>
      <c r="AE57" s="33"/>
      <c r="AG57" s="25"/>
      <c r="AH57" s="34"/>
      <c r="AI57" s="27"/>
      <c r="AJ57" s="27"/>
      <c r="AK57" s="27"/>
      <c r="AL57" s="25"/>
      <c r="AM57" s="34"/>
      <c r="AN57" s="27"/>
      <c r="AO57" s="27"/>
      <c r="AP57" s="36"/>
      <c r="AQ57" s="37"/>
      <c r="AR57" s="32"/>
      <c r="AS57" s="25" t="s">
        <v>72</v>
      </c>
      <c r="AT57" s="27" t="s">
        <v>52</v>
      </c>
      <c r="AW57" s="25"/>
      <c r="AX57" s="25"/>
      <c r="AY57" s="25"/>
      <c r="AZ57" s="32"/>
      <c r="BA57" s="41"/>
      <c r="BS57">
        <f>[1]Sheet1!B21</f>
        <v>27.434782608695652</v>
      </c>
    </row>
    <row r="58" spans="1:71" ht="16" thickBot="1" x14ac:dyDescent="0.25">
      <c r="A58" s="25">
        <v>34</v>
      </c>
      <c r="B58" s="26"/>
      <c r="C58" s="98">
        <v>44954</v>
      </c>
      <c r="D58" s="25"/>
      <c r="E58" s="28"/>
      <c r="F58" s="27"/>
      <c r="G58" s="28"/>
      <c r="H58" s="27"/>
      <c r="I58" s="28"/>
      <c r="J58" s="27">
        <v>6</v>
      </c>
      <c r="K58" s="29" t="s">
        <v>35</v>
      </c>
      <c r="L58" s="39"/>
      <c r="M58" s="31"/>
      <c r="N58" s="27" t="s">
        <v>76</v>
      </c>
      <c r="O58" s="307"/>
      <c r="P58" s="32"/>
      <c r="Q58" s="25"/>
      <c r="R58" s="27"/>
      <c r="S58" s="27"/>
      <c r="T58" s="28"/>
      <c r="U58" s="27"/>
      <c r="V58" s="27"/>
      <c r="W58" s="28"/>
      <c r="X58" s="33"/>
      <c r="Y58" s="32"/>
      <c r="Z58" s="25"/>
      <c r="AA58" s="27"/>
      <c r="AB58" s="28"/>
      <c r="AC58" s="27"/>
      <c r="AD58" s="27"/>
      <c r="AE58" s="33"/>
      <c r="AG58" s="25"/>
      <c r="AH58" s="34"/>
      <c r="AI58" s="27"/>
      <c r="AJ58" s="27"/>
      <c r="AK58" s="27"/>
      <c r="AL58" s="25"/>
      <c r="AM58" s="34"/>
      <c r="AN58" s="27"/>
      <c r="AO58" s="27"/>
      <c r="AP58" s="36"/>
      <c r="AQ58" s="37"/>
      <c r="AR58" s="32"/>
      <c r="AS58" s="25" t="s">
        <v>72</v>
      </c>
      <c r="AT58" s="27" t="s">
        <v>52</v>
      </c>
      <c r="AU58" s="27"/>
      <c r="AW58" s="25"/>
      <c r="AX58" s="25"/>
      <c r="AY58" s="25"/>
      <c r="AZ58" s="32"/>
      <c r="BA58" s="41"/>
      <c r="BS58">
        <f>[1]Sheet1!B22</f>
        <v>24.488888888888887</v>
      </c>
    </row>
    <row r="59" spans="1:71" ht="16" thickBot="1" x14ac:dyDescent="0.25">
      <c r="A59" s="25">
        <v>35</v>
      </c>
      <c r="B59" s="26"/>
      <c r="C59" s="98">
        <v>44955</v>
      </c>
      <c r="D59" s="25"/>
      <c r="E59" s="28"/>
      <c r="F59" s="27"/>
      <c r="G59" s="28"/>
      <c r="H59" s="27"/>
      <c r="I59" s="28"/>
      <c r="J59" s="27">
        <v>6</v>
      </c>
      <c r="K59" s="29" t="s">
        <v>35</v>
      </c>
      <c r="L59" s="39"/>
      <c r="M59" s="31"/>
      <c r="N59" s="27" t="s">
        <v>76</v>
      </c>
      <c r="O59" s="307"/>
      <c r="P59" s="32"/>
      <c r="Q59" s="25"/>
      <c r="R59" s="27"/>
      <c r="S59" s="27"/>
      <c r="T59" s="28"/>
      <c r="U59" s="27"/>
      <c r="V59" s="27"/>
      <c r="W59" s="28"/>
      <c r="X59" s="33"/>
      <c r="Y59" s="32"/>
      <c r="Z59" s="25"/>
      <c r="AA59" s="27"/>
      <c r="AB59" s="28"/>
      <c r="AC59" s="27"/>
      <c r="AD59" s="27"/>
      <c r="AE59" s="33"/>
      <c r="AG59" s="25"/>
      <c r="AH59" s="34"/>
      <c r="AI59" s="27"/>
      <c r="AJ59" s="27"/>
      <c r="AK59" s="27"/>
      <c r="AL59" s="25"/>
      <c r="AM59" s="34"/>
      <c r="AN59" s="27"/>
      <c r="AO59" s="27"/>
      <c r="AP59" s="36"/>
      <c r="AQ59" s="37"/>
      <c r="AR59" s="32"/>
      <c r="AS59" s="25" t="s">
        <v>72</v>
      </c>
      <c r="AT59" s="27" t="s">
        <v>52</v>
      </c>
      <c r="AU59" s="58" t="s">
        <v>77</v>
      </c>
      <c r="AW59" s="25"/>
      <c r="AX59" s="25"/>
      <c r="AY59" s="25"/>
      <c r="AZ59" s="32"/>
      <c r="BA59" s="41"/>
      <c r="BS59">
        <f>[1]Sheet1!B23</f>
        <v>21.844444444444445</v>
      </c>
    </row>
    <row r="60" spans="1:71" ht="16" thickBot="1" x14ac:dyDescent="0.25">
      <c r="A60" s="25">
        <v>36</v>
      </c>
      <c r="B60" s="26" t="s">
        <v>117</v>
      </c>
      <c r="C60" s="98">
        <v>44956</v>
      </c>
      <c r="D60" s="25"/>
      <c r="E60" s="28"/>
      <c r="F60" s="27"/>
      <c r="G60" s="28"/>
      <c r="H60" s="27"/>
      <c r="I60" s="28"/>
      <c r="J60" s="27">
        <v>6</v>
      </c>
      <c r="K60" s="29" t="s">
        <v>35</v>
      </c>
      <c r="L60" s="53"/>
      <c r="M60" s="31"/>
      <c r="N60" s="27" t="s">
        <v>76</v>
      </c>
      <c r="O60" s="307"/>
      <c r="P60" s="32"/>
      <c r="Q60" s="25"/>
      <c r="R60" s="27"/>
      <c r="S60" s="27"/>
      <c r="T60" s="28"/>
      <c r="U60" s="27"/>
      <c r="V60" s="27"/>
      <c r="W60" s="28"/>
      <c r="X60" s="33"/>
      <c r="Y60" s="32"/>
      <c r="Z60" s="25"/>
      <c r="AA60" s="27"/>
      <c r="AB60" s="28"/>
      <c r="AC60" s="27"/>
      <c r="AD60" s="27"/>
      <c r="AE60" s="33"/>
      <c r="AG60" s="25"/>
      <c r="AH60" s="34"/>
      <c r="AI60" s="104"/>
      <c r="AJ60" s="104" t="s">
        <v>144</v>
      </c>
      <c r="AK60" s="104"/>
      <c r="AL60" s="105"/>
      <c r="AM60" s="106"/>
      <c r="AN60" s="104"/>
      <c r="AO60" s="104"/>
      <c r="AP60" s="107"/>
      <c r="AQ60" s="37"/>
      <c r="AR60" s="32"/>
      <c r="AS60" s="25" t="s">
        <v>78</v>
      </c>
      <c r="AT60" s="27" t="s">
        <v>52</v>
      </c>
      <c r="AW60" s="25"/>
      <c r="AX60" s="25"/>
      <c r="AY60" s="25"/>
      <c r="AZ60" s="32"/>
      <c r="BA60" s="41"/>
      <c r="BS60">
        <f>[1]Sheet1!B24</f>
        <v>19.658536585365855</v>
      </c>
    </row>
    <row r="61" spans="1:71" s="125" customFormat="1" ht="16" thickBot="1" x14ac:dyDescent="0.25">
      <c r="A61" s="108">
        <v>37</v>
      </c>
      <c r="B61" s="109" t="s">
        <v>117</v>
      </c>
      <c r="C61" s="110">
        <v>44957</v>
      </c>
      <c r="D61" s="108"/>
      <c r="E61" s="111"/>
      <c r="F61" s="112"/>
      <c r="G61" s="111"/>
      <c r="H61" s="112"/>
      <c r="I61" s="111"/>
      <c r="J61" s="112">
        <v>6</v>
      </c>
      <c r="K61" s="113" t="s">
        <v>35</v>
      </c>
      <c r="L61" s="114" t="s">
        <v>145</v>
      </c>
      <c r="M61" s="115"/>
      <c r="N61" s="112" t="s">
        <v>76</v>
      </c>
      <c r="O61" s="307"/>
      <c r="P61" s="116"/>
      <c r="Q61" s="108"/>
      <c r="R61" s="112"/>
      <c r="S61" s="112"/>
      <c r="T61" s="111"/>
      <c r="U61" s="112"/>
      <c r="V61" s="112"/>
      <c r="W61" s="111"/>
      <c r="X61" s="117"/>
      <c r="Y61" s="116"/>
      <c r="Z61" s="118"/>
      <c r="AA61" s="119"/>
      <c r="AB61" s="120"/>
      <c r="AC61" s="112"/>
      <c r="AD61" s="112"/>
      <c r="AE61" s="117"/>
      <c r="AF61" s="121"/>
      <c r="AG61" s="108"/>
      <c r="AH61" s="122"/>
      <c r="AI61" s="104" t="s">
        <v>146</v>
      </c>
      <c r="AJ61" s="104"/>
      <c r="AK61" s="104" t="s">
        <v>52</v>
      </c>
      <c r="AL61" s="105"/>
      <c r="AM61" s="106"/>
      <c r="AN61" s="104"/>
      <c r="AO61" s="104"/>
      <c r="AP61" s="107"/>
      <c r="AQ61" s="123"/>
      <c r="AR61" s="116"/>
      <c r="AS61" s="108" t="s">
        <v>78</v>
      </c>
      <c r="AT61" s="112" t="s">
        <v>52</v>
      </c>
      <c r="AU61" s="112"/>
      <c r="AV61" s="121"/>
      <c r="AW61" s="108"/>
      <c r="AX61" s="108"/>
      <c r="AY61" s="108"/>
      <c r="AZ61" s="116"/>
      <c r="BA61" s="124">
        <v>0</v>
      </c>
      <c r="BS61" s="125">
        <f>[1]Sheet1!B25</f>
        <v>15.3</v>
      </c>
    </row>
    <row r="62" spans="1:71" x14ac:dyDescent="0.2">
      <c r="A62" s="25">
        <v>38</v>
      </c>
      <c r="B62" s="26" t="s">
        <v>117</v>
      </c>
      <c r="C62" s="98">
        <v>44958</v>
      </c>
      <c r="D62" s="25"/>
      <c r="E62" s="28"/>
      <c r="F62" s="27"/>
      <c r="G62" s="28"/>
      <c r="H62" s="27"/>
      <c r="I62" s="28"/>
      <c r="J62" s="27">
        <v>6</v>
      </c>
      <c r="K62" s="29" t="s">
        <v>35</v>
      </c>
      <c r="L62" s="39"/>
      <c r="M62" s="31"/>
      <c r="N62" s="27" t="s">
        <v>76</v>
      </c>
      <c r="O62" s="307"/>
      <c r="P62" s="32"/>
      <c r="Q62" s="25"/>
      <c r="R62" s="27"/>
      <c r="S62" s="27"/>
      <c r="T62" s="28"/>
      <c r="U62" s="27"/>
      <c r="V62" s="27"/>
      <c r="W62" s="28"/>
      <c r="X62" s="33"/>
      <c r="Y62" s="32"/>
      <c r="Z62" s="25"/>
      <c r="AA62" s="27"/>
      <c r="AB62" s="28"/>
      <c r="AC62" s="27"/>
      <c r="AD62" s="27"/>
      <c r="AE62" s="33"/>
      <c r="AG62" s="25"/>
      <c r="AH62" s="34"/>
      <c r="AI62" s="126" t="s">
        <v>147</v>
      </c>
      <c r="AJ62" s="127"/>
      <c r="AK62" s="126" t="s">
        <v>148</v>
      </c>
      <c r="AL62" s="128"/>
      <c r="AM62" s="129"/>
      <c r="AN62" s="127"/>
      <c r="AO62" s="127"/>
      <c r="AP62" s="130"/>
      <c r="AQ62" s="37"/>
      <c r="AR62" s="32"/>
      <c r="AS62" s="25" t="s">
        <v>78</v>
      </c>
      <c r="AT62" s="27" t="s">
        <v>52</v>
      </c>
      <c r="AU62" s="27"/>
      <c r="AW62" s="25"/>
      <c r="AX62" s="25"/>
      <c r="AY62" s="25"/>
      <c r="AZ62" s="32"/>
      <c r="BA62" s="41">
        <v>1</v>
      </c>
      <c r="BS62">
        <f>[1]Sheet1!B26</f>
        <v>12.128205128205128</v>
      </c>
    </row>
    <row r="63" spans="1:71" ht="16" thickBot="1" x14ac:dyDescent="0.25">
      <c r="A63" s="25">
        <v>39</v>
      </c>
      <c r="B63" s="26" t="s">
        <v>117</v>
      </c>
      <c r="C63" s="98">
        <v>44959</v>
      </c>
      <c r="D63" s="25"/>
      <c r="E63" s="28"/>
      <c r="F63" s="27"/>
      <c r="G63" s="28"/>
      <c r="H63" s="27"/>
      <c r="I63" s="28"/>
      <c r="J63" s="27">
        <v>6</v>
      </c>
      <c r="K63" s="29" t="s">
        <v>35</v>
      </c>
      <c r="M63" s="31"/>
      <c r="N63" s="27" t="s">
        <v>76</v>
      </c>
      <c r="O63" s="307"/>
      <c r="P63" s="32"/>
      <c r="Q63" s="25"/>
      <c r="R63" s="27"/>
      <c r="S63" s="27"/>
      <c r="T63" s="28"/>
      <c r="U63" s="27"/>
      <c r="V63" s="27"/>
      <c r="W63" s="28"/>
      <c r="X63" s="33"/>
      <c r="Y63" s="32"/>
      <c r="Z63" s="25"/>
      <c r="AA63" s="27"/>
      <c r="AB63" s="28"/>
      <c r="AC63" s="27"/>
      <c r="AD63" s="27"/>
      <c r="AE63" s="33"/>
      <c r="AG63" s="25"/>
      <c r="AH63" s="34"/>
      <c r="AI63" s="126" t="s">
        <v>147</v>
      </c>
      <c r="AJ63" s="127"/>
      <c r="AK63" s="126" t="s">
        <v>148</v>
      </c>
      <c r="AL63" s="128"/>
      <c r="AM63" s="129"/>
      <c r="AN63" s="127"/>
      <c r="AO63" s="127"/>
      <c r="AP63" s="130"/>
      <c r="AQ63" s="37"/>
      <c r="AR63" s="32"/>
      <c r="AS63" s="25" t="s">
        <v>78</v>
      </c>
      <c r="AT63" s="27" t="s">
        <v>52</v>
      </c>
      <c r="AU63" s="27"/>
      <c r="AW63" s="25"/>
      <c r="AX63" s="25"/>
      <c r="AY63" s="25"/>
      <c r="AZ63" s="32"/>
      <c r="BA63" s="41">
        <v>0</v>
      </c>
      <c r="BS63">
        <f>[1]Sheet1!B27</f>
        <v>10.050000000000001</v>
      </c>
    </row>
    <row r="64" spans="1:71" ht="16" thickBot="1" x14ac:dyDescent="0.25">
      <c r="A64" s="25">
        <v>40</v>
      </c>
      <c r="B64" s="26" t="s">
        <v>140</v>
      </c>
      <c r="C64" s="98">
        <v>44960</v>
      </c>
      <c r="D64" s="25"/>
      <c r="E64" s="28"/>
      <c r="F64" s="27"/>
      <c r="G64" s="28"/>
      <c r="H64" s="27"/>
      <c r="I64" s="28"/>
      <c r="J64" s="27">
        <v>6</v>
      </c>
      <c r="K64" s="29" t="s">
        <v>35</v>
      </c>
      <c r="L64" s="53"/>
      <c r="M64" s="31"/>
      <c r="N64" s="27" t="s">
        <v>76</v>
      </c>
      <c r="O64" s="308"/>
      <c r="Q64" s="25"/>
      <c r="R64" s="27"/>
      <c r="S64" s="27"/>
      <c r="T64" s="28"/>
      <c r="U64" s="27"/>
      <c r="V64" s="27"/>
      <c r="W64" s="28"/>
      <c r="X64" s="33"/>
      <c r="Y64" s="32"/>
      <c r="Z64" s="59"/>
      <c r="AA64" s="60"/>
      <c r="AB64" s="61"/>
      <c r="AC64" s="27"/>
      <c r="AD64" s="27"/>
      <c r="AE64" s="33"/>
      <c r="AG64" s="25"/>
      <c r="AH64" s="34"/>
      <c r="AI64" s="126" t="s">
        <v>146</v>
      </c>
      <c r="AJ64" s="127"/>
      <c r="AK64" s="126" t="s">
        <v>52</v>
      </c>
      <c r="AL64" s="128"/>
      <c r="AM64" s="129"/>
      <c r="AN64" s="127"/>
      <c r="AO64" s="127"/>
      <c r="AP64" s="130"/>
      <c r="AQ64" s="37"/>
      <c r="AR64" s="32"/>
      <c r="AS64" s="25" t="s">
        <v>79</v>
      </c>
      <c r="AT64" s="27" t="s">
        <v>52</v>
      </c>
      <c r="AU64" s="58" t="s">
        <v>80</v>
      </c>
      <c r="AW64" s="25"/>
      <c r="AX64" s="25"/>
      <c r="AY64" s="25"/>
      <c r="AZ64" s="32"/>
      <c r="BA64" s="41">
        <v>0</v>
      </c>
      <c r="BS64">
        <f>[1]Sheet1!B28</f>
        <v>7.5384615384615383</v>
      </c>
    </row>
    <row r="65" spans="1:71" x14ac:dyDescent="0.2">
      <c r="A65" s="25">
        <v>41</v>
      </c>
      <c r="B65" s="26"/>
      <c r="C65" s="98">
        <v>44961</v>
      </c>
      <c r="D65" s="25"/>
      <c r="E65" s="28"/>
      <c r="F65" s="27"/>
      <c r="G65" s="28"/>
      <c r="H65" s="27"/>
      <c r="I65" s="28"/>
      <c r="J65" s="27">
        <v>6</v>
      </c>
      <c r="K65" s="29" t="s">
        <v>35</v>
      </c>
      <c r="M65" s="31"/>
      <c r="N65" s="27" t="s">
        <v>76</v>
      </c>
      <c r="P65" s="32"/>
      <c r="Q65" s="25"/>
      <c r="R65" s="27"/>
      <c r="S65" s="27"/>
      <c r="T65" s="28"/>
      <c r="U65" s="27"/>
      <c r="V65" s="27"/>
      <c r="W65" s="28"/>
      <c r="X65" s="33"/>
      <c r="Y65" s="32"/>
      <c r="Z65" s="25"/>
      <c r="AA65" s="27"/>
      <c r="AB65" s="28"/>
      <c r="AC65" s="27"/>
      <c r="AD65" s="27"/>
      <c r="AE65" s="33"/>
      <c r="AG65" s="25"/>
      <c r="AH65" s="34"/>
      <c r="AI65" s="127"/>
      <c r="AJ65" s="127"/>
      <c r="AK65" s="127"/>
      <c r="AL65" s="128"/>
      <c r="AM65" s="129"/>
      <c r="AN65" s="127"/>
      <c r="AO65" s="127"/>
      <c r="AP65" s="130"/>
      <c r="AQ65" s="37"/>
      <c r="AR65" s="32"/>
      <c r="AS65" s="25" t="s">
        <v>79</v>
      </c>
      <c r="AT65" s="27" t="s">
        <v>52</v>
      </c>
      <c r="AU65" s="27"/>
      <c r="AW65" s="25"/>
      <c r="AX65" s="25"/>
      <c r="AY65" s="25"/>
      <c r="AZ65" s="32"/>
      <c r="BA65" s="41"/>
      <c r="BS65">
        <f>[1]Sheet1!B29</f>
        <v>4.4210526315789478</v>
      </c>
    </row>
    <row r="66" spans="1:71" x14ac:dyDescent="0.2">
      <c r="A66" s="25">
        <v>42</v>
      </c>
      <c r="B66" s="26"/>
      <c r="C66" s="98">
        <v>44962</v>
      </c>
      <c r="D66" s="25"/>
      <c r="E66" s="28"/>
      <c r="F66" s="27"/>
      <c r="G66" s="28"/>
      <c r="H66" s="27"/>
      <c r="I66" s="28"/>
      <c r="J66" s="27">
        <v>6</v>
      </c>
      <c r="K66" s="29" t="s">
        <v>35</v>
      </c>
      <c r="L66" s="39"/>
      <c r="M66" s="31"/>
      <c r="N66" s="27" t="s">
        <v>76</v>
      </c>
      <c r="P66" s="32"/>
      <c r="Q66" s="25"/>
      <c r="R66" s="27"/>
      <c r="S66" s="27"/>
      <c r="T66" s="28"/>
      <c r="U66" s="27"/>
      <c r="V66" s="27"/>
      <c r="W66" s="28"/>
      <c r="X66" s="33"/>
      <c r="Y66" s="32"/>
      <c r="Z66" s="25"/>
      <c r="AA66" s="27"/>
      <c r="AB66" s="28"/>
      <c r="AC66" s="27"/>
      <c r="AD66" s="27"/>
      <c r="AE66" s="33"/>
      <c r="AG66" s="25"/>
      <c r="AH66" s="34"/>
      <c r="AI66" s="127"/>
      <c r="AJ66" s="127"/>
      <c r="AK66" s="127"/>
      <c r="AL66" s="128"/>
      <c r="AM66" s="129"/>
      <c r="AN66" s="127"/>
      <c r="AO66" s="127"/>
      <c r="AP66" s="130"/>
      <c r="AQ66" s="37"/>
      <c r="AR66" s="32"/>
      <c r="AS66" s="25" t="s">
        <v>79</v>
      </c>
      <c r="AT66" s="27" t="s">
        <v>52</v>
      </c>
      <c r="AU66" s="27"/>
      <c r="AW66" s="25"/>
      <c r="AX66" s="25"/>
      <c r="AY66" s="25"/>
      <c r="AZ66" s="32"/>
      <c r="BA66" s="41">
        <v>0</v>
      </c>
      <c r="BS66">
        <f>[1]Sheet1!B30</f>
        <v>4.7027027027027026</v>
      </c>
    </row>
    <row r="67" spans="1:71" ht="16" thickBot="1" x14ac:dyDescent="0.25">
      <c r="A67" s="25">
        <v>43</v>
      </c>
      <c r="B67" s="26" t="s">
        <v>117</v>
      </c>
      <c r="C67" s="98">
        <v>44963</v>
      </c>
      <c r="D67" s="25"/>
      <c r="E67" s="28"/>
      <c r="F67" s="27"/>
      <c r="G67" s="28"/>
      <c r="H67" s="27"/>
      <c r="I67" s="28"/>
      <c r="J67" s="27">
        <v>6</v>
      </c>
      <c r="K67" s="29" t="s">
        <v>35</v>
      </c>
      <c r="L67" s="39"/>
      <c r="M67" s="31"/>
      <c r="N67" s="27" t="s">
        <v>76</v>
      </c>
      <c r="P67" s="32"/>
      <c r="Q67" s="25"/>
      <c r="R67" s="27"/>
      <c r="S67" s="27"/>
      <c r="T67" s="28"/>
      <c r="U67" s="27"/>
      <c r="V67" s="27"/>
      <c r="W67" s="28"/>
      <c r="X67" s="33"/>
      <c r="Y67" s="32"/>
      <c r="Z67" s="25"/>
      <c r="AA67" s="27"/>
      <c r="AB67" s="28"/>
      <c r="AC67" s="27"/>
      <c r="AD67" s="27"/>
      <c r="AE67" s="33"/>
      <c r="AG67" s="25"/>
      <c r="AH67" s="34"/>
      <c r="AI67" s="126" t="s">
        <v>147</v>
      </c>
      <c r="AJ67" s="127"/>
      <c r="AK67" s="126" t="s">
        <v>148</v>
      </c>
      <c r="AL67" s="128"/>
      <c r="AM67" s="129"/>
      <c r="AN67" s="127"/>
      <c r="AO67" s="127"/>
      <c r="AP67" s="130"/>
      <c r="AQ67" s="37"/>
      <c r="AR67" s="32"/>
      <c r="AS67" s="25" t="s">
        <v>79</v>
      </c>
      <c r="AT67" s="27" t="s">
        <v>52</v>
      </c>
      <c r="AU67" s="27"/>
      <c r="AW67" s="25"/>
      <c r="AX67" s="25"/>
      <c r="AY67" s="25"/>
      <c r="AZ67" s="32"/>
      <c r="BA67" s="41">
        <v>1</v>
      </c>
      <c r="BS67">
        <f>[1]Sheet1!B31</f>
        <v>3.5526315789473686</v>
      </c>
    </row>
    <row r="68" spans="1:71" ht="16" thickBot="1" x14ac:dyDescent="0.25">
      <c r="A68" s="25">
        <v>44</v>
      </c>
      <c r="B68" s="26" t="s">
        <v>117</v>
      </c>
      <c r="C68" s="98">
        <v>44964</v>
      </c>
      <c r="D68" s="25"/>
      <c r="E68" s="28"/>
      <c r="F68" s="27"/>
      <c r="G68" s="28"/>
      <c r="H68" s="27"/>
      <c r="I68" s="28"/>
      <c r="J68" s="27">
        <v>6</v>
      </c>
      <c r="K68" s="29" t="s">
        <v>35</v>
      </c>
      <c r="L68" s="39"/>
      <c r="M68" s="31"/>
      <c r="N68" s="27" t="s">
        <v>76</v>
      </c>
      <c r="P68" s="32"/>
      <c r="Q68" s="27"/>
      <c r="R68" s="27"/>
      <c r="S68" s="27"/>
      <c r="T68" s="28"/>
      <c r="U68" s="27"/>
      <c r="V68" s="27"/>
      <c r="W68" s="28"/>
      <c r="X68" s="33"/>
      <c r="Y68" s="32"/>
      <c r="Z68" s="59"/>
      <c r="AA68" s="60"/>
      <c r="AB68" s="61"/>
      <c r="AC68" s="27"/>
      <c r="AD68" s="27"/>
      <c r="AE68" s="33"/>
      <c r="AG68" s="25"/>
      <c r="AH68" s="34"/>
      <c r="AI68" s="127"/>
      <c r="AJ68" s="127"/>
      <c r="AK68" s="127"/>
      <c r="AL68" s="128"/>
      <c r="AM68" s="129"/>
      <c r="AN68" s="127"/>
      <c r="AO68" s="127"/>
      <c r="AP68" s="130"/>
      <c r="AQ68" s="37"/>
      <c r="AR68" s="32"/>
      <c r="AS68" s="25" t="s">
        <v>79</v>
      </c>
      <c r="AT68" s="27" t="s">
        <v>52</v>
      </c>
      <c r="AU68" s="58" t="s">
        <v>81</v>
      </c>
      <c r="AW68" s="25"/>
      <c r="AX68" s="25"/>
      <c r="AY68" s="25"/>
      <c r="AZ68" s="32"/>
      <c r="BA68" s="41">
        <v>0</v>
      </c>
      <c r="BS68">
        <f>[1]Sheet1!B32</f>
        <v>2.8857142857142857</v>
      </c>
    </row>
    <row r="69" spans="1:71" x14ac:dyDescent="0.2">
      <c r="A69" s="25">
        <v>45</v>
      </c>
      <c r="B69" s="26" t="s">
        <v>117</v>
      </c>
      <c r="C69" s="98">
        <v>44965</v>
      </c>
      <c r="D69" s="25"/>
      <c r="E69" s="28"/>
      <c r="F69" s="27"/>
      <c r="G69" s="28"/>
      <c r="H69" s="27"/>
      <c r="I69" s="28"/>
      <c r="J69" s="27">
        <v>6</v>
      </c>
      <c r="K69" s="29" t="s">
        <v>35</v>
      </c>
      <c r="L69" s="39"/>
      <c r="M69" s="31"/>
      <c r="N69" s="27" t="s">
        <v>76</v>
      </c>
      <c r="P69" s="32"/>
      <c r="Q69" s="25"/>
      <c r="R69" s="27"/>
      <c r="S69" s="27"/>
      <c r="T69" s="28"/>
      <c r="U69" s="27"/>
      <c r="V69" s="27"/>
      <c r="W69" s="28"/>
      <c r="X69" s="33"/>
      <c r="Y69" s="32"/>
      <c r="Z69" s="25"/>
      <c r="AA69" s="27"/>
      <c r="AB69" s="28"/>
      <c r="AC69" s="27"/>
      <c r="AD69" s="27"/>
      <c r="AE69" s="33"/>
      <c r="AG69" s="25"/>
      <c r="AH69" s="34"/>
      <c r="AI69" s="126" t="s">
        <v>147</v>
      </c>
      <c r="AJ69" s="127"/>
      <c r="AK69" s="126" t="s">
        <v>149</v>
      </c>
      <c r="AL69" s="128"/>
      <c r="AM69" s="129"/>
      <c r="AN69" s="127"/>
      <c r="AO69" s="127"/>
      <c r="AP69" s="130"/>
      <c r="AQ69" s="37"/>
      <c r="AR69" s="32"/>
      <c r="AS69" s="25" t="s">
        <v>82</v>
      </c>
      <c r="AT69" s="27" t="s">
        <v>52</v>
      </c>
      <c r="AW69" s="25"/>
      <c r="AX69" s="25"/>
      <c r="AY69" s="25"/>
      <c r="AZ69" s="32"/>
      <c r="BA69" s="41">
        <v>1</v>
      </c>
      <c r="BS69">
        <f>[1]Sheet1!B33</f>
        <v>1.8888888888888888</v>
      </c>
    </row>
    <row r="70" spans="1:71" x14ac:dyDescent="0.2">
      <c r="A70" s="25">
        <v>46</v>
      </c>
      <c r="B70" s="26" t="s">
        <v>140</v>
      </c>
      <c r="C70" s="98">
        <v>44966</v>
      </c>
      <c r="D70" s="25"/>
      <c r="E70" s="28"/>
      <c r="F70" s="27"/>
      <c r="G70" s="28"/>
      <c r="H70" s="27"/>
      <c r="I70" s="28"/>
      <c r="J70" s="27">
        <v>6</v>
      </c>
      <c r="K70" s="29" t="s">
        <v>35</v>
      </c>
      <c r="L70" s="39"/>
      <c r="M70" s="31"/>
      <c r="N70" s="27" t="s">
        <v>76</v>
      </c>
      <c r="P70" s="32"/>
      <c r="Q70" s="25"/>
      <c r="R70" s="27"/>
      <c r="S70" s="27"/>
      <c r="T70" s="28"/>
      <c r="U70" s="27"/>
      <c r="V70" s="27"/>
      <c r="W70" s="28"/>
      <c r="X70" s="33"/>
      <c r="Y70" s="32"/>
      <c r="Z70" s="25"/>
      <c r="AA70" s="27"/>
      <c r="AB70" s="28"/>
      <c r="AC70" s="27"/>
      <c r="AD70" s="27"/>
      <c r="AE70" s="33"/>
      <c r="AG70" s="25"/>
      <c r="AH70" s="34"/>
      <c r="AI70" s="127"/>
      <c r="AJ70" s="127"/>
      <c r="AK70" s="127"/>
      <c r="AL70" s="128"/>
      <c r="AM70" s="129"/>
      <c r="AN70" s="127"/>
      <c r="AO70" s="127"/>
      <c r="AP70" s="130"/>
      <c r="AQ70" s="37"/>
      <c r="AR70" s="32"/>
      <c r="AS70" s="25" t="s">
        <v>82</v>
      </c>
      <c r="AT70" s="27" t="s">
        <v>52</v>
      </c>
      <c r="AU70" s="27"/>
      <c r="AW70" s="25"/>
      <c r="AX70" s="25"/>
      <c r="AY70" s="25"/>
      <c r="AZ70" s="32"/>
      <c r="BA70" s="41"/>
      <c r="BS70">
        <f>[1]Sheet1!B34</f>
        <v>1.8</v>
      </c>
    </row>
    <row r="71" spans="1:71" x14ac:dyDescent="0.2">
      <c r="A71" s="25">
        <v>47</v>
      </c>
      <c r="B71" s="26"/>
      <c r="C71" s="98">
        <v>44967</v>
      </c>
      <c r="D71" s="25"/>
      <c r="E71" s="28"/>
      <c r="F71" s="27"/>
      <c r="G71" s="28"/>
      <c r="H71" s="27"/>
      <c r="I71" s="28"/>
      <c r="J71" s="27">
        <v>6</v>
      </c>
      <c r="K71" s="29" t="s">
        <v>35</v>
      </c>
      <c r="L71" s="39"/>
      <c r="M71" s="31"/>
      <c r="N71" s="27" t="s">
        <v>76</v>
      </c>
      <c r="P71" s="32"/>
      <c r="Q71" s="25"/>
      <c r="R71" s="27"/>
      <c r="S71" s="27"/>
      <c r="T71" s="28"/>
      <c r="U71" s="27"/>
      <c r="V71" s="27"/>
      <c r="W71" s="28"/>
      <c r="X71" s="33"/>
      <c r="Y71" s="32"/>
      <c r="Z71" s="25"/>
      <c r="AA71" s="27"/>
      <c r="AB71" s="28"/>
      <c r="AC71" s="27"/>
      <c r="AD71" s="27"/>
      <c r="AE71" s="33"/>
      <c r="AG71" s="25"/>
      <c r="AH71" s="34"/>
      <c r="AI71" s="127"/>
      <c r="AJ71" s="127"/>
      <c r="AK71" s="127"/>
      <c r="AL71" s="128"/>
      <c r="AM71" s="129"/>
      <c r="AN71" s="127"/>
      <c r="AO71" s="127"/>
      <c r="AP71" s="130"/>
      <c r="AQ71" s="37"/>
      <c r="AR71" s="32"/>
      <c r="AS71" s="25" t="s">
        <v>82</v>
      </c>
      <c r="AT71" s="27" t="s">
        <v>52</v>
      </c>
      <c r="AU71" s="27"/>
      <c r="AW71" s="25"/>
      <c r="AX71" s="25"/>
      <c r="AY71" s="25"/>
      <c r="AZ71" s="32"/>
      <c r="BA71" s="41"/>
      <c r="BS71">
        <f>[1]Sheet1!B35</f>
        <v>1.4722222222222223</v>
      </c>
    </row>
    <row r="72" spans="1:71" x14ac:dyDescent="0.2">
      <c r="A72" s="25">
        <v>48</v>
      </c>
      <c r="B72" s="26" t="s">
        <v>140</v>
      </c>
      <c r="C72" s="98">
        <v>44968</v>
      </c>
      <c r="D72" s="25"/>
      <c r="E72" s="28"/>
      <c r="F72" s="27"/>
      <c r="G72" s="28"/>
      <c r="H72" s="27"/>
      <c r="I72" s="28"/>
      <c r="J72" s="27">
        <v>6</v>
      </c>
      <c r="K72" s="29" t="s">
        <v>35</v>
      </c>
      <c r="M72" s="31"/>
      <c r="N72" s="27" t="s">
        <v>76</v>
      </c>
      <c r="P72" s="32"/>
      <c r="Q72" s="25"/>
      <c r="R72" s="27"/>
      <c r="S72" s="27"/>
      <c r="T72" s="28"/>
      <c r="U72" s="27"/>
      <c r="V72" s="27"/>
      <c r="W72" s="28"/>
      <c r="X72" s="33"/>
      <c r="Y72" s="32"/>
      <c r="Z72" s="25"/>
      <c r="AA72" s="27"/>
      <c r="AB72" s="28"/>
      <c r="AC72" s="27"/>
      <c r="AD72" s="27"/>
      <c r="AE72" s="33"/>
      <c r="AG72" s="25"/>
      <c r="AH72" s="34"/>
      <c r="AI72" s="126" t="s">
        <v>146</v>
      </c>
      <c r="AJ72" s="127"/>
      <c r="AK72" s="127"/>
      <c r="AL72" s="128"/>
      <c r="AM72" s="129"/>
      <c r="AN72" s="127"/>
      <c r="AO72" s="127"/>
      <c r="AP72" s="130"/>
      <c r="AQ72" s="37"/>
      <c r="AR72" s="32"/>
      <c r="AS72" s="25" t="s">
        <v>82</v>
      </c>
      <c r="AT72" s="27" t="s">
        <v>52</v>
      </c>
      <c r="AU72" s="27"/>
      <c r="AW72" s="25"/>
      <c r="AX72" s="25"/>
      <c r="AY72" s="25"/>
      <c r="AZ72" s="32"/>
      <c r="BA72" s="41"/>
      <c r="BS72">
        <f>[1]Sheet1!B36</f>
        <v>0.83333333333333337</v>
      </c>
    </row>
    <row r="73" spans="1:71" ht="16" thickBot="1" x14ac:dyDescent="0.25">
      <c r="A73" s="25">
        <v>49</v>
      </c>
      <c r="B73" s="26" t="s">
        <v>117</v>
      </c>
      <c r="C73" s="98">
        <v>44969</v>
      </c>
      <c r="D73" s="25"/>
      <c r="E73" s="28"/>
      <c r="F73" s="27"/>
      <c r="G73" s="28"/>
      <c r="H73" s="27"/>
      <c r="I73" s="28"/>
      <c r="J73" s="27">
        <v>6</v>
      </c>
      <c r="K73" s="29" t="s">
        <v>35</v>
      </c>
      <c r="L73" s="39"/>
      <c r="M73" s="31"/>
      <c r="N73" s="27" t="s">
        <v>76</v>
      </c>
      <c r="P73" s="32"/>
      <c r="Q73" s="25"/>
      <c r="R73" s="27"/>
      <c r="S73" s="27"/>
      <c r="T73" s="28"/>
      <c r="U73" s="27"/>
      <c r="V73" s="27"/>
      <c r="W73" s="28"/>
      <c r="X73" s="33"/>
      <c r="Y73" s="32"/>
      <c r="Z73" s="25"/>
      <c r="AA73" s="27"/>
      <c r="AB73" s="28"/>
      <c r="AC73" s="27"/>
      <c r="AD73" s="27"/>
      <c r="AE73" s="33"/>
      <c r="AG73" s="25"/>
      <c r="AH73" s="34"/>
      <c r="AI73" s="126" t="s">
        <v>150</v>
      </c>
      <c r="AJ73" s="127"/>
      <c r="AK73" s="127"/>
      <c r="AL73" s="128"/>
      <c r="AM73" s="129"/>
      <c r="AN73" s="127"/>
      <c r="AO73" s="127"/>
      <c r="AP73" s="130"/>
      <c r="AQ73" s="37"/>
      <c r="AR73" s="32"/>
      <c r="AS73" s="25" t="s">
        <v>82</v>
      </c>
      <c r="AT73" s="27" t="s">
        <v>52</v>
      </c>
      <c r="AU73" s="27"/>
      <c r="AW73" s="25"/>
      <c r="AX73" s="25"/>
      <c r="AY73" s="25"/>
      <c r="AZ73" s="32"/>
      <c r="BA73" s="41"/>
      <c r="BS73">
        <f>[1]Sheet1!B37</f>
        <v>1.0555555555555556</v>
      </c>
    </row>
    <row r="74" spans="1:71" ht="16" thickBot="1" x14ac:dyDescent="0.25">
      <c r="A74" s="25">
        <v>50</v>
      </c>
      <c r="B74" s="26" t="s">
        <v>140</v>
      </c>
      <c r="C74" s="98">
        <v>44970</v>
      </c>
      <c r="D74" s="25"/>
      <c r="E74" s="28"/>
      <c r="F74" s="27"/>
      <c r="G74" s="28"/>
      <c r="H74" s="27"/>
      <c r="I74" s="28"/>
      <c r="J74" s="27">
        <v>6</v>
      </c>
      <c r="K74" s="29" t="s">
        <v>35</v>
      </c>
      <c r="L74" s="44" t="s">
        <v>83</v>
      </c>
      <c r="M74" s="31"/>
      <c r="N74" s="27" t="s">
        <v>76</v>
      </c>
      <c r="O74" s="45" t="s">
        <v>84</v>
      </c>
      <c r="P74" s="46" t="s">
        <v>61</v>
      </c>
      <c r="Q74" s="25"/>
      <c r="R74" s="27"/>
      <c r="S74" s="27"/>
      <c r="T74" s="28"/>
      <c r="U74" s="27"/>
      <c r="V74" s="27"/>
      <c r="W74" s="28"/>
      <c r="X74" s="33"/>
      <c r="Y74" s="32"/>
      <c r="Z74" s="25"/>
      <c r="AA74" s="27"/>
      <c r="AB74" s="28"/>
      <c r="AC74" s="27"/>
      <c r="AD74" s="27"/>
      <c r="AE74" s="33"/>
      <c r="AG74" s="25"/>
      <c r="AH74" s="34"/>
      <c r="AI74" s="127">
        <v>0.1</v>
      </c>
      <c r="AJ74" s="127"/>
      <c r="AK74" s="127"/>
      <c r="AL74" s="128"/>
      <c r="AM74" s="129"/>
      <c r="AN74" s="127"/>
      <c r="AO74" s="127"/>
      <c r="AP74" s="130"/>
      <c r="AQ74" s="37"/>
      <c r="AR74" s="32"/>
      <c r="AS74" s="25" t="s">
        <v>86</v>
      </c>
      <c r="AT74" s="27" t="s">
        <v>87</v>
      </c>
      <c r="AU74" s="58" t="s">
        <v>88</v>
      </c>
      <c r="AW74" s="25"/>
      <c r="AX74" s="25"/>
      <c r="AY74" s="25"/>
      <c r="AZ74" s="32"/>
      <c r="BA74" s="41">
        <v>1</v>
      </c>
      <c r="BS74">
        <f>[1]Sheet1!B38</f>
        <v>0.94117647058823528</v>
      </c>
    </row>
    <row r="75" spans="1:71" ht="16" thickBot="1" x14ac:dyDescent="0.25">
      <c r="A75" s="25">
        <v>51</v>
      </c>
      <c r="B75" s="26" t="s">
        <v>140</v>
      </c>
      <c r="C75" s="98">
        <v>44971</v>
      </c>
      <c r="D75" s="25"/>
      <c r="E75" s="28"/>
      <c r="F75" s="27"/>
      <c r="G75" s="28"/>
      <c r="H75" s="27"/>
      <c r="I75" s="28"/>
      <c r="J75" s="27">
        <v>10</v>
      </c>
      <c r="K75" s="29" t="s">
        <v>35</v>
      </c>
      <c r="L75" s="88" t="s">
        <v>89</v>
      </c>
      <c r="M75" s="31"/>
      <c r="N75" s="27"/>
      <c r="P75" s="32"/>
      <c r="Q75" s="27"/>
      <c r="R75" s="27"/>
      <c r="S75" s="27"/>
      <c r="T75" s="28"/>
      <c r="U75" s="27"/>
      <c r="V75" s="27"/>
      <c r="W75" s="28"/>
      <c r="X75" s="33"/>
      <c r="Y75" s="32"/>
      <c r="Z75" s="25"/>
      <c r="AA75" s="27"/>
      <c r="AB75" s="28"/>
      <c r="AC75" s="27"/>
      <c r="AD75" s="27"/>
      <c r="AE75" s="33"/>
      <c r="AG75" s="25"/>
      <c r="AH75" s="34"/>
      <c r="AI75" s="127">
        <v>0.1</v>
      </c>
      <c r="AJ75" s="127"/>
      <c r="AK75" s="127"/>
      <c r="AL75" s="128"/>
      <c r="AM75" s="129"/>
      <c r="AN75" s="127"/>
      <c r="AO75" s="127"/>
      <c r="AP75" s="130"/>
      <c r="AQ75" s="37"/>
      <c r="AR75" s="32"/>
      <c r="AS75" s="25" t="s">
        <v>86</v>
      </c>
      <c r="AT75" s="27" t="s">
        <v>87</v>
      </c>
      <c r="AU75" s="27"/>
      <c r="AW75" s="25"/>
      <c r="AX75" s="25"/>
      <c r="AY75" s="25"/>
      <c r="AZ75" s="32"/>
      <c r="BA75" s="41">
        <v>1</v>
      </c>
    </row>
    <row r="76" spans="1:71" ht="16" thickBot="1" x14ac:dyDescent="0.25">
      <c r="A76" s="25">
        <v>52</v>
      </c>
      <c r="B76" s="26" t="s">
        <v>117</v>
      </c>
      <c r="C76" s="98">
        <v>44972</v>
      </c>
      <c r="D76" s="25"/>
      <c r="E76" s="28"/>
      <c r="F76" s="27"/>
      <c r="G76" s="28"/>
      <c r="H76" s="27"/>
      <c r="I76" s="28"/>
      <c r="J76" s="27">
        <v>10</v>
      </c>
      <c r="K76" s="29" t="s">
        <v>35</v>
      </c>
      <c r="L76" s="39"/>
      <c r="M76" s="31"/>
      <c r="N76" s="27"/>
      <c r="P76" s="32"/>
      <c r="Q76" s="25"/>
      <c r="R76" s="27"/>
      <c r="S76" s="27"/>
      <c r="T76" s="28"/>
      <c r="U76" s="27"/>
      <c r="V76" s="27"/>
      <c r="W76" s="28"/>
      <c r="X76" s="33"/>
      <c r="Y76" s="32"/>
      <c r="Z76" s="25"/>
      <c r="AA76" s="27"/>
      <c r="AB76" s="28"/>
      <c r="AC76" s="27"/>
      <c r="AD76" s="27"/>
      <c r="AE76" s="33"/>
      <c r="AG76" s="25"/>
      <c r="AH76" s="34"/>
      <c r="AI76" s="127">
        <v>0.1</v>
      </c>
      <c r="AJ76" s="127"/>
      <c r="AK76" s="127"/>
      <c r="AL76" s="128"/>
      <c r="AM76" s="129"/>
      <c r="AN76" s="127"/>
      <c r="AO76" s="127"/>
      <c r="AP76" s="130"/>
      <c r="AQ76" s="37"/>
      <c r="AR76" s="32"/>
      <c r="AS76" s="25" t="s">
        <v>86</v>
      </c>
      <c r="AT76" s="27" t="s">
        <v>87</v>
      </c>
      <c r="AW76" s="25" t="s">
        <v>90</v>
      </c>
      <c r="AX76" s="27" t="s">
        <v>91</v>
      </c>
      <c r="AY76" s="89" t="s">
        <v>92</v>
      </c>
      <c r="AZ76" s="32"/>
      <c r="BA76" s="41"/>
    </row>
    <row r="77" spans="1:71" x14ac:dyDescent="0.2">
      <c r="A77" s="25">
        <v>53</v>
      </c>
      <c r="B77" s="26" t="s">
        <v>117</v>
      </c>
      <c r="C77" s="98">
        <v>44973</v>
      </c>
      <c r="D77" s="25"/>
      <c r="E77" s="28"/>
      <c r="F77" s="27"/>
      <c r="G77" s="28"/>
      <c r="H77" s="27"/>
      <c r="I77" s="28"/>
      <c r="J77" s="27">
        <v>10</v>
      </c>
      <c r="K77" s="29" t="s">
        <v>35</v>
      </c>
      <c r="L77" s="39"/>
      <c r="M77" s="31"/>
      <c r="N77" s="27"/>
      <c r="P77" s="32"/>
      <c r="Q77" s="25"/>
      <c r="R77" s="27"/>
      <c r="S77" s="27"/>
      <c r="T77" s="28"/>
      <c r="U77" s="27"/>
      <c r="V77" s="27"/>
      <c r="W77" s="28"/>
      <c r="X77" s="33"/>
      <c r="Y77" s="32"/>
      <c r="Z77" s="25"/>
      <c r="AA77" s="27"/>
      <c r="AB77" s="28"/>
      <c r="AC77" s="27"/>
      <c r="AD77" s="27"/>
      <c r="AE77" s="33"/>
      <c r="AG77" s="25"/>
      <c r="AH77" s="34"/>
      <c r="AI77" s="127">
        <v>0.1</v>
      </c>
      <c r="AJ77" s="127"/>
      <c r="AK77" s="127"/>
      <c r="AL77" s="128"/>
      <c r="AM77" s="129"/>
      <c r="AN77" s="127"/>
      <c r="AO77" s="127"/>
      <c r="AP77" s="130"/>
      <c r="AQ77" s="37"/>
      <c r="AR77" s="32"/>
      <c r="AS77" s="25" t="s">
        <v>86</v>
      </c>
      <c r="AT77" s="27" t="s">
        <v>87</v>
      </c>
      <c r="AU77" s="27"/>
      <c r="AW77" s="25" t="s">
        <v>90</v>
      </c>
      <c r="AX77" s="27" t="s">
        <v>91</v>
      </c>
      <c r="AY77" s="27"/>
      <c r="AZ77" s="32"/>
      <c r="BA77" s="41"/>
    </row>
    <row r="78" spans="1:71" ht="16" thickBot="1" x14ac:dyDescent="0.25">
      <c r="A78" s="25">
        <v>54</v>
      </c>
      <c r="B78" s="26" t="s">
        <v>117</v>
      </c>
      <c r="C78" s="98">
        <v>44974</v>
      </c>
      <c r="D78" s="25"/>
      <c r="E78" s="28"/>
      <c r="F78" s="27"/>
      <c r="G78" s="28"/>
      <c r="H78" s="27"/>
      <c r="I78" s="28"/>
      <c r="J78" s="27">
        <v>10</v>
      </c>
      <c r="K78" s="29" t="s">
        <v>35</v>
      </c>
      <c r="L78" s="39"/>
      <c r="M78" s="31"/>
      <c r="N78" s="27"/>
      <c r="P78" s="32"/>
      <c r="Q78" s="25"/>
      <c r="R78" s="27"/>
      <c r="S78" s="27"/>
      <c r="T78" s="28"/>
      <c r="U78" s="27"/>
      <c r="V78" s="27"/>
      <c r="W78" s="28"/>
      <c r="X78" s="33"/>
      <c r="Y78" s="32"/>
      <c r="Z78" s="25"/>
      <c r="AA78" s="27"/>
      <c r="AB78" s="28"/>
      <c r="AC78" s="27"/>
      <c r="AD78" s="27"/>
      <c r="AE78" s="33"/>
      <c r="AG78" s="25"/>
      <c r="AH78" s="34"/>
      <c r="AI78" s="127">
        <v>0.1</v>
      </c>
      <c r="AJ78" s="127"/>
      <c r="AK78" s="127"/>
      <c r="AL78" s="128"/>
      <c r="AM78" s="129"/>
      <c r="AN78" s="127"/>
      <c r="AO78" s="127"/>
      <c r="AP78" s="130"/>
      <c r="AQ78" s="37"/>
      <c r="AR78" s="32"/>
      <c r="AS78" s="25" t="s">
        <v>86</v>
      </c>
      <c r="AT78" s="27" t="s">
        <v>87</v>
      </c>
      <c r="AU78" s="27"/>
      <c r="AW78" s="25" t="s">
        <v>90</v>
      </c>
      <c r="AX78" s="27" t="s">
        <v>91</v>
      </c>
      <c r="AY78" s="27"/>
      <c r="AZ78" s="32"/>
      <c r="BA78" s="41"/>
    </row>
    <row r="79" spans="1:71" ht="16" thickBot="1" x14ac:dyDescent="0.25">
      <c r="A79" s="25">
        <v>55</v>
      </c>
      <c r="B79" s="26" t="s">
        <v>117</v>
      </c>
      <c r="C79" s="98">
        <v>44975</v>
      </c>
      <c r="D79" s="25"/>
      <c r="E79" s="28"/>
      <c r="F79" s="27"/>
      <c r="G79" s="28"/>
      <c r="H79" s="27"/>
      <c r="I79" s="28"/>
      <c r="J79" s="27">
        <v>10</v>
      </c>
      <c r="K79" s="29" t="s">
        <v>35</v>
      </c>
      <c r="L79" s="39"/>
      <c r="M79" s="31"/>
      <c r="N79" s="27"/>
      <c r="P79" s="32"/>
      <c r="Q79" s="25"/>
      <c r="R79" s="27"/>
      <c r="S79" s="27"/>
      <c r="T79" s="28"/>
      <c r="U79" s="27"/>
      <c r="V79" s="27"/>
      <c r="W79" s="28"/>
      <c r="X79" s="33"/>
      <c r="Y79" s="32"/>
      <c r="Z79" s="25"/>
      <c r="AA79" s="27"/>
      <c r="AB79" s="28"/>
      <c r="AC79" s="27"/>
      <c r="AD79" s="27"/>
      <c r="AE79" s="33"/>
      <c r="AG79" s="25"/>
      <c r="AH79" s="34"/>
      <c r="AI79" s="127">
        <v>0.1</v>
      </c>
      <c r="AJ79" s="127"/>
      <c r="AK79" s="127"/>
      <c r="AL79" s="128"/>
      <c r="AM79" s="129"/>
      <c r="AN79" s="127"/>
      <c r="AO79" s="127"/>
      <c r="AP79" s="130"/>
      <c r="AQ79" s="82" t="s">
        <v>93</v>
      </c>
      <c r="AR79" s="32"/>
      <c r="AS79" s="25" t="s">
        <v>86</v>
      </c>
      <c r="AT79" s="27" t="s">
        <v>87</v>
      </c>
      <c r="AW79" s="25" t="s">
        <v>90</v>
      </c>
      <c r="AX79" s="27" t="s">
        <v>91</v>
      </c>
      <c r="AY79" s="27"/>
      <c r="AZ79" s="32"/>
      <c r="BA79" s="41"/>
    </row>
    <row r="80" spans="1:71" ht="16" thickBot="1" x14ac:dyDescent="0.25">
      <c r="A80" s="25">
        <v>56</v>
      </c>
      <c r="B80" s="26" t="s">
        <v>117</v>
      </c>
      <c r="C80" s="98">
        <v>44976</v>
      </c>
      <c r="D80" s="25"/>
      <c r="E80" s="28"/>
      <c r="F80" s="27"/>
      <c r="G80" s="28"/>
      <c r="H80" s="27"/>
      <c r="I80" s="28"/>
      <c r="J80" s="27">
        <v>10</v>
      </c>
      <c r="K80" s="29" t="s">
        <v>35</v>
      </c>
      <c r="L80" s="39"/>
      <c r="M80" s="31"/>
      <c r="N80" s="27"/>
      <c r="P80" s="32"/>
      <c r="Q80" s="25"/>
      <c r="R80" s="27"/>
      <c r="S80" s="27"/>
      <c r="T80" s="28"/>
      <c r="U80" s="27"/>
      <c r="V80" s="27"/>
      <c r="W80" s="28"/>
      <c r="X80" s="33"/>
      <c r="Y80" s="32"/>
      <c r="Z80" s="25"/>
      <c r="AA80" s="27"/>
      <c r="AB80" s="28"/>
      <c r="AC80" s="27"/>
      <c r="AD80" s="27"/>
      <c r="AE80" s="33"/>
      <c r="AG80" s="25"/>
      <c r="AH80" s="34"/>
      <c r="AI80" s="127">
        <v>0.1</v>
      </c>
      <c r="AJ80" s="27"/>
      <c r="AK80" s="27"/>
      <c r="AL80" s="25"/>
      <c r="AM80" s="34"/>
      <c r="AN80" s="27"/>
      <c r="AO80" s="27"/>
      <c r="AP80" s="36"/>
      <c r="AQ80" s="37"/>
      <c r="AR80" s="32"/>
      <c r="AS80" s="25" t="s">
        <v>86</v>
      </c>
      <c r="AT80" s="27" t="s">
        <v>87</v>
      </c>
      <c r="AU80" s="27"/>
      <c r="AW80" s="25" t="s">
        <v>90</v>
      </c>
      <c r="AX80" s="27" t="s">
        <v>91</v>
      </c>
      <c r="AY80" s="27"/>
      <c r="AZ80" s="32"/>
      <c r="BA80" s="41"/>
    </row>
    <row r="81" spans="1:53" ht="16" thickBot="1" x14ac:dyDescent="0.25">
      <c r="A81" s="25">
        <v>57</v>
      </c>
      <c r="B81" s="26" t="s">
        <v>117</v>
      </c>
      <c r="C81" s="98">
        <v>44977</v>
      </c>
      <c r="D81" s="25"/>
      <c r="E81" s="28"/>
      <c r="F81" s="27"/>
      <c r="G81" s="28"/>
      <c r="H81" s="27"/>
      <c r="I81" s="28"/>
      <c r="J81" s="27">
        <v>10</v>
      </c>
      <c r="K81" s="29" t="s">
        <v>35</v>
      </c>
      <c r="L81" s="39"/>
      <c r="M81" s="31"/>
      <c r="N81" s="27"/>
      <c r="P81" s="32"/>
      <c r="Q81" s="25"/>
      <c r="R81" s="27"/>
      <c r="S81" s="27"/>
      <c r="T81" s="28"/>
      <c r="U81" s="27"/>
      <c r="V81" s="27"/>
      <c r="W81" s="28"/>
      <c r="X81" s="33"/>
      <c r="Y81" s="32"/>
      <c r="Z81" s="25"/>
      <c r="AA81" s="27"/>
      <c r="AB81" s="28"/>
      <c r="AC81" s="27"/>
      <c r="AD81" s="27"/>
      <c r="AE81" s="33"/>
      <c r="AG81" s="25"/>
      <c r="AH81" s="34"/>
      <c r="AI81" s="27" t="s">
        <v>147</v>
      </c>
      <c r="AJ81" s="27"/>
      <c r="AK81" s="27"/>
      <c r="AL81" s="25"/>
      <c r="AM81" s="34"/>
      <c r="AN81" s="27"/>
      <c r="AO81" s="27"/>
      <c r="AP81" s="36"/>
      <c r="AQ81" s="37"/>
      <c r="AR81" s="32"/>
      <c r="AS81" s="25" t="s">
        <v>86</v>
      </c>
      <c r="AT81" s="27" t="s">
        <v>87</v>
      </c>
      <c r="AU81" s="27"/>
      <c r="AW81" s="25" t="s">
        <v>90</v>
      </c>
      <c r="AX81" s="27" t="s">
        <v>91</v>
      </c>
      <c r="AY81" s="89" t="s">
        <v>94</v>
      </c>
      <c r="AZ81" s="32"/>
      <c r="BA81" s="41"/>
    </row>
    <row r="82" spans="1:53" x14ac:dyDescent="0.2">
      <c r="A82" s="25">
        <v>58</v>
      </c>
      <c r="B82" s="26" t="s">
        <v>117</v>
      </c>
      <c r="C82" s="98">
        <v>44978</v>
      </c>
      <c r="D82" s="25"/>
      <c r="E82" s="28"/>
      <c r="F82" s="27"/>
      <c r="G82" s="28"/>
      <c r="H82" s="27"/>
      <c r="I82" s="28"/>
      <c r="J82" s="27">
        <v>10</v>
      </c>
      <c r="K82" s="29" t="s">
        <v>35</v>
      </c>
      <c r="L82" s="39" t="s">
        <v>151</v>
      </c>
      <c r="M82" s="31"/>
      <c r="N82" s="27"/>
      <c r="P82" s="32"/>
      <c r="Q82" s="25"/>
      <c r="R82" s="27"/>
      <c r="S82" s="27"/>
      <c r="T82" s="28"/>
      <c r="U82" s="27"/>
      <c r="V82" s="27"/>
      <c r="W82" s="28"/>
      <c r="X82" s="33"/>
      <c r="Y82" s="32"/>
      <c r="Z82" s="25"/>
      <c r="AA82" s="27"/>
      <c r="AB82" s="28"/>
      <c r="AC82" s="27"/>
      <c r="AD82" s="27"/>
      <c r="AE82" s="33"/>
      <c r="AG82" s="25"/>
      <c r="AH82" s="34"/>
      <c r="AI82" s="27"/>
      <c r="AJ82" s="27"/>
      <c r="AK82" s="27"/>
      <c r="AL82" s="25"/>
      <c r="AM82" s="34"/>
      <c r="AN82" s="27"/>
      <c r="AO82" s="27"/>
      <c r="AP82" s="36"/>
      <c r="AQ82" s="37"/>
      <c r="AR82" s="32"/>
      <c r="AS82" s="25" t="s">
        <v>86</v>
      </c>
      <c r="AT82" s="27" t="s">
        <v>87</v>
      </c>
      <c r="AU82" s="27"/>
      <c r="AW82" s="25" t="s">
        <v>90</v>
      </c>
      <c r="AX82" s="27" t="s">
        <v>95</v>
      </c>
      <c r="AY82" s="27"/>
      <c r="AZ82" s="32"/>
      <c r="BA82" s="41"/>
    </row>
    <row r="83" spans="1:53" ht="16" thickBot="1" x14ac:dyDescent="0.25">
      <c r="A83" s="25">
        <v>59</v>
      </c>
      <c r="B83" s="26" t="s">
        <v>117</v>
      </c>
      <c r="C83" s="98">
        <v>44979</v>
      </c>
      <c r="D83" s="25"/>
      <c r="E83" s="28"/>
      <c r="F83" s="27"/>
      <c r="G83" s="28"/>
      <c r="H83" s="27"/>
      <c r="I83" s="28"/>
      <c r="J83" s="27">
        <v>10</v>
      </c>
      <c r="K83" s="29" t="s">
        <v>35</v>
      </c>
      <c r="L83" s="39"/>
      <c r="M83" s="31"/>
      <c r="N83" s="27"/>
      <c r="P83" s="32"/>
      <c r="Q83" s="25"/>
      <c r="R83" s="27"/>
      <c r="S83" s="27"/>
      <c r="T83" s="28"/>
      <c r="U83" s="27"/>
      <c r="V83" s="27"/>
      <c r="W83" s="28"/>
      <c r="X83" s="33"/>
      <c r="Y83" s="32"/>
      <c r="Z83" s="25"/>
      <c r="AA83" s="27"/>
      <c r="AB83" s="28"/>
      <c r="AC83" s="27"/>
      <c r="AD83" s="27"/>
      <c r="AE83" s="33"/>
      <c r="AG83" s="25"/>
      <c r="AH83" s="34"/>
      <c r="AI83" s="27"/>
      <c r="AJ83" s="27"/>
      <c r="AK83" s="27"/>
      <c r="AL83" s="25"/>
      <c r="AM83" s="34"/>
      <c r="AN83" s="27"/>
      <c r="AO83" s="27"/>
      <c r="AP83" s="36"/>
      <c r="AQ83" s="37"/>
      <c r="AR83" s="32"/>
      <c r="AS83" s="25" t="s">
        <v>86</v>
      </c>
      <c r="AT83" s="27" t="s">
        <v>87</v>
      </c>
      <c r="AU83" s="27"/>
      <c r="AW83" s="25" t="s">
        <v>90</v>
      </c>
      <c r="AX83" s="27" t="s">
        <v>95</v>
      </c>
      <c r="AY83" s="27"/>
      <c r="AZ83" s="32"/>
      <c r="BA83" s="41"/>
    </row>
    <row r="84" spans="1:53" ht="16" thickBot="1" x14ac:dyDescent="0.25">
      <c r="A84" s="25">
        <v>60</v>
      </c>
      <c r="B84" s="26" t="s">
        <v>117</v>
      </c>
      <c r="C84" s="98">
        <v>44980</v>
      </c>
      <c r="D84" s="25"/>
      <c r="E84" s="28"/>
      <c r="F84" s="27"/>
      <c r="G84" s="28"/>
      <c r="H84" s="27"/>
      <c r="I84" s="28"/>
      <c r="J84" s="27">
        <v>10</v>
      </c>
      <c r="K84" s="29" t="s">
        <v>35</v>
      </c>
      <c r="L84" s="39"/>
      <c r="M84" s="31"/>
      <c r="N84" s="27"/>
      <c r="P84" s="32"/>
      <c r="Q84" s="25"/>
      <c r="R84" s="27"/>
      <c r="S84" s="27"/>
      <c r="T84" s="28"/>
      <c r="U84" s="27"/>
      <c r="V84" s="27"/>
      <c r="W84" s="28"/>
      <c r="X84" s="33"/>
      <c r="Y84" s="32"/>
      <c r="Z84" s="25"/>
      <c r="AA84" s="27"/>
      <c r="AB84" s="28"/>
      <c r="AC84" s="27"/>
      <c r="AD84" s="27"/>
      <c r="AE84" s="33"/>
      <c r="AG84" s="25"/>
      <c r="AH84" s="34"/>
      <c r="AI84" s="27"/>
      <c r="AJ84" s="27"/>
      <c r="AK84" s="27"/>
      <c r="AL84" s="25"/>
      <c r="AM84" s="34"/>
      <c r="AN84" s="27"/>
      <c r="AO84" s="27"/>
      <c r="AP84" s="36"/>
      <c r="AQ84" s="37"/>
      <c r="AR84" s="32"/>
      <c r="AS84" s="25" t="s">
        <v>96</v>
      </c>
      <c r="AT84" s="27" t="s">
        <v>87</v>
      </c>
      <c r="AU84" s="58" t="s">
        <v>97</v>
      </c>
      <c r="AW84" s="25" t="s">
        <v>90</v>
      </c>
      <c r="AX84" s="27" t="s">
        <v>95</v>
      </c>
      <c r="AY84" s="27"/>
      <c r="AZ84" s="32"/>
      <c r="BA84" s="41"/>
    </row>
    <row r="85" spans="1:53" x14ac:dyDescent="0.2">
      <c r="A85" s="25">
        <v>61</v>
      </c>
      <c r="B85" s="26"/>
      <c r="C85" s="98">
        <v>44981</v>
      </c>
      <c r="D85" s="25"/>
      <c r="E85" s="28"/>
      <c r="F85" s="27"/>
      <c r="G85" s="28"/>
      <c r="H85" s="27"/>
      <c r="I85" s="28"/>
      <c r="J85" s="27">
        <v>10</v>
      </c>
      <c r="K85" s="29" t="s">
        <v>35</v>
      </c>
      <c r="L85" s="39"/>
      <c r="M85" s="31"/>
      <c r="N85" s="27"/>
      <c r="P85" s="32"/>
      <c r="Q85" s="25"/>
      <c r="R85" s="27"/>
      <c r="S85" s="27"/>
      <c r="T85" s="28"/>
      <c r="U85" s="27"/>
      <c r="V85" s="27"/>
      <c r="W85" s="28"/>
      <c r="X85" s="33"/>
      <c r="Y85" s="32"/>
      <c r="Z85" s="25"/>
      <c r="AA85" s="27"/>
      <c r="AB85" s="28"/>
      <c r="AC85" s="27"/>
      <c r="AD85" s="27"/>
      <c r="AE85" s="33"/>
      <c r="AG85" s="25"/>
      <c r="AH85" s="34"/>
      <c r="AI85" s="27"/>
      <c r="AJ85" s="27"/>
      <c r="AK85" s="27"/>
      <c r="AL85" s="25"/>
      <c r="AM85" s="34"/>
      <c r="AN85" s="27"/>
      <c r="AO85" s="27"/>
      <c r="AP85" s="36"/>
      <c r="AQ85" s="37"/>
      <c r="AR85" s="32"/>
      <c r="AS85" s="25" t="s">
        <v>96</v>
      </c>
      <c r="AT85" s="27" t="s">
        <v>87</v>
      </c>
      <c r="AU85" s="27"/>
      <c r="AW85" s="25" t="s">
        <v>90</v>
      </c>
      <c r="AX85" s="27" t="s">
        <v>95</v>
      </c>
      <c r="AY85" s="27"/>
      <c r="AZ85" s="32"/>
      <c r="BA85" s="41"/>
    </row>
    <row r="86" spans="1:53" x14ac:dyDescent="0.2">
      <c r="A86" s="25">
        <v>62</v>
      </c>
      <c r="B86" s="26"/>
      <c r="C86" s="98">
        <v>44982</v>
      </c>
      <c r="D86" s="25"/>
      <c r="E86" s="28"/>
      <c r="F86" s="27"/>
      <c r="G86" s="28"/>
      <c r="H86" s="27"/>
      <c r="I86" s="28"/>
      <c r="J86" s="27">
        <v>10</v>
      </c>
      <c r="K86" s="29" t="s">
        <v>35</v>
      </c>
      <c r="L86" s="39"/>
      <c r="M86" s="31"/>
      <c r="N86" s="27"/>
      <c r="P86" s="32"/>
      <c r="Q86" s="25"/>
      <c r="R86" s="27"/>
      <c r="S86" s="27"/>
      <c r="T86" s="28"/>
      <c r="U86" s="27"/>
      <c r="V86" s="27"/>
      <c r="W86" s="28"/>
      <c r="X86" s="33"/>
      <c r="Y86" s="32"/>
      <c r="Z86" s="25"/>
      <c r="AA86" s="27"/>
      <c r="AB86" s="28"/>
      <c r="AC86" s="27"/>
      <c r="AD86" s="27"/>
      <c r="AE86" s="33"/>
      <c r="AG86" s="25"/>
      <c r="AH86" s="34"/>
      <c r="AI86" s="27"/>
      <c r="AJ86" s="27"/>
      <c r="AK86" s="27"/>
      <c r="AL86" s="25"/>
      <c r="AM86" s="34"/>
      <c r="AN86" s="27"/>
      <c r="AO86" s="27"/>
      <c r="AP86" s="36"/>
      <c r="AQ86" s="37"/>
      <c r="AR86" s="32"/>
      <c r="AS86" s="25" t="s">
        <v>96</v>
      </c>
      <c r="AT86" s="27" t="s">
        <v>87</v>
      </c>
      <c r="AU86" s="27"/>
      <c r="AW86" s="25" t="s">
        <v>90</v>
      </c>
      <c r="AX86" s="27" t="s">
        <v>95</v>
      </c>
      <c r="AY86" s="27"/>
      <c r="AZ86" s="32"/>
      <c r="BA86" s="41"/>
    </row>
    <row r="87" spans="1:53" x14ac:dyDescent="0.2">
      <c r="A87" s="25">
        <v>63</v>
      </c>
      <c r="B87" s="26" t="s">
        <v>140</v>
      </c>
      <c r="C87" s="98">
        <v>44983</v>
      </c>
      <c r="D87" s="25"/>
      <c r="E87" s="28"/>
      <c r="F87" s="27"/>
      <c r="G87" s="28"/>
      <c r="H87" s="27"/>
      <c r="I87" s="28"/>
      <c r="J87" s="27">
        <v>10</v>
      </c>
      <c r="K87" s="29" t="s">
        <v>35</v>
      </c>
      <c r="L87" s="39"/>
      <c r="M87" s="31"/>
      <c r="N87" s="27"/>
      <c r="P87" s="32"/>
      <c r="Q87" s="25"/>
      <c r="R87" s="27"/>
      <c r="S87" s="27"/>
      <c r="T87" s="28"/>
      <c r="U87" s="27"/>
      <c r="V87" s="27"/>
      <c r="W87" s="28"/>
      <c r="X87" s="33"/>
      <c r="Y87" s="32"/>
      <c r="Z87" s="25"/>
      <c r="AA87" s="27"/>
      <c r="AB87" s="28"/>
      <c r="AC87" s="27"/>
      <c r="AD87" s="27"/>
      <c r="AE87" s="33"/>
      <c r="AG87" s="25"/>
      <c r="AH87" s="34"/>
      <c r="AI87" s="27"/>
      <c r="AJ87" s="27"/>
      <c r="AK87" s="27"/>
      <c r="AL87" s="25"/>
      <c r="AM87" s="34"/>
      <c r="AN87" s="27"/>
      <c r="AO87" s="27"/>
      <c r="AP87" s="36"/>
      <c r="AQ87" s="37"/>
      <c r="AR87" s="32"/>
      <c r="AS87" s="25" t="s">
        <v>96</v>
      </c>
      <c r="AT87" s="27" t="s">
        <v>87</v>
      </c>
      <c r="AU87" s="27"/>
      <c r="AW87" s="25" t="s">
        <v>90</v>
      </c>
      <c r="AX87" s="27" t="s">
        <v>95</v>
      </c>
      <c r="AY87" s="27"/>
      <c r="AZ87" s="32"/>
      <c r="BA87" s="41"/>
    </row>
    <row r="88" spans="1:53" x14ac:dyDescent="0.2">
      <c r="A88" s="25">
        <v>64</v>
      </c>
      <c r="B88" s="26"/>
      <c r="C88" s="98">
        <v>44984</v>
      </c>
      <c r="D88" s="25"/>
      <c r="E88" s="28"/>
      <c r="F88" s="27"/>
      <c r="G88" s="28"/>
      <c r="H88" s="27"/>
      <c r="I88" s="28"/>
      <c r="J88" s="27">
        <v>10</v>
      </c>
      <c r="K88" s="29" t="s">
        <v>35</v>
      </c>
      <c r="L88" s="39"/>
      <c r="M88" s="31"/>
      <c r="N88" s="27"/>
      <c r="P88" s="32"/>
      <c r="Q88" s="25"/>
      <c r="R88" s="27"/>
      <c r="S88" s="27"/>
      <c r="T88" s="28"/>
      <c r="U88" s="27"/>
      <c r="V88" s="27"/>
      <c r="W88" s="28"/>
      <c r="X88" s="33"/>
      <c r="Y88" s="32"/>
      <c r="Z88" s="25"/>
      <c r="AA88" s="27"/>
      <c r="AB88" s="28"/>
      <c r="AC88" s="27"/>
      <c r="AD88" s="27"/>
      <c r="AE88" s="33"/>
      <c r="AG88" s="25"/>
      <c r="AH88" s="34"/>
      <c r="AI88" s="27"/>
      <c r="AJ88" s="27"/>
      <c r="AK88" s="27"/>
      <c r="AL88" s="25"/>
      <c r="AM88" s="34"/>
      <c r="AN88" s="27"/>
      <c r="AO88" s="27"/>
      <c r="AP88" s="36"/>
      <c r="AQ88" s="37"/>
      <c r="AR88" s="32"/>
      <c r="AS88" s="25" t="s">
        <v>96</v>
      </c>
      <c r="AT88" s="27" t="s">
        <v>87</v>
      </c>
      <c r="AU88" s="27"/>
      <c r="AW88" s="25" t="s">
        <v>90</v>
      </c>
      <c r="AX88" s="27" t="s">
        <v>95</v>
      </c>
      <c r="AY88" s="27"/>
      <c r="AZ88" s="32"/>
      <c r="BA88" s="41"/>
    </row>
    <row r="89" spans="1:53" x14ac:dyDescent="0.2">
      <c r="A89" s="25">
        <v>65</v>
      </c>
      <c r="B89" s="26"/>
      <c r="C89" s="98">
        <v>44985</v>
      </c>
      <c r="D89" s="25"/>
      <c r="E89" s="28"/>
      <c r="F89" s="27"/>
      <c r="G89" s="28"/>
      <c r="H89" s="27"/>
      <c r="I89" s="28"/>
      <c r="J89" s="27">
        <v>10</v>
      </c>
      <c r="K89" s="29" t="s">
        <v>35</v>
      </c>
      <c r="L89" s="39"/>
      <c r="M89" s="31"/>
      <c r="N89" s="27"/>
      <c r="P89" s="32"/>
      <c r="Q89" s="25"/>
      <c r="R89" s="27"/>
      <c r="S89" s="27"/>
      <c r="T89" s="28"/>
      <c r="U89" s="27"/>
      <c r="V89" s="27"/>
      <c r="W89" s="28"/>
      <c r="X89" s="33"/>
      <c r="Y89" s="32"/>
      <c r="Z89" s="25"/>
      <c r="AA89" s="27"/>
      <c r="AB89" s="28"/>
      <c r="AC89" s="27"/>
      <c r="AD89" s="27"/>
      <c r="AE89" s="33"/>
      <c r="AG89" s="25"/>
      <c r="AH89" s="34"/>
      <c r="AI89" s="27"/>
      <c r="AJ89" s="27"/>
      <c r="AK89" s="27"/>
      <c r="AL89" s="25"/>
      <c r="AM89" s="34"/>
      <c r="AN89" s="27"/>
      <c r="AO89" s="27"/>
      <c r="AP89" s="36"/>
      <c r="AQ89" s="37"/>
      <c r="AR89" s="32"/>
      <c r="AS89" s="25" t="s">
        <v>96</v>
      </c>
      <c r="AT89" s="27" t="s">
        <v>87</v>
      </c>
      <c r="AU89" s="27"/>
      <c r="AW89" s="25" t="s">
        <v>90</v>
      </c>
      <c r="AX89" s="27" t="s">
        <v>95</v>
      </c>
      <c r="AY89" s="27"/>
      <c r="AZ89" s="32"/>
      <c r="BA89" s="41"/>
    </row>
    <row r="90" spans="1:53" x14ac:dyDescent="0.2">
      <c r="A90" s="25">
        <v>66</v>
      </c>
      <c r="B90" s="26"/>
      <c r="C90" s="98">
        <v>44986</v>
      </c>
      <c r="D90" s="25"/>
      <c r="E90" s="28"/>
      <c r="F90" s="27"/>
      <c r="G90" s="28"/>
      <c r="H90" s="27"/>
      <c r="I90" s="28"/>
      <c r="J90" s="27">
        <v>10</v>
      </c>
      <c r="K90" s="29" t="s">
        <v>35</v>
      </c>
      <c r="L90" s="39"/>
      <c r="M90" s="31"/>
      <c r="N90" s="27"/>
      <c r="P90" s="32"/>
      <c r="Q90" s="25"/>
      <c r="R90" s="27"/>
      <c r="S90" s="27"/>
      <c r="T90" s="28"/>
      <c r="U90" s="27"/>
      <c r="V90" s="27"/>
      <c r="W90" s="28"/>
      <c r="X90" s="33"/>
      <c r="Y90" s="32"/>
      <c r="Z90" s="25"/>
      <c r="AA90" s="27"/>
      <c r="AB90" s="28"/>
      <c r="AC90" s="27"/>
      <c r="AD90" s="27"/>
      <c r="AE90" s="33"/>
      <c r="AG90" s="25"/>
      <c r="AH90" s="34"/>
      <c r="AI90" s="27"/>
      <c r="AJ90" s="27"/>
      <c r="AK90" s="27"/>
      <c r="AL90" s="25"/>
      <c r="AM90" s="34"/>
      <c r="AN90" s="27"/>
      <c r="AO90" s="27"/>
      <c r="AP90" s="36"/>
      <c r="AQ90" s="37"/>
      <c r="AR90" s="32"/>
      <c r="AS90" s="25" t="s">
        <v>96</v>
      </c>
      <c r="AT90" s="27" t="s">
        <v>87</v>
      </c>
      <c r="AU90" s="27"/>
      <c r="AW90" s="25" t="s">
        <v>90</v>
      </c>
      <c r="AX90" s="27" t="s">
        <v>95</v>
      </c>
      <c r="AY90" s="27"/>
      <c r="AZ90" s="32"/>
      <c r="BA90" s="41"/>
    </row>
    <row r="91" spans="1:53" x14ac:dyDescent="0.2">
      <c r="A91" s="25">
        <v>67</v>
      </c>
      <c r="B91" s="26"/>
      <c r="C91" s="98">
        <v>44987</v>
      </c>
      <c r="D91" s="25"/>
      <c r="E91" s="28"/>
      <c r="F91" s="27"/>
      <c r="G91" s="28"/>
      <c r="H91" s="27"/>
      <c r="I91" s="28"/>
      <c r="J91" s="27">
        <v>10</v>
      </c>
      <c r="K91" s="29" t="s">
        <v>35</v>
      </c>
      <c r="L91" s="39"/>
      <c r="M91" s="31"/>
      <c r="N91" s="27"/>
      <c r="P91" s="32"/>
      <c r="Q91" s="25"/>
      <c r="R91" s="27"/>
      <c r="S91" s="27"/>
      <c r="T91" s="28"/>
      <c r="U91" s="27"/>
      <c r="V91" s="27"/>
      <c r="W91" s="28"/>
      <c r="X91" s="33"/>
      <c r="Y91" s="32"/>
      <c r="Z91" s="25"/>
      <c r="AA91" s="27"/>
      <c r="AB91" s="28"/>
      <c r="AC91" s="27"/>
      <c r="AD91" s="27"/>
      <c r="AE91" s="33"/>
      <c r="AG91" s="25"/>
      <c r="AH91" s="34"/>
      <c r="AI91" s="27"/>
      <c r="AJ91" s="27"/>
      <c r="AK91" s="27"/>
      <c r="AL91" s="25"/>
      <c r="AM91" s="34"/>
      <c r="AN91" s="27"/>
      <c r="AO91" s="27"/>
      <c r="AP91" s="36"/>
      <c r="AQ91" s="37"/>
      <c r="AR91" s="32"/>
      <c r="AS91" s="25" t="s">
        <v>96</v>
      </c>
      <c r="AT91" s="27" t="s">
        <v>87</v>
      </c>
      <c r="AU91" s="27"/>
      <c r="AW91" s="25" t="s">
        <v>90</v>
      </c>
      <c r="AX91" s="27" t="s">
        <v>95</v>
      </c>
      <c r="AY91" s="27"/>
      <c r="AZ91" s="32"/>
      <c r="BA91" s="41">
        <v>0</v>
      </c>
    </row>
    <row r="92" spans="1:53" x14ac:dyDescent="0.2">
      <c r="A92" s="25">
        <v>68</v>
      </c>
      <c r="B92" s="26"/>
      <c r="C92" s="98">
        <v>44988</v>
      </c>
      <c r="D92" s="25"/>
      <c r="E92" s="28"/>
      <c r="F92" s="27"/>
      <c r="G92" s="28"/>
      <c r="H92" s="27"/>
      <c r="I92" s="28"/>
      <c r="J92" s="27">
        <v>10</v>
      </c>
      <c r="K92" s="29" t="s">
        <v>35</v>
      </c>
      <c r="L92" s="39"/>
      <c r="M92" s="31"/>
      <c r="N92" s="27"/>
      <c r="P92" s="32"/>
      <c r="Q92" s="25"/>
      <c r="R92" s="27"/>
      <c r="S92" s="27"/>
      <c r="T92" s="28"/>
      <c r="U92" s="27"/>
      <c r="V92" s="27"/>
      <c r="W92" s="28"/>
      <c r="X92" s="33"/>
      <c r="Y92" s="32"/>
      <c r="Z92" s="25"/>
      <c r="AA92" s="27"/>
      <c r="AB92" s="28"/>
      <c r="AC92" s="27"/>
      <c r="AD92" s="27"/>
      <c r="AE92" s="33"/>
      <c r="AG92" s="25"/>
      <c r="AH92" s="34"/>
      <c r="AI92" s="27"/>
      <c r="AJ92" s="27"/>
      <c r="AK92" s="27"/>
      <c r="AL92" s="25"/>
      <c r="AM92" s="34"/>
      <c r="AN92" s="27"/>
      <c r="AO92" s="27"/>
      <c r="AP92" s="36"/>
      <c r="AQ92" s="37"/>
      <c r="AR92" s="32"/>
      <c r="AS92" s="25" t="s">
        <v>96</v>
      </c>
      <c r="AT92" s="27" t="s">
        <v>87</v>
      </c>
      <c r="AU92" s="27"/>
      <c r="AW92" s="25" t="s">
        <v>90</v>
      </c>
      <c r="AX92" s="27" t="s">
        <v>95</v>
      </c>
      <c r="AY92" s="27"/>
      <c r="AZ92" s="32"/>
      <c r="BA92" s="41">
        <v>0</v>
      </c>
    </row>
    <row r="93" spans="1:53" x14ac:dyDescent="0.2">
      <c r="A93" s="25">
        <v>69</v>
      </c>
      <c r="B93" s="26"/>
      <c r="C93" s="98">
        <v>44989</v>
      </c>
      <c r="D93" s="25"/>
      <c r="E93" s="28"/>
      <c r="F93" s="27"/>
      <c r="G93" s="28"/>
      <c r="H93" s="27"/>
      <c r="I93" s="28"/>
      <c r="J93" s="27">
        <v>10</v>
      </c>
      <c r="K93" s="29" t="s">
        <v>35</v>
      </c>
      <c r="L93" s="39"/>
      <c r="M93" s="31"/>
      <c r="N93" s="27"/>
      <c r="P93" s="32"/>
      <c r="Q93" s="25"/>
      <c r="R93" s="27"/>
      <c r="S93" s="27"/>
      <c r="T93" s="28"/>
      <c r="U93" s="27"/>
      <c r="V93" s="27"/>
      <c r="W93" s="28"/>
      <c r="X93" s="33"/>
      <c r="Y93" s="32"/>
      <c r="Z93" s="25"/>
      <c r="AA93" s="27"/>
      <c r="AB93" s="28"/>
      <c r="AC93" s="27"/>
      <c r="AD93" s="27"/>
      <c r="AE93" s="33"/>
      <c r="AG93" s="25"/>
      <c r="AH93" s="34"/>
      <c r="AI93" s="27"/>
      <c r="AJ93" s="27"/>
      <c r="AK93" s="27"/>
      <c r="AL93" s="25"/>
      <c r="AM93" s="34"/>
      <c r="AN93" s="27"/>
      <c r="AO93" s="27"/>
      <c r="AP93" s="36"/>
      <c r="AQ93" s="37"/>
      <c r="AR93" s="32"/>
      <c r="AS93" s="25" t="s">
        <v>96</v>
      </c>
      <c r="AT93" s="27" t="s">
        <v>87</v>
      </c>
      <c r="AU93" s="27"/>
      <c r="AW93" s="25" t="s">
        <v>90</v>
      </c>
      <c r="AX93" s="27" t="s">
        <v>95</v>
      </c>
      <c r="AY93" s="27"/>
      <c r="AZ93" s="32"/>
      <c r="BA93" s="41">
        <v>0</v>
      </c>
    </row>
    <row r="94" spans="1:53" x14ac:dyDescent="0.2">
      <c r="A94" s="25">
        <v>70</v>
      </c>
      <c r="B94" s="26" t="s">
        <v>140</v>
      </c>
      <c r="C94" s="98">
        <v>44990</v>
      </c>
      <c r="D94" s="25"/>
      <c r="E94" s="28"/>
      <c r="F94" s="27"/>
      <c r="G94" s="28"/>
      <c r="H94" s="27"/>
      <c r="I94" s="28"/>
      <c r="J94" s="27">
        <v>10</v>
      </c>
      <c r="K94" s="29" t="s">
        <v>35</v>
      </c>
      <c r="L94" s="39"/>
      <c r="M94" s="31"/>
      <c r="N94" s="27"/>
      <c r="P94" s="32"/>
      <c r="Q94" s="25"/>
      <c r="R94" s="27"/>
      <c r="S94" s="27"/>
      <c r="T94" s="28"/>
      <c r="U94" s="27"/>
      <c r="V94" s="27"/>
      <c r="W94" s="28"/>
      <c r="X94" s="33"/>
      <c r="Y94" s="32"/>
      <c r="Z94" s="25"/>
      <c r="AA94" s="27"/>
      <c r="AB94" s="28"/>
      <c r="AC94" s="27"/>
      <c r="AD94" s="27"/>
      <c r="AE94" s="33"/>
      <c r="AG94" s="25"/>
      <c r="AH94" s="34"/>
      <c r="AI94" s="27"/>
      <c r="AJ94" s="27"/>
      <c r="AK94" s="27"/>
      <c r="AL94" s="25"/>
      <c r="AM94" s="34"/>
      <c r="AN94" s="27"/>
      <c r="AO94" s="27"/>
      <c r="AP94" s="36"/>
      <c r="AQ94" s="37"/>
      <c r="AR94" s="32"/>
      <c r="AS94" s="25" t="s">
        <v>96</v>
      </c>
      <c r="AT94" s="27" t="s">
        <v>87</v>
      </c>
      <c r="AU94" s="27"/>
      <c r="AW94" s="25" t="s">
        <v>90</v>
      </c>
      <c r="AX94" s="27" t="s">
        <v>95</v>
      </c>
      <c r="AY94" s="27"/>
      <c r="AZ94" s="32"/>
      <c r="BA94" s="41">
        <v>0</v>
      </c>
    </row>
    <row r="95" spans="1:53" x14ac:dyDescent="0.2">
      <c r="A95" s="25">
        <v>71</v>
      </c>
      <c r="B95" s="26" t="s">
        <v>140</v>
      </c>
      <c r="C95" s="98">
        <v>44991</v>
      </c>
      <c r="D95" s="25"/>
      <c r="E95" s="28"/>
      <c r="F95" s="27"/>
      <c r="G95" s="28"/>
      <c r="H95" s="27"/>
      <c r="I95" s="28"/>
      <c r="J95" s="27">
        <v>10</v>
      </c>
      <c r="K95" s="29" t="s">
        <v>35</v>
      </c>
      <c r="L95" s="39"/>
      <c r="M95" s="31"/>
      <c r="N95" s="27"/>
      <c r="P95" s="32"/>
      <c r="Q95" s="25"/>
      <c r="R95" s="27"/>
      <c r="S95" s="27"/>
      <c r="T95" s="28"/>
      <c r="U95" s="27"/>
      <c r="V95" s="27"/>
      <c r="W95" s="28"/>
      <c r="X95" s="33"/>
      <c r="Y95" s="32"/>
      <c r="Z95" s="25"/>
      <c r="AA95" s="27"/>
      <c r="AB95" s="28"/>
      <c r="AC95" s="27"/>
      <c r="AD95" s="27"/>
      <c r="AE95" s="33"/>
      <c r="AF95" s="32"/>
      <c r="AG95" s="90"/>
      <c r="AH95" s="91"/>
      <c r="AI95" s="27" t="s">
        <v>152</v>
      </c>
      <c r="AJ95" s="27"/>
      <c r="AK95" s="28"/>
      <c r="AL95" s="27"/>
      <c r="AM95" s="27"/>
      <c r="AN95" s="27">
        <v>0.05</v>
      </c>
      <c r="AO95" s="27">
        <v>0.05</v>
      </c>
      <c r="AP95" s="36">
        <v>0.5</v>
      </c>
      <c r="AQ95" s="37"/>
      <c r="AS95" s="25"/>
      <c r="AT95" s="27"/>
      <c r="AU95" s="27"/>
      <c r="AW95" s="25"/>
      <c r="AX95" s="27"/>
      <c r="AY95" s="27"/>
      <c r="AZ95" s="32"/>
      <c r="BA95" s="41">
        <v>0</v>
      </c>
    </row>
    <row r="96" spans="1:53" x14ac:dyDescent="0.2">
      <c r="A96" s="25">
        <v>72</v>
      </c>
      <c r="B96" s="26" t="s">
        <v>117</v>
      </c>
      <c r="C96" s="98">
        <v>44992</v>
      </c>
      <c r="D96" s="25"/>
      <c r="E96" s="28"/>
      <c r="F96" s="27"/>
      <c r="G96" s="28"/>
      <c r="H96" s="27"/>
      <c r="I96" s="28"/>
      <c r="J96" s="27">
        <v>10</v>
      </c>
      <c r="K96" s="29" t="s">
        <v>35</v>
      </c>
      <c r="L96" s="39"/>
      <c r="M96" s="31"/>
      <c r="N96" s="27"/>
      <c r="P96" s="32"/>
      <c r="Q96" s="25"/>
      <c r="R96" s="27"/>
      <c r="S96" s="27"/>
      <c r="T96" s="28"/>
      <c r="U96" s="27"/>
      <c r="V96" s="27"/>
      <c r="W96" s="28"/>
      <c r="X96" s="33"/>
      <c r="Y96" s="32"/>
      <c r="Z96" s="25"/>
      <c r="AA96" s="27"/>
      <c r="AB96" s="28"/>
      <c r="AC96" s="27"/>
      <c r="AD96" s="27"/>
      <c r="AE96" s="33"/>
      <c r="AF96" s="32"/>
      <c r="AG96" s="90"/>
      <c r="AH96" s="91"/>
      <c r="AI96" s="27" t="s">
        <v>153</v>
      </c>
      <c r="AJ96" s="27"/>
      <c r="AK96" s="28"/>
      <c r="AL96" s="27"/>
      <c r="AM96" s="27"/>
      <c r="AN96" s="27">
        <v>0.05</v>
      </c>
      <c r="AO96" s="27">
        <v>0.05</v>
      </c>
      <c r="AP96" s="36">
        <v>0.05</v>
      </c>
      <c r="AQ96" s="37"/>
      <c r="AS96" s="25"/>
      <c r="AT96" s="27"/>
      <c r="AU96" s="27"/>
      <c r="AW96" s="25"/>
      <c r="AX96" s="27"/>
      <c r="AY96" s="27"/>
      <c r="AZ96" s="32"/>
      <c r="BA96" s="41">
        <v>0</v>
      </c>
    </row>
    <row r="97" spans="1:53" x14ac:dyDescent="0.2">
      <c r="A97" s="25">
        <v>73</v>
      </c>
      <c r="B97" s="26" t="s">
        <v>117</v>
      </c>
      <c r="C97" s="98">
        <v>44993</v>
      </c>
      <c r="D97" s="25"/>
      <c r="E97" s="28"/>
      <c r="F97" s="27"/>
      <c r="G97" s="28"/>
      <c r="H97" s="27"/>
      <c r="I97" s="28"/>
      <c r="J97" s="27">
        <v>10</v>
      </c>
      <c r="K97" s="29" t="s">
        <v>35</v>
      </c>
      <c r="L97" s="39"/>
      <c r="M97" s="31"/>
      <c r="N97" s="27"/>
      <c r="P97" s="32"/>
      <c r="Q97" s="25"/>
      <c r="R97" s="27"/>
      <c r="S97" s="27"/>
      <c r="T97" s="28"/>
      <c r="U97" s="27"/>
      <c r="V97" s="27"/>
      <c r="W97" s="28"/>
      <c r="X97" s="33"/>
      <c r="Y97" s="32"/>
      <c r="Z97" s="25"/>
      <c r="AA97" s="27"/>
      <c r="AB97" s="28"/>
      <c r="AC97" s="27"/>
      <c r="AD97" s="27"/>
      <c r="AE97" s="33"/>
      <c r="AF97" s="32"/>
      <c r="AG97" s="90"/>
      <c r="AH97" s="91"/>
      <c r="AI97" s="27"/>
      <c r="AJ97" s="27"/>
      <c r="AK97" s="28"/>
      <c r="AL97" s="27"/>
      <c r="AM97" s="27"/>
      <c r="AN97" s="27">
        <v>0.05</v>
      </c>
      <c r="AO97" s="27">
        <v>0.05</v>
      </c>
      <c r="AP97" s="36">
        <v>0.05</v>
      </c>
      <c r="AQ97" s="37"/>
      <c r="AS97" s="25"/>
      <c r="AT97" s="27"/>
      <c r="AU97" s="27"/>
      <c r="AW97" s="25"/>
      <c r="AX97" s="27"/>
      <c r="AY97" s="27"/>
      <c r="AZ97" s="32"/>
      <c r="BA97" s="41">
        <v>1</v>
      </c>
    </row>
    <row r="98" spans="1:53" x14ac:dyDescent="0.2">
      <c r="A98" s="25">
        <v>74</v>
      </c>
      <c r="B98" s="26" t="s">
        <v>117</v>
      </c>
      <c r="C98" s="98">
        <v>44994</v>
      </c>
      <c r="D98" s="25"/>
      <c r="E98" s="28"/>
      <c r="F98" s="27"/>
      <c r="G98" s="28"/>
      <c r="H98" s="27"/>
      <c r="I98" s="28"/>
      <c r="J98" s="27">
        <v>10</v>
      </c>
      <c r="K98" s="29" t="s">
        <v>35</v>
      </c>
      <c r="L98" s="39"/>
      <c r="M98" s="31"/>
      <c r="N98" s="27"/>
      <c r="P98" s="32"/>
      <c r="Q98" s="25"/>
      <c r="R98" s="27"/>
      <c r="S98" s="27"/>
      <c r="T98" s="28"/>
      <c r="U98" s="27"/>
      <c r="V98" s="27"/>
      <c r="W98" s="28"/>
      <c r="X98" s="33"/>
      <c r="Y98" s="32"/>
      <c r="Z98" s="25"/>
      <c r="AA98" s="27"/>
      <c r="AB98" s="28"/>
      <c r="AC98" s="27"/>
      <c r="AD98" s="27"/>
      <c r="AE98" s="33"/>
      <c r="AF98" s="32"/>
      <c r="AG98" s="90"/>
      <c r="AH98" s="91"/>
      <c r="AI98" s="27" t="s">
        <v>153</v>
      </c>
      <c r="AJ98" s="27"/>
      <c r="AK98" s="28"/>
      <c r="AL98" s="27"/>
      <c r="AM98" s="27"/>
      <c r="AN98" s="27">
        <v>0.05</v>
      </c>
      <c r="AO98" s="27">
        <v>0.05</v>
      </c>
      <c r="AP98" s="36">
        <v>0.05</v>
      </c>
      <c r="AQ98" s="37"/>
      <c r="AS98" s="25"/>
      <c r="AT98" s="27"/>
      <c r="AU98" s="27"/>
      <c r="AW98" s="25"/>
      <c r="AX98" s="27"/>
      <c r="AY98" s="27"/>
      <c r="AZ98" s="32"/>
      <c r="BA98" s="41">
        <v>0</v>
      </c>
    </row>
    <row r="99" spans="1:53" x14ac:dyDescent="0.2">
      <c r="A99" s="25">
        <v>75</v>
      </c>
      <c r="B99" s="26"/>
      <c r="C99" s="98">
        <v>44995</v>
      </c>
      <c r="D99" s="25"/>
      <c r="E99" s="28"/>
      <c r="F99" s="27"/>
      <c r="G99" s="28"/>
      <c r="H99" s="27"/>
      <c r="I99" s="28"/>
      <c r="J99" s="27">
        <v>10</v>
      </c>
      <c r="K99" s="29" t="s">
        <v>35</v>
      </c>
      <c r="L99" s="39"/>
      <c r="M99" s="31"/>
      <c r="N99" s="27"/>
      <c r="P99" s="32"/>
      <c r="Q99" s="25"/>
      <c r="R99" s="27"/>
      <c r="S99" s="27"/>
      <c r="T99" s="28"/>
      <c r="U99" s="27"/>
      <c r="V99" s="27"/>
      <c r="W99" s="28"/>
      <c r="X99" s="33"/>
      <c r="Y99" s="32"/>
      <c r="Z99" s="25"/>
      <c r="AA99" s="27"/>
      <c r="AB99" s="28"/>
      <c r="AC99" s="27"/>
      <c r="AD99" s="27"/>
      <c r="AE99" s="33"/>
      <c r="AF99" s="32"/>
      <c r="AG99" s="90"/>
      <c r="AH99" s="91"/>
      <c r="AI99" s="27"/>
      <c r="AJ99" s="27"/>
      <c r="AK99" s="28"/>
      <c r="AL99" s="27"/>
      <c r="AM99" s="27"/>
      <c r="AN99" s="27"/>
      <c r="AO99" s="27"/>
      <c r="AP99" s="36"/>
      <c r="AQ99" s="37"/>
      <c r="AR99" s="32"/>
      <c r="AS99" s="25"/>
      <c r="AT99" s="27"/>
      <c r="AU99" s="27"/>
      <c r="AW99" s="25"/>
      <c r="AX99" s="27"/>
      <c r="AY99" s="27"/>
      <c r="AZ99" s="32"/>
      <c r="BA99" s="41"/>
    </row>
    <row r="100" spans="1:53" x14ac:dyDescent="0.2">
      <c r="A100" s="25">
        <v>76</v>
      </c>
      <c r="B100" s="26"/>
      <c r="C100" s="98">
        <v>44996</v>
      </c>
      <c r="D100" s="25"/>
      <c r="E100" s="28"/>
      <c r="F100" s="27"/>
      <c r="G100" s="28"/>
      <c r="H100" s="27"/>
      <c r="I100" s="28"/>
      <c r="J100" s="27">
        <v>10</v>
      </c>
      <c r="K100" s="29" t="s">
        <v>35</v>
      </c>
      <c r="L100" s="39"/>
      <c r="M100" s="31"/>
      <c r="N100" s="27"/>
      <c r="P100" s="32"/>
      <c r="Q100" s="25"/>
      <c r="R100" s="27"/>
      <c r="S100" s="27"/>
      <c r="T100" s="28"/>
      <c r="U100" s="27"/>
      <c r="V100" s="27"/>
      <c r="W100" s="28"/>
      <c r="X100" s="33"/>
      <c r="Y100" s="32"/>
      <c r="Z100" s="25"/>
      <c r="AA100" s="27"/>
      <c r="AB100" s="28"/>
      <c r="AC100" s="27"/>
      <c r="AD100" s="27"/>
      <c r="AE100" s="33"/>
      <c r="AF100" s="32"/>
      <c r="AG100" s="90"/>
      <c r="AH100" s="91"/>
      <c r="AI100" s="27"/>
      <c r="AJ100" s="27"/>
      <c r="AK100" s="28"/>
      <c r="AL100" s="27"/>
      <c r="AM100" s="27"/>
      <c r="AN100" s="27"/>
      <c r="AO100" s="27"/>
      <c r="AP100" s="36"/>
      <c r="AQ100" s="37"/>
      <c r="AR100" s="32"/>
      <c r="AS100" s="25"/>
      <c r="AT100" s="27"/>
      <c r="AU100" s="27"/>
      <c r="AW100" s="25"/>
      <c r="AX100" s="27"/>
      <c r="AY100" s="27"/>
      <c r="AZ100" s="32"/>
      <c r="BA100" s="41"/>
    </row>
    <row r="101" spans="1:53" x14ac:dyDescent="0.2">
      <c r="A101" s="25">
        <v>77</v>
      </c>
      <c r="B101" s="26"/>
      <c r="C101" s="98">
        <v>44997</v>
      </c>
      <c r="D101" s="25"/>
      <c r="E101" s="28"/>
      <c r="F101" s="27"/>
      <c r="G101" s="28"/>
      <c r="H101" s="27"/>
      <c r="I101" s="28"/>
      <c r="J101" s="27">
        <v>10</v>
      </c>
      <c r="K101" s="29" t="s">
        <v>35</v>
      </c>
      <c r="L101" s="39"/>
      <c r="M101" s="31"/>
      <c r="N101" s="27"/>
      <c r="P101" s="32"/>
      <c r="Q101" s="25"/>
      <c r="R101" s="27"/>
      <c r="S101" s="27"/>
      <c r="T101" s="28"/>
      <c r="U101" s="27"/>
      <c r="V101" s="27"/>
      <c r="W101" s="28"/>
      <c r="X101" s="33"/>
      <c r="Y101" s="32"/>
      <c r="Z101" s="25"/>
      <c r="AA101" s="27"/>
      <c r="AB101" s="28"/>
      <c r="AC101" s="27"/>
      <c r="AD101" s="27"/>
      <c r="AE101" s="33"/>
      <c r="AF101" s="32"/>
      <c r="AG101" s="90"/>
      <c r="AH101" s="91"/>
      <c r="AI101" s="27"/>
      <c r="AJ101" s="27"/>
      <c r="AK101" s="28"/>
      <c r="AL101" s="27"/>
      <c r="AM101" s="27"/>
      <c r="AN101" s="27"/>
      <c r="AO101" s="27"/>
      <c r="AP101" s="36"/>
      <c r="AQ101" s="37"/>
      <c r="AR101" s="32"/>
      <c r="AS101" s="25"/>
      <c r="AT101" s="27"/>
      <c r="AU101" s="27"/>
      <c r="AW101" s="25"/>
      <c r="AX101" s="27"/>
      <c r="AY101" s="27"/>
      <c r="AZ101" s="32"/>
      <c r="BA101" s="41"/>
    </row>
    <row r="102" spans="1:53" x14ac:dyDescent="0.2">
      <c r="A102" s="25">
        <v>78</v>
      </c>
      <c r="B102" s="26" t="s">
        <v>117</v>
      </c>
      <c r="C102" s="98">
        <v>44998</v>
      </c>
      <c r="D102" s="25"/>
      <c r="E102" s="28"/>
      <c r="F102" s="27"/>
      <c r="G102" s="28"/>
      <c r="H102" s="27"/>
      <c r="I102" s="28"/>
      <c r="J102" s="27">
        <v>10</v>
      </c>
      <c r="K102" s="29" t="s">
        <v>35</v>
      </c>
      <c r="L102" s="39"/>
      <c r="M102" s="31"/>
      <c r="N102" s="27"/>
      <c r="P102" s="32"/>
      <c r="Q102" s="25"/>
      <c r="R102" s="27"/>
      <c r="S102" s="27"/>
      <c r="T102" s="28"/>
      <c r="U102" s="27"/>
      <c r="V102" s="27"/>
      <c r="W102" s="28"/>
      <c r="X102" s="33"/>
      <c r="Y102" s="32"/>
      <c r="Z102" s="25"/>
      <c r="AA102" s="27"/>
      <c r="AB102" s="28"/>
      <c r="AC102" s="27"/>
      <c r="AD102" s="27"/>
      <c r="AE102" s="33"/>
      <c r="AF102" s="32"/>
      <c r="AG102" s="90"/>
      <c r="AH102" s="91"/>
      <c r="AI102" s="27"/>
      <c r="AJ102" s="27"/>
      <c r="AK102" s="28"/>
      <c r="AL102" s="27"/>
      <c r="AM102" s="27"/>
      <c r="AN102" s="27"/>
      <c r="AO102" s="27"/>
      <c r="AP102" s="36"/>
      <c r="AQ102" s="37"/>
      <c r="AR102" s="32"/>
      <c r="AS102" s="25"/>
      <c r="AT102" s="27"/>
      <c r="AU102" s="27"/>
      <c r="AW102" s="25"/>
      <c r="AX102" s="27"/>
      <c r="AY102" s="27"/>
      <c r="AZ102" s="32"/>
      <c r="BA102" s="41"/>
    </row>
    <row r="103" spans="1:53" x14ac:dyDescent="0.2">
      <c r="A103" s="25">
        <v>79</v>
      </c>
      <c r="B103" s="26" t="s">
        <v>117</v>
      </c>
      <c r="C103" s="98">
        <v>44999</v>
      </c>
      <c r="D103" s="25"/>
      <c r="E103" s="28"/>
      <c r="F103" s="27"/>
      <c r="G103" s="28"/>
      <c r="H103" s="27"/>
      <c r="I103" s="28"/>
      <c r="J103" s="27">
        <v>10</v>
      </c>
      <c r="K103" s="29" t="s">
        <v>35</v>
      </c>
      <c r="L103" s="39"/>
      <c r="M103" s="31"/>
      <c r="N103" s="27"/>
      <c r="P103" s="32"/>
      <c r="Q103" s="25"/>
      <c r="R103" s="27"/>
      <c r="S103" s="27"/>
      <c r="T103" s="28"/>
      <c r="U103" s="27"/>
      <c r="V103" s="27"/>
      <c r="W103" s="28"/>
      <c r="X103" s="33"/>
      <c r="Y103" s="32"/>
      <c r="Z103" s="25"/>
      <c r="AA103" s="27"/>
      <c r="AB103" s="28"/>
      <c r="AC103" s="27"/>
      <c r="AD103" s="27"/>
      <c r="AE103" s="33"/>
      <c r="AF103" s="32"/>
      <c r="AG103" s="90"/>
      <c r="AH103" s="91"/>
      <c r="AI103" s="27"/>
      <c r="AJ103" s="27"/>
      <c r="AK103" s="28"/>
      <c r="AL103" s="27"/>
      <c r="AM103" s="27"/>
      <c r="AN103" s="27">
        <v>0.05</v>
      </c>
      <c r="AO103" s="27">
        <v>0.05</v>
      </c>
      <c r="AP103" s="36">
        <v>0.05</v>
      </c>
      <c r="AQ103" s="37"/>
      <c r="AR103" s="32"/>
      <c r="AS103" s="25"/>
      <c r="AT103" s="27"/>
      <c r="AU103" s="27"/>
      <c r="AW103" s="25"/>
      <c r="AX103" s="27"/>
      <c r="AY103" s="27"/>
      <c r="AZ103" s="32"/>
      <c r="BA103" s="41"/>
    </row>
    <row r="104" spans="1:53" x14ac:dyDescent="0.2">
      <c r="A104" s="25">
        <v>80</v>
      </c>
      <c r="B104" s="26" t="s">
        <v>140</v>
      </c>
      <c r="C104" s="98">
        <v>45000</v>
      </c>
      <c r="D104" s="25"/>
      <c r="E104" s="28"/>
      <c r="F104" s="27"/>
      <c r="G104" s="28"/>
      <c r="H104" s="27"/>
      <c r="I104" s="28"/>
      <c r="J104" s="27">
        <v>10</v>
      </c>
      <c r="K104" s="29" t="s">
        <v>35</v>
      </c>
      <c r="L104" s="39"/>
      <c r="M104" s="31"/>
      <c r="N104" s="27"/>
      <c r="P104" s="32"/>
      <c r="Q104" s="25"/>
      <c r="R104" s="27"/>
      <c r="S104" s="27"/>
      <c r="T104" s="28"/>
      <c r="U104" s="27"/>
      <c r="V104" s="27"/>
      <c r="W104" s="28"/>
      <c r="X104" s="33"/>
      <c r="Y104" s="32"/>
      <c r="Z104" s="25"/>
      <c r="AA104" s="27"/>
      <c r="AB104" s="28"/>
      <c r="AC104" s="27"/>
      <c r="AD104" s="27"/>
      <c r="AE104" s="33"/>
      <c r="AF104" s="32"/>
      <c r="AG104" s="90"/>
      <c r="AH104" s="91"/>
      <c r="AI104" s="27"/>
      <c r="AJ104" s="27"/>
      <c r="AK104" s="28"/>
      <c r="AL104" s="27"/>
      <c r="AM104" s="27"/>
      <c r="AN104" s="27"/>
      <c r="AO104" s="27"/>
      <c r="AP104" s="36"/>
      <c r="AQ104" s="37"/>
      <c r="AR104" s="32"/>
      <c r="AS104" s="25"/>
      <c r="AT104" s="27"/>
      <c r="AU104" s="27"/>
      <c r="AW104" s="25"/>
      <c r="AX104" s="27"/>
      <c r="AY104" s="27"/>
      <c r="AZ104" s="32"/>
      <c r="BA104" s="41"/>
    </row>
    <row r="105" spans="1:53" x14ac:dyDescent="0.2">
      <c r="A105" s="25">
        <v>81</v>
      </c>
      <c r="B105" s="26"/>
      <c r="C105" s="98">
        <v>45001</v>
      </c>
      <c r="D105" s="25"/>
      <c r="E105" s="28"/>
      <c r="F105" s="27"/>
      <c r="G105" s="28"/>
      <c r="H105" s="27"/>
      <c r="I105" s="28"/>
      <c r="J105" s="27">
        <v>10</v>
      </c>
      <c r="K105" s="29" t="s">
        <v>35</v>
      </c>
      <c r="L105" s="39"/>
      <c r="M105" s="31"/>
      <c r="N105" s="27"/>
      <c r="P105" s="32"/>
      <c r="Q105" s="25"/>
      <c r="R105" s="27"/>
      <c r="S105" s="27"/>
      <c r="T105" s="28"/>
      <c r="U105" s="27"/>
      <c r="V105" s="27"/>
      <c r="W105" s="28"/>
      <c r="X105" s="33"/>
      <c r="Y105" s="32"/>
      <c r="Z105" s="25"/>
      <c r="AA105" s="27"/>
      <c r="AB105" s="28"/>
      <c r="AC105" s="27"/>
      <c r="AD105" s="27"/>
      <c r="AE105" s="33"/>
      <c r="AF105" s="32"/>
      <c r="AG105" s="90"/>
      <c r="AH105" s="91"/>
      <c r="AI105" s="27"/>
      <c r="AJ105" s="27"/>
      <c r="AK105" s="28"/>
      <c r="AL105" s="27"/>
      <c r="AM105" s="27"/>
      <c r="AN105" s="27"/>
      <c r="AO105" s="27"/>
      <c r="AP105" s="36"/>
      <c r="AQ105" s="37"/>
      <c r="AR105" s="32"/>
      <c r="AS105" s="25"/>
      <c r="AT105" s="27"/>
      <c r="AU105" s="27"/>
      <c r="AW105" s="25"/>
      <c r="AX105" s="27"/>
      <c r="AY105" s="27"/>
      <c r="AZ105" s="32"/>
      <c r="BA105" s="41"/>
    </row>
    <row r="106" spans="1:53" x14ac:dyDescent="0.2">
      <c r="A106" s="25">
        <v>82</v>
      </c>
      <c r="B106" s="26"/>
      <c r="C106" s="98">
        <v>45002</v>
      </c>
      <c r="D106" s="25"/>
      <c r="E106" s="28"/>
      <c r="F106" s="27"/>
      <c r="G106" s="28"/>
      <c r="H106" s="27"/>
      <c r="I106" s="28"/>
      <c r="J106" s="27">
        <v>10</v>
      </c>
      <c r="K106" s="29" t="s">
        <v>35</v>
      </c>
      <c r="L106" s="39"/>
      <c r="M106" s="31"/>
      <c r="N106" s="27"/>
      <c r="P106" s="32"/>
      <c r="Q106" s="25"/>
      <c r="R106" s="27"/>
      <c r="S106" s="27"/>
      <c r="T106" s="28"/>
      <c r="U106" s="27"/>
      <c r="V106" s="27"/>
      <c r="W106" s="28"/>
      <c r="X106" s="33"/>
      <c r="Y106" s="32"/>
      <c r="Z106" s="25"/>
      <c r="AA106" s="27"/>
      <c r="AB106" s="28"/>
      <c r="AC106" s="27"/>
      <c r="AD106" s="27"/>
      <c r="AE106" s="33"/>
      <c r="AF106" s="32"/>
      <c r="AG106" s="90"/>
      <c r="AH106" s="91"/>
      <c r="AI106" s="27"/>
      <c r="AJ106" s="27"/>
      <c r="AK106" s="28"/>
      <c r="AL106" s="27"/>
      <c r="AM106" s="27"/>
      <c r="AN106" s="27"/>
      <c r="AO106" s="27"/>
      <c r="AP106" s="36"/>
      <c r="AQ106" s="37"/>
      <c r="AR106" s="32"/>
      <c r="AS106" s="25"/>
      <c r="AT106" s="27"/>
      <c r="AU106" s="27"/>
      <c r="AW106" s="25"/>
      <c r="AX106" s="27"/>
      <c r="AY106" s="27"/>
      <c r="AZ106" s="32"/>
      <c r="BA106" s="41"/>
    </row>
    <row r="107" spans="1:53" x14ac:dyDescent="0.2">
      <c r="A107" s="25">
        <v>83</v>
      </c>
      <c r="B107" s="26"/>
      <c r="C107" s="98">
        <v>45003</v>
      </c>
      <c r="D107" s="25"/>
      <c r="E107" s="28"/>
      <c r="F107" s="27"/>
      <c r="G107" s="28"/>
      <c r="H107" s="27"/>
      <c r="I107" s="28"/>
      <c r="J107" s="27">
        <v>10</v>
      </c>
      <c r="K107" s="29" t="s">
        <v>35</v>
      </c>
      <c r="L107" s="39"/>
      <c r="M107" s="31"/>
      <c r="N107" s="27"/>
      <c r="P107" s="32"/>
      <c r="Q107" s="25"/>
      <c r="R107" s="27"/>
      <c r="S107" s="27"/>
      <c r="T107" s="28"/>
      <c r="U107" s="27"/>
      <c r="V107" s="27"/>
      <c r="W107" s="28"/>
      <c r="X107" s="33"/>
      <c r="Y107" s="32"/>
      <c r="Z107" s="25"/>
      <c r="AA107" s="27"/>
      <c r="AB107" s="28"/>
      <c r="AC107" s="27"/>
      <c r="AD107" s="27"/>
      <c r="AE107" s="33"/>
      <c r="AF107" s="32"/>
      <c r="AG107" s="90"/>
      <c r="AH107" s="91"/>
      <c r="AI107" s="27"/>
      <c r="AJ107" s="27"/>
      <c r="AK107" s="28"/>
      <c r="AL107" s="27"/>
      <c r="AM107" s="27"/>
      <c r="AN107" s="27"/>
      <c r="AO107" s="27"/>
      <c r="AP107" s="36"/>
      <c r="AQ107" s="37"/>
      <c r="AR107" s="32"/>
      <c r="AS107" s="25"/>
      <c r="AT107" s="27"/>
      <c r="AU107" s="27"/>
      <c r="AW107" s="25"/>
      <c r="AX107" s="27"/>
      <c r="AY107" s="27"/>
      <c r="AZ107" s="32"/>
      <c r="BA107" s="41"/>
    </row>
    <row r="108" spans="1:53" x14ac:dyDescent="0.2">
      <c r="A108" s="25">
        <v>84</v>
      </c>
      <c r="B108" s="26" t="s">
        <v>140</v>
      </c>
      <c r="C108" s="98">
        <v>45004</v>
      </c>
      <c r="D108" s="25"/>
      <c r="E108" s="28"/>
      <c r="F108" s="27"/>
      <c r="G108" s="28"/>
      <c r="H108" s="27"/>
      <c r="I108" s="28"/>
      <c r="J108" s="27">
        <v>10</v>
      </c>
      <c r="K108" s="29" t="s">
        <v>35</v>
      </c>
      <c r="L108" s="39"/>
      <c r="M108" s="31"/>
      <c r="N108" s="27"/>
      <c r="P108" s="32"/>
      <c r="Q108" s="25"/>
      <c r="R108" s="27"/>
      <c r="S108" s="27"/>
      <c r="T108" s="28"/>
      <c r="U108" s="27"/>
      <c r="V108" s="27"/>
      <c r="W108" s="28"/>
      <c r="X108" s="33"/>
      <c r="Y108" s="32"/>
      <c r="Z108" s="25"/>
      <c r="AA108" s="27"/>
      <c r="AB108" s="28"/>
      <c r="AC108" s="27"/>
      <c r="AD108" s="27"/>
      <c r="AE108" s="33"/>
      <c r="AF108" s="32"/>
      <c r="AG108" s="90"/>
      <c r="AH108" s="91"/>
      <c r="AI108" s="27" t="s">
        <v>153</v>
      </c>
      <c r="AJ108" s="27"/>
      <c r="AK108" s="28"/>
      <c r="AL108" s="27"/>
      <c r="AM108" s="27"/>
      <c r="AN108" s="27">
        <v>0.05</v>
      </c>
      <c r="AO108" s="27">
        <v>0.05</v>
      </c>
      <c r="AP108" s="36">
        <v>0.05</v>
      </c>
      <c r="AQ108" s="37"/>
      <c r="AR108" s="32"/>
      <c r="AS108" s="25"/>
      <c r="AT108" s="27"/>
      <c r="AU108" s="27"/>
      <c r="AW108" s="25"/>
      <c r="AX108" s="27"/>
      <c r="AY108" s="27"/>
      <c r="AZ108" s="32"/>
      <c r="BA108" s="41"/>
    </row>
    <row r="109" spans="1:53" x14ac:dyDescent="0.2">
      <c r="A109" s="25">
        <v>85</v>
      </c>
      <c r="B109" s="26" t="s">
        <v>117</v>
      </c>
      <c r="C109" s="98">
        <v>45005</v>
      </c>
      <c r="D109" s="25"/>
      <c r="E109" s="28"/>
      <c r="F109" s="27"/>
      <c r="G109" s="28"/>
      <c r="H109" s="27"/>
      <c r="I109" s="28"/>
      <c r="J109" s="27">
        <v>10</v>
      </c>
      <c r="K109" s="29" t="s">
        <v>35</v>
      </c>
      <c r="L109" s="39"/>
      <c r="M109" s="31"/>
      <c r="N109" s="27"/>
      <c r="P109" s="32"/>
      <c r="Q109" s="25"/>
      <c r="R109" s="27"/>
      <c r="S109" s="27"/>
      <c r="T109" s="28"/>
      <c r="U109" s="27"/>
      <c r="V109" s="27"/>
      <c r="W109" s="28"/>
      <c r="X109" s="33"/>
      <c r="Y109" s="32"/>
      <c r="Z109" s="25"/>
      <c r="AA109" s="27"/>
      <c r="AB109" s="28"/>
      <c r="AC109" s="27"/>
      <c r="AD109" s="27"/>
      <c r="AE109" s="33"/>
      <c r="AF109" s="32"/>
      <c r="AG109" s="90"/>
      <c r="AH109" s="91"/>
      <c r="AI109" s="27"/>
      <c r="AJ109" s="27"/>
      <c r="AK109" s="28"/>
      <c r="AL109" s="27"/>
      <c r="AM109" s="27"/>
      <c r="AN109" s="27"/>
      <c r="AO109" s="27"/>
      <c r="AP109" s="36"/>
      <c r="AQ109" s="37"/>
      <c r="AR109" s="32"/>
      <c r="AS109" s="25"/>
      <c r="AT109" s="27"/>
      <c r="AU109" s="27"/>
      <c r="AW109" s="25"/>
      <c r="AX109" s="27"/>
      <c r="AY109" s="27"/>
      <c r="AZ109" s="32"/>
      <c r="BA109" s="41"/>
    </row>
    <row r="110" spans="1:53" x14ac:dyDescent="0.2">
      <c r="A110" s="25">
        <v>86</v>
      </c>
      <c r="B110" s="26" t="s">
        <v>117</v>
      </c>
      <c r="C110" s="98">
        <v>45006</v>
      </c>
      <c r="D110" s="25"/>
      <c r="E110" s="28"/>
      <c r="F110" s="27"/>
      <c r="G110" s="28"/>
      <c r="H110" s="27"/>
      <c r="I110" s="28"/>
      <c r="J110" s="27">
        <v>10</v>
      </c>
      <c r="K110" s="29" t="s">
        <v>35</v>
      </c>
      <c r="L110" s="39"/>
      <c r="M110" s="31"/>
      <c r="N110" s="27"/>
      <c r="P110" s="32"/>
      <c r="Q110" s="25"/>
      <c r="R110" s="27"/>
      <c r="S110" s="27"/>
      <c r="T110" s="28"/>
      <c r="U110" s="27"/>
      <c r="V110" s="27"/>
      <c r="W110" s="28"/>
      <c r="X110" s="33"/>
      <c r="Y110" s="32"/>
      <c r="Z110" s="25"/>
      <c r="AA110" s="27"/>
      <c r="AB110" s="28"/>
      <c r="AC110" s="27"/>
      <c r="AD110" s="27"/>
      <c r="AE110" s="33"/>
      <c r="AF110" s="32"/>
      <c r="AG110" s="90"/>
      <c r="AH110" s="91"/>
      <c r="AI110" s="27" t="s">
        <v>153</v>
      </c>
      <c r="AJ110" s="27"/>
      <c r="AK110" s="28"/>
      <c r="AL110" s="27"/>
      <c r="AM110" s="27"/>
      <c r="AN110" s="27">
        <v>0.05</v>
      </c>
      <c r="AO110" s="27">
        <v>0.05</v>
      </c>
      <c r="AP110" s="36">
        <v>0.05</v>
      </c>
      <c r="AQ110" s="37"/>
      <c r="AR110" s="32"/>
      <c r="AS110" s="25"/>
      <c r="AT110" s="27"/>
      <c r="AU110" s="27"/>
      <c r="AW110" s="25"/>
      <c r="AX110" s="27"/>
      <c r="AY110" s="27"/>
      <c r="AZ110" s="32"/>
      <c r="BA110" s="41"/>
    </row>
    <row r="111" spans="1:53" x14ac:dyDescent="0.2">
      <c r="A111" s="25">
        <v>87</v>
      </c>
      <c r="B111" s="26" t="s">
        <v>140</v>
      </c>
      <c r="C111" s="98">
        <v>45007</v>
      </c>
      <c r="D111" s="25"/>
      <c r="E111" s="28"/>
      <c r="F111" s="27"/>
      <c r="G111" s="28"/>
      <c r="H111" s="27"/>
      <c r="I111" s="28"/>
      <c r="J111" s="27">
        <v>10</v>
      </c>
      <c r="K111" s="29" t="s">
        <v>35</v>
      </c>
      <c r="L111" s="39"/>
      <c r="M111" s="31"/>
      <c r="N111" s="27"/>
      <c r="P111" s="32"/>
      <c r="Q111" s="25"/>
      <c r="R111" s="27"/>
      <c r="S111" s="27"/>
      <c r="T111" s="28"/>
      <c r="U111" s="27"/>
      <c r="V111" s="27"/>
      <c r="W111" s="28"/>
      <c r="X111" s="33"/>
      <c r="Y111" s="32"/>
      <c r="Z111" s="25"/>
      <c r="AA111" s="27"/>
      <c r="AB111" s="28"/>
      <c r="AC111" s="27"/>
      <c r="AD111" s="27"/>
      <c r="AE111" s="33"/>
      <c r="AF111" s="32"/>
      <c r="AG111" s="90"/>
      <c r="AH111" s="91"/>
      <c r="AI111" s="27"/>
      <c r="AJ111" s="27"/>
      <c r="AK111" s="28"/>
      <c r="AL111" s="27"/>
      <c r="AM111" s="27"/>
      <c r="AN111" s="27"/>
      <c r="AO111" s="27"/>
      <c r="AP111" s="36"/>
      <c r="AQ111" s="37"/>
      <c r="AR111" s="32"/>
      <c r="AS111" s="25"/>
      <c r="AT111" s="27"/>
      <c r="AU111" s="27"/>
      <c r="AW111" s="25"/>
      <c r="AX111" s="27"/>
      <c r="AY111" s="27"/>
      <c r="AZ111" s="32"/>
      <c r="BA111" s="41"/>
    </row>
    <row r="112" spans="1:53" x14ac:dyDescent="0.2">
      <c r="A112" s="25">
        <v>88</v>
      </c>
      <c r="B112" s="26" t="s">
        <v>140</v>
      </c>
      <c r="C112" s="98">
        <v>45008</v>
      </c>
      <c r="D112" s="25"/>
      <c r="E112" s="28"/>
      <c r="F112" s="27"/>
      <c r="G112" s="28"/>
      <c r="H112" s="27"/>
      <c r="I112" s="28"/>
      <c r="J112" s="27">
        <v>10</v>
      </c>
      <c r="K112" s="29" t="s">
        <v>35</v>
      </c>
      <c r="L112" s="39"/>
      <c r="M112" s="31"/>
      <c r="N112" s="27"/>
      <c r="P112" s="32"/>
      <c r="Q112" s="25"/>
      <c r="R112" s="27"/>
      <c r="S112" s="27"/>
      <c r="T112" s="28"/>
      <c r="U112" s="27"/>
      <c r="V112" s="27"/>
      <c r="W112" s="28"/>
      <c r="X112" s="33"/>
      <c r="Y112" s="32"/>
      <c r="Z112" s="25"/>
      <c r="AA112" s="27"/>
      <c r="AB112" s="28"/>
      <c r="AC112" s="27"/>
      <c r="AD112" s="27"/>
      <c r="AE112" s="33"/>
      <c r="AF112" s="32"/>
      <c r="AG112" s="90"/>
      <c r="AH112" s="91"/>
      <c r="AI112" s="27"/>
      <c r="AJ112" s="27"/>
      <c r="AK112" s="28"/>
      <c r="AL112" s="27"/>
      <c r="AM112" s="27"/>
      <c r="AN112" s="27"/>
      <c r="AO112" s="27"/>
      <c r="AP112" s="36"/>
      <c r="AQ112" s="37"/>
      <c r="AR112" s="32"/>
      <c r="AS112" s="25"/>
      <c r="AT112" s="27"/>
      <c r="AU112" s="27"/>
      <c r="AW112" s="25"/>
      <c r="AX112" s="27"/>
      <c r="AY112" s="27"/>
      <c r="AZ112" s="32"/>
      <c r="BA112" s="41"/>
    </row>
    <row r="113" spans="1:53" x14ac:dyDescent="0.2">
      <c r="A113" s="25">
        <v>89</v>
      </c>
      <c r="B113" s="26"/>
      <c r="C113" s="98">
        <v>45009</v>
      </c>
      <c r="D113" s="25"/>
      <c r="E113" s="28"/>
      <c r="F113" s="27"/>
      <c r="G113" s="28"/>
      <c r="H113" s="27"/>
      <c r="I113" s="28"/>
      <c r="J113" s="27">
        <v>10</v>
      </c>
      <c r="K113" s="29" t="s">
        <v>35</v>
      </c>
      <c r="L113" s="39"/>
      <c r="M113" s="31"/>
      <c r="N113" s="27"/>
      <c r="P113" s="32"/>
      <c r="Q113" s="25"/>
      <c r="R113" s="27"/>
      <c r="S113" s="27"/>
      <c r="T113" s="28"/>
      <c r="U113" s="27"/>
      <c r="V113" s="27"/>
      <c r="W113" s="28"/>
      <c r="X113" s="33"/>
      <c r="Y113" s="32"/>
      <c r="Z113" s="25"/>
      <c r="AA113" s="27"/>
      <c r="AB113" s="28"/>
      <c r="AC113" s="27"/>
      <c r="AD113" s="27"/>
      <c r="AE113" s="33"/>
      <c r="AF113" s="32"/>
      <c r="AG113" s="90"/>
      <c r="AH113" s="91"/>
      <c r="AI113" s="27"/>
      <c r="AJ113" s="27"/>
      <c r="AK113" s="28"/>
      <c r="AL113" s="27"/>
      <c r="AM113" s="27"/>
      <c r="AN113" s="27"/>
      <c r="AO113" s="27"/>
      <c r="AP113" s="36"/>
      <c r="AQ113" s="37"/>
      <c r="AR113" s="32"/>
      <c r="AS113" s="25"/>
      <c r="AT113" s="27"/>
      <c r="AU113" s="27"/>
      <c r="AW113" s="25"/>
      <c r="AX113" s="27"/>
      <c r="AY113" s="27"/>
      <c r="AZ113" s="32"/>
      <c r="BA113" s="41"/>
    </row>
    <row r="114" spans="1:53" x14ac:dyDescent="0.2">
      <c r="A114" s="25">
        <v>90</v>
      </c>
      <c r="B114" s="26"/>
      <c r="C114" s="98">
        <v>45010</v>
      </c>
      <c r="D114" s="25"/>
      <c r="E114" s="28"/>
      <c r="F114" s="27"/>
      <c r="G114" s="28"/>
      <c r="H114" s="27"/>
      <c r="I114" s="28"/>
      <c r="J114" s="27">
        <v>10</v>
      </c>
      <c r="K114" s="29" t="s">
        <v>35</v>
      </c>
      <c r="L114" s="39"/>
      <c r="M114" s="31"/>
      <c r="N114" s="27"/>
      <c r="P114" s="32"/>
      <c r="Q114" s="25"/>
      <c r="R114" s="27"/>
      <c r="S114" s="27"/>
      <c r="T114" s="28"/>
      <c r="U114" s="27"/>
      <c r="V114" s="27"/>
      <c r="W114" s="28"/>
      <c r="X114" s="33"/>
      <c r="Y114" s="32"/>
      <c r="Z114" s="25"/>
      <c r="AA114" s="27"/>
      <c r="AB114" s="28"/>
      <c r="AC114" s="27"/>
      <c r="AD114" s="27"/>
      <c r="AE114" s="33"/>
      <c r="AF114" s="32"/>
      <c r="AG114" s="90"/>
      <c r="AH114" s="91"/>
      <c r="AI114" s="27"/>
      <c r="AJ114" s="27"/>
      <c r="AK114" s="28"/>
      <c r="AL114" s="27"/>
      <c r="AM114" s="27"/>
      <c r="AN114" s="27"/>
      <c r="AO114" s="27"/>
      <c r="AP114" s="36"/>
      <c r="AQ114" s="37"/>
      <c r="AR114" s="32"/>
      <c r="AS114" s="25"/>
      <c r="AT114" s="27"/>
      <c r="AU114" s="27"/>
      <c r="AW114" s="25"/>
      <c r="AX114" s="27"/>
      <c r="AY114" s="27"/>
      <c r="AZ114" s="32"/>
      <c r="BA114" s="41"/>
    </row>
    <row r="115" spans="1:53" s="125" customFormat="1" ht="16" thickBot="1" x14ac:dyDescent="0.25">
      <c r="A115" s="137"/>
      <c r="B115" s="138"/>
      <c r="C115" s="138"/>
      <c r="D115" s="137"/>
      <c r="E115" s="139"/>
      <c r="F115" s="138"/>
      <c r="G115" s="139"/>
      <c r="H115" s="138"/>
      <c r="I115" s="139"/>
      <c r="J115" s="138"/>
      <c r="K115" s="140"/>
      <c r="L115" s="141" t="s">
        <v>157</v>
      </c>
      <c r="M115" s="142"/>
      <c r="N115" s="143"/>
      <c r="O115" s="138"/>
      <c r="P115" s="144"/>
      <c r="Q115" s="145"/>
      <c r="R115" s="143"/>
      <c r="S115" s="143"/>
      <c r="T115" s="146"/>
      <c r="U115" s="143"/>
      <c r="V115" s="143"/>
      <c r="W115" s="146"/>
      <c r="X115" s="147"/>
      <c r="Y115" s="144"/>
      <c r="Z115" s="145"/>
      <c r="AA115" s="143"/>
      <c r="AB115" s="146"/>
      <c r="AC115" s="143"/>
      <c r="AD115" s="143"/>
      <c r="AE115" s="147"/>
      <c r="AF115" s="144"/>
      <c r="AG115" s="148"/>
      <c r="AH115" s="149"/>
      <c r="AI115" s="143"/>
      <c r="AJ115" s="143"/>
      <c r="AK115" s="146"/>
      <c r="AL115" s="143"/>
      <c r="AM115" s="143"/>
      <c r="AN115" s="143"/>
      <c r="AO115" s="143"/>
      <c r="AP115" s="150"/>
      <c r="AQ115" s="151"/>
      <c r="AR115" s="144"/>
      <c r="AS115" s="145"/>
      <c r="AT115" s="143"/>
      <c r="AU115" s="143"/>
      <c r="AV115" s="138"/>
      <c r="AW115" s="145"/>
      <c r="AX115" s="143"/>
      <c r="AY115" s="143"/>
      <c r="AZ115" s="144"/>
      <c r="BA115" s="152"/>
    </row>
  </sheetData>
  <mergeCells count="57">
    <mergeCell ref="AY21:AY23"/>
    <mergeCell ref="AZ21:AZ23"/>
    <mergeCell ref="BA21:BA23"/>
    <mergeCell ref="X28:X35"/>
    <mergeCell ref="O44:O64"/>
    <mergeCell ref="AS21:AS23"/>
    <mergeCell ref="AT21:AT23"/>
    <mergeCell ref="AU21:AU23"/>
    <mergeCell ref="AV21:AV23"/>
    <mergeCell ref="AW21:AW23"/>
    <mergeCell ref="AX21:AX23"/>
    <mergeCell ref="AI21:AK22"/>
    <mergeCell ref="AL21:AL23"/>
    <mergeCell ref="AM21:AM22"/>
    <mergeCell ref="AN21:AP22"/>
    <mergeCell ref="AQ21:AQ23"/>
    <mergeCell ref="R21:T22"/>
    <mergeCell ref="U21:W22"/>
    <mergeCell ref="X21:X23"/>
    <mergeCell ref="AR21:AR23"/>
    <mergeCell ref="Z21:AB22"/>
    <mergeCell ref="AC21:AD22"/>
    <mergeCell ref="AE21:AE23"/>
    <mergeCell ref="AF21:AF23"/>
    <mergeCell ref="AG21:AG22"/>
    <mergeCell ref="AH21:AH23"/>
    <mergeCell ref="A21:A23"/>
    <mergeCell ref="B21:B23"/>
    <mergeCell ref="C21:C23"/>
    <mergeCell ref="D21:E22"/>
    <mergeCell ref="F21:G22"/>
    <mergeCell ref="H21:I22"/>
    <mergeCell ref="AG18:AP19"/>
    <mergeCell ref="AS18:AV20"/>
    <mergeCell ref="AW18:AZ20"/>
    <mergeCell ref="BA18:BA20"/>
    <mergeCell ref="AG20:AK20"/>
    <mergeCell ref="AM20:AP20"/>
    <mergeCell ref="Y21:Y23"/>
    <mergeCell ref="J21:J23"/>
    <mergeCell ref="K21:K23"/>
    <mergeCell ref="L21:L23"/>
    <mergeCell ref="M21:M23"/>
    <mergeCell ref="N21:N23"/>
    <mergeCell ref="O21:O23"/>
    <mergeCell ref="P21:P23"/>
    <mergeCell ref="Q21:Q23"/>
    <mergeCell ref="A1:C2"/>
    <mergeCell ref="B4:K4"/>
    <mergeCell ref="Q12:Y17"/>
    <mergeCell ref="Z12:AF17"/>
    <mergeCell ref="AG12:AR17"/>
    <mergeCell ref="A18:C20"/>
    <mergeCell ref="D18:M20"/>
    <mergeCell ref="N18:P20"/>
    <mergeCell ref="Q18:Y20"/>
    <mergeCell ref="Z18:AF2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Potters Master Copy UPDATED</vt:lpstr>
      <vt:lpstr>Potters Master Copy 2</vt:lpstr>
      <vt:lpstr>Potters Master Copy (2)</vt:lpstr>
      <vt:lpstr>Sheet1</vt:lpstr>
      <vt:lpstr>Potters Master 2024 - USE ME</vt:lpstr>
      <vt:lpstr>&lt;-CURRENT TANKS</vt:lpstr>
      <vt:lpstr>T9 Potters (Run 21) ^^</vt:lpstr>
      <vt:lpstr>T12 (Run 18) ^</vt:lpstr>
      <vt:lpstr>T9 Potters (Run 20)</vt:lpstr>
      <vt:lpstr>T8 Potters (Run 15)</vt:lpstr>
      <vt:lpstr>T7 Potters (Run 17)</vt:lpstr>
      <vt:lpstr>T11 Potters (Run 19)</vt:lpstr>
      <vt:lpstr>T9 Potters (Run 14)</vt:lpstr>
      <vt:lpstr>T5 Potters (Run 16)</vt:lpstr>
      <vt:lpstr>T6 Potters (Run10)</vt:lpstr>
      <vt:lpstr>T5 Potters (Run 13)</vt:lpstr>
      <vt:lpstr>T7 Potters (Run12)</vt:lpstr>
      <vt:lpstr>T5 Potters (Run13)</vt:lpstr>
      <vt:lpstr>T9 Potters (Run11)</vt:lpstr>
      <vt:lpstr>T1 Potters (Run8) For Biota</vt:lpstr>
      <vt:lpstr>T7 Potters (Run9) Palau</vt:lpstr>
      <vt:lpstr>T7 Potters (Run7) </vt:lpstr>
      <vt:lpstr>T10 Potters YT Run 6</vt:lpstr>
      <vt:lpstr>T3 Potters FT Run1</vt:lpstr>
      <vt:lpstr>T10 Potters Run5</vt:lpstr>
      <vt:lpstr>T9 Potters RC Run 4</vt:lpstr>
      <vt:lpstr>T10 Potters FT Run 3</vt:lpstr>
      <vt:lpstr>T8 Potters Run 5</vt:lpstr>
      <vt:lpstr>T2 Potters FT Run 2</vt:lpstr>
      <vt:lpstr>T9 (YT272 + Potters)</vt:lpstr>
      <vt:lpstr>200-10 Potters Copes Only</vt:lpstr>
    </vt:vector>
  </TitlesOfParts>
  <Company>Hawaii Pacific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FinFish Student Worker 01</dc:creator>
  <cp:lastModifiedBy>Kent Glover</cp:lastModifiedBy>
  <dcterms:created xsi:type="dcterms:W3CDTF">2023-03-30T17:13:57Z</dcterms:created>
  <dcterms:modified xsi:type="dcterms:W3CDTF">2024-12-17T06:21:40Z</dcterms:modified>
</cp:coreProperties>
</file>